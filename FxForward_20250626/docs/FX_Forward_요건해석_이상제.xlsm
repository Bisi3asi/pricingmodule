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docMetadata/LabelInfo.xml" ContentType="application/vnd.ms-office.classificationlabel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20/02/relationships/classificationlabels" Target="docMetadata/LabelInfo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icis\Desktop\Storage\1_Work\1_Dev\1_Repository\pricingmodule\docs\"/>
    </mc:Choice>
  </mc:AlternateContent>
  <bookViews>
    <workbookView xWindow="-105" yWindow="-105" windowWidth="23250" windowHeight="12570" activeTab="1"/>
  </bookViews>
  <sheets>
    <sheet name="Bond" sheetId="10" r:id="rId1"/>
    <sheet name="FX Forward" sheetId="6" r:id="rId2"/>
    <sheet name="FX Forward (설명)" sheetId="12" r:id="rId3"/>
    <sheet name="Curve" sheetId="7" r:id="rId4"/>
    <sheet name="Curve Setting" sheetId="8" r:id="rId5"/>
    <sheet name="고려사항" sheetId="4" r:id="rId6"/>
    <sheet name="상품 Coverage" sheetId="2" r:id="rId7"/>
    <sheet name="Sheet2" sheetId="5" r:id="rId8"/>
    <sheet name="Scope" sheetId="1" r:id="rId9"/>
    <sheet name="Appendix" sheetId="3" r:id="rId10"/>
    <sheet name="협의" sheetId="11" r:id="rId11"/>
  </sheets>
  <functionGroups builtInGroupCount="18"/>
  <definedNames>
    <definedName name="_xlnm._FilterDatabase" localSheetId="6" hidden="1">'상품 Coverage'!$L$43:$S$148</definedName>
  </definedNames>
  <calcPr calcId="152511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19" i="6" l="1"/>
  <c r="O19" i="6"/>
  <c r="W19" i="6" s="1"/>
  <c r="V39" i="6"/>
  <c r="V38" i="6"/>
  <c r="V37" i="6"/>
  <c r="V33" i="6"/>
  <c r="AA42" i="10" l="1"/>
  <c r="AB42" i="10" s="1"/>
  <c r="Z39" i="10"/>
  <c r="Y39" i="10"/>
  <c r="Z38" i="10"/>
  <c r="AA38" i="10" s="1"/>
  <c r="AB38" i="10" s="1"/>
  <c r="Z37" i="10"/>
  <c r="AA37" i="10" s="1"/>
  <c r="AB37" i="10" s="1"/>
  <c r="Z33" i="10"/>
  <c r="AA33" i="10" s="1"/>
  <c r="AB33" i="10" s="1"/>
  <c r="Z32" i="10"/>
  <c r="AA32" i="10" s="1"/>
  <c r="AB32" i="10" s="1"/>
  <c r="Z31" i="10"/>
  <c r="AA31" i="10" s="1"/>
  <c r="AB31" i="10" s="1"/>
  <c r="Z28" i="10"/>
  <c r="AA28" i="10" s="1"/>
  <c r="AB28" i="10" s="1"/>
  <c r="Z27" i="10"/>
  <c r="AA27" i="10" s="1"/>
  <c r="AB27" i="10" s="1"/>
  <c r="Z19" i="10"/>
  <c r="O19" i="10"/>
  <c r="AA19" i="10" s="1"/>
  <c r="W42" i="6"/>
  <c r="X42" i="6" s="1"/>
  <c r="W38" i="6"/>
  <c r="X38" i="6" s="1"/>
  <c r="W37" i="6"/>
  <c r="X37" i="6" s="1"/>
  <c r="U39" i="6"/>
  <c r="W39" i="6" s="1"/>
  <c r="X39" i="6" s="1"/>
  <c r="W33" i="6"/>
  <c r="X33" i="6" s="1"/>
  <c r="V32" i="6"/>
  <c r="W32" i="6" s="1"/>
  <c r="X32" i="6" s="1"/>
  <c r="V31" i="6"/>
  <c r="W31" i="6" s="1"/>
  <c r="X31" i="6" s="1"/>
  <c r="AA39" i="10" l="1"/>
  <c r="AB39" i="10" s="1"/>
  <c r="M288" i="2"/>
  <c r="M287" i="2"/>
  <c r="M286" i="2"/>
  <c r="M285" i="2"/>
  <c r="M284" i="2"/>
  <c r="M283" i="2"/>
  <c r="M282" i="2"/>
  <c r="M281" i="2"/>
  <c r="M280" i="2"/>
  <c r="M279" i="2"/>
  <c r="M278" i="2"/>
  <c r="M277" i="2"/>
  <c r="M276" i="2"/>
  <c r="M275" i="2"/>
  <c r="M274" i="2"/>
  <c r="M273" i="2"/>
  <c r="M272" i="2"/>
  <c r="M271" i="2"/>
  <c r="M270" i="2"/>
  <c r="M269" i="2"/>
  <c r="M268" i="2"/>
  <c r="M267" i="2"/>
  <c r="M266" i="2"/>
  <c r="M265" i="2"/>
  <c r="M264" i="2"/>
  <c r="M263" i="2"/>
  <c r="M262" i="2"/>
  <c r="M261" i="2"/>
  <c r="M260" i="2"/>
  <c r="M259" i="2"/>
  <c r="M258" i="2"/>
  <c r="M257" i="2"/>
  <c r="M256" i="2"/>
  <c r="M255" i="2"/>
  <c r="M254" i="2"/>
  <c r="M253" i="2"/>
  <c r="M252" i="2"/>
  <c r="M251" i="2"/>
  <c r="M250" i="2"/>
  <c r="M249" i="2"/>
  <c r="M248" i="2"/>
  <c r="M247" i="2"/>
  <c r="M246" i="2"/>
  <c r="M245" i="2"/>
  <c r="M244" i="2"/>
  <c r="M243" i="2"/>
  <c r="M242" i="2"/>
  <c r="M241" i="2"/>
  <c r="M240" i="2"/>
  <c r="M239" i="2"/>
  <c r="M238" i="2"/>
  <c r="M237" i="2"/>
  <c r="M236" i="2"/>
  <c r="M235" i="2"/>
  <c r="M234" i="2"/>
  <c r="M233" i="2"/>
  <c r="M232" i="2"/>
  <c r="M231" i="2"/>
  <c r="M230" i="2"/>
  <c r="M229" i="2"/>
  <c r="M228" i="2"/>
  <c r="M227" i="2"/>
  <c r="M226" i="2"/>
  <c r="M225" i="2"/>
  <c r="M224" i="2"/>
  <c r="M223" i="2"/>
  <c r="M222" i="2"/>
  <c r="M221" i="2"/>
  <c r="M220" i="2"/>
  <c r="M219" i="2"/>
  <c r="M218" i="2"/>
  <c r="M217" i="2"/>
  <c r="M216" i="2"/>
  <c r="M215" i="2"/>
  <c r="M214" i="2"/>
  <c r="M213" i="2"/>
  <c r="M212" i="2"/>
  <c r="M211" i="2"/>
  <c r="M210" i="2"/>
  <c r="M209" i="2"/>
  <c r="M208" i="2"/>
  <c r="M207" i="2"/>
  <c r="M206" i="2"/>
  <c r="M205" i="2"/>
  <c r="M204" i="2"/>
  <c r="M203" i="2"/>
  <c r="M202" i="2"/>
  <c r="M201" i="2"/>
  <c r="M200" i="2"/>
  <c r="M199" i="2"/>
  <c r="M198" i="2"/>
  <c r="M197" i="2"/>
  <c r="M196" i="2"/>
  <c r="M195" i="2"/>
  <c r="M194" i="2"/>
  <c r="M193" i="2"/>
  <c r="M192" i="2"/>
  <c r="M191" i="2"/>
  <c r="M190" i="2"/>
  <c r="M189" i="2"/>
  <c r="M188" i="2"/>
  <c r="M187" i="2"/>
  <c r="M186" i="2"/>
  <c r="M185" i="2"/>
  <c r="M184" i="2"/>
  <c r="M183" i="2"/>
  <c r="M182" i="2"/>
  <c r="M181" i="2"/>
  <c r="M180" i="2"/>
  <c r="M179" i="2"/>
  <c r="M178" i="2"/>
  <c r="M177" i="2"/>
  <c r="M176" i="2"/>
  <c r="M175" i="2"/>
  <c r="M174" i="2"/>
  <c r="M173" i="2"/>
  <c r="M172" i="2"/>
  <c r="M171" i="2"/>
  <c r="M170" i="2"/>
  <c r="M169" i="2"/>
  <c r="M168" i="2"/>
  <c r="M167" i="2"/>
  <c r="M166" i="2"/>
  <c r="M165" i="2"/>
  <c r="M164" i="2"/>
  <c r="M163" i="2"/>
  <c r="M162" i="2"/>
  <c r="M161" i="2"/>
  <c r="M160" i="2"/>
  <c r="M159" i="2"/>
  <c r="M158" i="2"/>
  <c r="M157" i="2"/>
  <c r="M156" i="2"/>
  <c r="M155" i="2"/>
  <c r="M154" i="2"/>
  <c r="M153" i="2"/>
  <c r="M152" i="2"/>
  <c r="M151" i="2"/>
  <c r="M150" i="2"/>
  <c r="M149" i="2"/>
  <c r="M148" i="2"/>
  <c r="M147" i="2"/>
  <c r="M146" i="2"/>
  <c r="M145" i="2"/>
  <c r="M144" i="2"/>
  <c r="M143" i="2"/>
  <c r="M142" i="2"/>
  <c r="M141" i="2"/>
  <c r="M140" i="2"/>
  <c r="M139" i="2"/>
  <c r="M138" i="2"/>
  <c r="M137" i="2"/>
  <c r="M136" i="2"/>
  <c r="M135" i="2"/>
  <c r="M134" i="2"/>
  <c r="M133" i="2"/>
  <c r="M132" i="2"/>
  <c r="M131" i="2"/>
  <c r="M130" i="2"/>
  <c r="M129" i="2"/>
  <c r="M128" i="2"/>
  <c r="M127" i="2"/>
  <c r="M126" i="2"/>
  <c r="M125" i="2"/>
  <c r="M124" i="2"/>
  <c r="M123" i="2"/>
  <c r="M122" i="2"/>
  <c r="M121" i="2"/>
  <c r="M120" i="2"/>
  <c r="M119" i="2"/>
  <c r="M118" i="2"/>
  <c r="M117" i="2"/>
  <c r="M116" i="2"/>
  <c r="M115" i="2"/>
  <c r="M114" i="2"/>
  <c r="M113" i="2"/>
  <c r="M112" i="2"/>
  <c r="M111" i="2"/>
  <c r="M110" i="2"/>
  <c r="M109" i="2"/>
  <c r="M108" i="2"/>
  <c r="M107" i="2"/>
  <c r="M106" i="2"/>
  <c r="M105" i="2"/>
  <c r="M104" i="2"/>
  <c r="M103" i="2"/>
  <c r="M102" i="2"/>
  <c r="M101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H55" i="2"/>
  <c r="M54" i="2"/>
  <c r="M53" i="2"/>
  <c r="H53" i="2"/>
  <c r="M52" i="2"/>
  <c r="M51" i="2"/>
  <c r="M50" i="2"/>
  <c r="H50" i="2"/>
  <c r="M49" i="2"/>
  <c r="H49" i="2"/>
  <c r="M48" i="2"/>
  <c r="M47" i="2"/>
  <c r="I47" i="2"/>
  <c r="H47" i="2"/>
  <c r="G47" i="2"/>
  <c r="M46" i="2"/>
  <c r="I46" i="2"/>
  <c r="H46" i="2"/>
  <c r="G46" i="2"/>
  <c r="M45" i="2"/>
  <c r="I45" i="2"/>
  <c r="H45" i="2"/>
  <c r="G45" i="2"/>
  <c r="M44" i="2"/>
  <c r="P29" i="2"/>
  <c r="V28" i="6"/>
  <c r="V27" i="6"/>
  <c r="W27" i="6" s="1"/>
  <c r="X27" i="6" s="1"/>
  <c r="O41" i="2" a="1"/>
  <c r="S41" i="2" a="1"/>
  <c r="Q41" i="2" a="1"/>
  <c r="P41" i="2" a="1"/>
  <c r="R41" i="2" a="1"/>
  <c r="W28" i="6" l="1"/>
  <c r="X28" i="6" s="1"/>
  <c r="S41" i="2"/>
  <c r="P41" i="2"/>
  <c r="Q41" i="2"/>
  <c r="R41" i="2"/>
  <c r="O41" i="2"/>
  <c r="Q157" i="2" a="1"/>
  <c r="Q125" i="2" a="1"/>
  <c r="Q142" i="2" a="1"/>
  <c r="O48" i="2" a="1"/>
  <c r="Q95" i="2" a="1"/>
  <c r="S48" i="2" a="1"/>
  <c r="R139" i="2" a="1"/>
  <c r="P120" i="2" a="1"/>
  <c r="O222" i="2" a="1"/>
  <c r="O163" i="2" a="1"/>
  <c r="R59" i="2" a="1"/>
  <c r="P241" i="2" a="1"/>
  <c r="R212" i="2" a="1"/>
  <c r="R150" i="2" a="1"/>
  <c r="P286" i="2" a="1"/>
  <c r="O111" i="2" a="1"/>
  <c r="Q169" i="2" a="1"/>
  <c r="P281" i="2" a="1"/>
  <c r="P46" i="2" a="1"/>
  <c r="S209" i="2" a="1"/>
  <c r="P129" i="2" a="1"/>
  <c r="Q70" i="2" a="1"/>
  <c r="S46" i="2" a="1"/>
  <c r="Q195" i="2" a="1"/>
  <c r="P122" i="2" a="1"/>
  <c r="R95" i="2" a="1"/>
  <c r="R207" i="2" a="1"/>
  <c r="O259" i="2" a="1"/>
  <c r="O272" i="2" a="1"/>
  <c r="S115" i="2" a="1"/>
  <c r="S248" i="2" a="1"/>
  <c r="O183" i="2" a="1"/>
  <c r="R81" i="2" a="1"/>
  <c r="Q282" i="2" a="1"/>
  <c r="S251" i="2" a="1"/>
  <c r="P57" i="2" a="1"/>
  <c r="P236" i="2" a="1"/>
  <c r="O106" i="2" a="1"/>
  <c r="S277" i="2" a="1"/>
  <c r="P175" i="2" a="1"/>
  <c r="O284" i="2" a="1"/>
  <c r="P227" i="2" a="1"/>
  <c r="R128" i="2" a="1"/>
  <c r="Q55" i="2" a="1"/>
  <c r="R71" i="2" a="1"/>
  <c r="O140" i="2" a="1"/>
  <c r="P56" i="2" a="1"/>
  <c r="P170" i="2" a="1"/>
  <c r="R156" i="2" a="1"/>
  <c r="O196" i="2" a="1"/>
  <c r="O97" i="2" a="1"/>
  <c r="Q189" i="2" a="1"/>
  <c r="S107" i="2" a="1"/>
  <c r="S196" i="2" a="1"/>
  <c r="R263" i="2" a="1"/>
  <c r="R56" i="2" a="1"/>
  <c r="S268" i="2" a="1"/>
  <c r="Q93" i="2" a="1"/>
  <c r="Q270" i="2" a="1"/>
  <c r="P267" i="2" a="1"/>
  <c r="O142" i="2" a="1"/>
  <c r="O193" i="2" a="1"/>
  <c r="R174" i="2" a="1"/>
  <c r="S66" i="2" a="1"/>
  <c r="S125" i="2" a="1"/>
  <c r="P265" i="2" a="1"/>
  <c r="Q162" i="2" a="1"/>
  <c r="Q73" i="2" a="1"/>
  <c r="R259" i="2" a="1"/>
  <c r="R244" i="2" a="1"/>
  <c r="R132" i="2" a="1"/>
  <c r="P165" i="2" a="1"/>
  <c r="S200" i="2" a="1"/>
  <c r="O160" i="2" a="1"/>
  <c r="S280" i="2" a="1"/>
  <c r="O197" i="2" a="1"/>
  <c r="R201" i="2" a="1"/>
  <c r="S214" i="2" a="1"/>
  <c r="R143" i="2" a="1"/>
  <c r="R126" i="2" a="1"/>
  <c r="P161" i="2" a="1"/>
  <c r="R106" i="2" a="1"/>
  <c r="Q277" i="2" a="1"/>
  <c r="O122" i="2" a="1"/>
  <c r="O158" i="2" a="1"/>
  <c r="R162" i="2" a="1"/>
  <c r="P242" i="2" a="1"/>
  <c r="R47" i="2" a="1"/>
  <c r="Q108" i="2" a="1"/>
  <c r="S118" i="2" a="1"/>
  <c r="Q285" i="2" a="1"/>
  <c r="Q288" i="2" a="1"/>
  <c r="P215" i="2" a="1"/>
  <c r="S135" i="2" a="1"/>
  <c r="O108" i="2" a="1"/>
  <c r="Q274" i="2" a="1"/>
  <c r="Q133" i="2" a="1"/>
  <c r="R167" i="2" a="1"/>
  <c r="O159" i="2" a="1"/>
  <c r="P216" i="2" a="1"/>
  <c r="R184" i="2" a="1"/>
  <c r="S149" i="2" a="1"/>
  <c r="O164" i="2" a="1"/>
  <c r="Q226" i="2" a="1"/>
  <c r="R252" i="2" a="1"/>
  <c r="O110" i="2" a="1"/>
  <c r="S104" i="2" a="1"/>
  <c r="S134" i="2" a="1"/>
  <c r="O203" i="2" a="1"/>
  <c r="O119" i="2" a="1"/>
  <c r="O144" i="2" a="1"/>
  <c r="P247" i="2" a="1"/>
  <c r="S122" i="2" a="1"/>
  <c r="S188" i="2" a="1"/>
  <c r="O253" i="2" a="1"/>
  <c r="P280" i="2" a="1"/>
  <c r="R91" i="2" a="1"/>
  <c r="R258" i="2" a="1"/>
  <c r="S103" i="2" a="1"/>
  <c r="P183" i="2" a="1"/>
  <c r="Q283" i="2" a="1"/>
  <c r="Q147" i="2" a="1"/>
  <c r="S233" i="2" a="1"/>
  <c r="R145" i="2" a="1"/>
  <c r="Q91" i="2" a="1"/>
  <c r="R233" i="2" a="1"/>
  <c r="Q287" i="2" a="1"/>
  <c r="S274" i="2" a="1"/>
  <c r="S141" i="2" a="1"/>
  <c r="Q80" i="2" a="1"/>
  <c r="O201" i="2" a="1"/>
  <c r="R238" i="2" a="1"/>
  <c r="Q148" i="2" a="1"/>
  <c r="Q263" i="2" a="1"/>
  <c r="R164" i="2" a="1"/>
  <c r="P206" i="2" a="1"/>
  <c r="S222" i="2" a="1"/>
  <c r="S247" i="2" a="1"/>
  <c r="O231" i="2" a="1"/>
  <c r="S189" i="2" a="1"/>
  <c r="Q82" i="2" a="1"/>
  <c r="R177" i="2" a="1"/>
  <c r="P270" i="2" a="1"/>
  <c r="S254" i="2" a="1"/>
  <c r="O149" i="2" a="1"/>
  <c r="O176" i="2" a="1"/>
  <c r="Q245" i="2" a="1"/>
  <c r="Q64" i="2" a="1"/>
  <c r="P137" i="2" a="1"/>
  <c r="S164" i="2" a="1"/>
  <c r="P205" i="2" a="1"/>
  <c r="S153" i="2" a="1"/>
  <c r="Q81" i="2" a="1"/>
  <c r="O65" i="2" a="1"/>
  <c r="P89" i="2" a="1"/>
  <c r="S101" i="2" a="1"/>
  <c r="P130" i="2" a="1"/>
  <c r="P192" i="2" a="1"/>
  <c r="Q58" i="2" a="1"/>
  <c r="S246" i="2" a="1"/>
  <c r="Q140" i="2" a="1"/>
  <c r="P147" i="2" a="1"/>
  <c r="Q175" i="2" a="1"/>
  <c r="Q78" i="2" a="1"/>
  <c r="R282" i="2" a="1"/>
  <c r="R75" i="2" a="1"/>
  <c r="Q151" i="2" a="1"/>
  <c r="Q61" i="2" a="1"/>
  <c r="Q74" i="2" a="1"/>
  <c r="Q180" i="2" a="1"/>
  <c r="P95" i="2" a="1"/>
  <c r="O173" i="2" a="1"/>
  <c r="O86" i="2" a="1"/>
  <c r="P255" i="2" a="1"/>
  <c r="S263" i="2" a="1"/>
  <c r="S171" i="2" a="1"/>
  <c r="O53" i="2" a="1"/>
  <c r="Q257" i="2" a="1"/>
  <c r="R68" i="2" a="1"/>
  <c r="S234" i="2" a="1"/>
  <c r="P44" i="2" a="1"/>
  <c r="R144" i="2" a="1"/>
  <c r="S244" i="2" a="1"/>
  <c r="Q198" i="2" a="1"/>
  <c r="Q67" i="2" a="1"/>
  <c r="R169" i="2" a="1"/>
  <c r="Q145" i="2" a="1"/>
  <c r="S266" i="2" a="1"/>
  <c r="Q211" i="2" a="1"/>
  <c r="S116" i="2" a="1"/>
  <c r="Q230" i="2" a="1"/>
  <c r="S159" i="2" a="1"/>
  <c r="P219" i="2" a="1"/>
  <c r="O218" i="2" a="1"/>
  <c r="P45" i="2" a="1"/>
  <c r="S75" i="2" a="1"/>
  <c r="O186" i="2" a="1"/>
  <c r="P99" i="2" a="1"/>
  <c r="P66" i="2" a="1"/>
  <c r="S139" i="2" a="1"/>
  <c r="P198" i="2" a="1"/>
  <c r="P75" i="2" a="1"/>
  <c r="O287" i="2" a="1"/>
  <c r="P251" i="2" a="1"/>
  <c r="P171" i="2" a="1"/>
  <c r="R79" i="2" a="1"/>
  <c r="O68" i="2" a="1"/>
  <c r="Q212" i="2" a="1"/>
  <c r="R102" i="2" a="1"/>
  <c r="R63" i="2" a="1"/>
  <c r="P54" i="2" a="1"/>
  <c r="O46" i="2" a="1"/>
  <c r="R272" i="2" a="1"/>
  <c r="P271" i="2" a="1"/>
  <c r="R187" i="2" a="1"/>
  <c r="P121" i="2" a="1"/>
  <c r="S152" i="2" a="1"/>
  <c r="Q45" i="2" a="1"/>
  <c r="O251" i="2" a="1"/>
  <c r="O179" i="2" a="1"/>
  <c r="Q222" i="2" a="1"/>
  <c r="R175" i="2" a="1"/>
  <c r="P178" i="2" a="1"/>
  <c r="P237" i="2" a="1"/>
  <c r="S243" i="2" a="1"/>
  <c r="P185" i="2" a="1"/>
  <c r="Q231" i="2" a="1"/>
  <c r="O277" i="2" a="1"/>
  <c r="R234" i="2" a="1"/>
  <c r="S283" i="2" a="1"/>
  <c r="S69" i="2" a="1"/>
  <c r="Q88" i="2" a="1"/>
  <c r="P143" i="2" a="1"/>
  <c r="P276" i="2" a="1"/>
  <c r="Q194" i="2" a="1"/>
  <c r="Q126" i="2" a="1"/>
  <c r="S273" i="2" a="1"/>
  <c r="O166" i="2" a="1"/>
  <c r="O194" i="2" a="1"/>
  <c r="R52" i="2" a="1"/>
  <c r="S86" i="2" a="1"/>
  <c r="P254" i="2" a="1"/>
  <c r="S201" i="2" a="1"/>
  <c r="O116" i="2" a="1"/>
  <c r="O250" i="2" a="1"/>
  <c r="Q182" i="2" a="1"/>
  <c r="O89" i="2" a="1"/>
  <c r="S169" i="2" a="1"/>
  <c r="S81" i="2" a="1"/>
  <c r="O219" i="2" a="1"/>
  <c r="O238" i="2" a="1"/>
  <c r="S242" i="2" a="1"/>
  <c r="P262" i="2" a="1"/>
  <c r="Q181" i="2" a="1"/>
  <c r="S186" i="2" a="1"/>
  <c r="S216" i="2" a="1"/>
  <c r="Q174" i="2" a="1"/>
  <c r="Q233" i="2" a="1"/>
  <c r="P274" i="2" a="1"/>
  <c r="P148" i="2" a="1"/>
  <c r="P160" i="2" a="1"/>
  <c r="S165" i="2" a="1"/>
  <c r="P91" i="2" a="1"/>
  <c r="S275" i="2" a="1"/>
  <c r="S199" i="2" a="1"/>
  <c r="S215" i="2" a="1"/>
  <c r="R246" i="2" a="1"/>
  <c r="Q258" i="2" a="1"/>
  <c r="P264" i="2" a="1"/>
  <c r="Q65" i="2" a="1"/>
  <c r="R257" i="2" a="1"/>
  <c r="O233" i="2" a="1"/>
  <c r="P164" i="2" a="1"/>
  <c r="O240" i="2" a="1"/>
  <c r="P107" i="2" a="1"/>
  <c r="Q232" i="2" a="1"/>
  <c r="Q44" i="2" a="1"/>
  <c r="O112" i="2" a="1"/>
  <c r="S129" i="2" a="1"/>
  <c r="P93" i="2" a="1"/>
  <c r="Q83" i="2" a="1"/>
  <c r="O107" i="2" a="1"/>
  <c r="Q69" i="2" a="1"/>
  <c r="Q112" i="2" a="1"/>
  <c r="O189" i="2" a="1"/>
  <c r="P59" i="2" a="1"/>
  <c r="S124" i="2" a="1"/>
  <c r="Q272" i="2" a="1"/>
  <c r="O202" i="2" a="1"/>
  <c r="P78" i="2" a="1"/>
  <c r="R125" i="2" a="1"/>
  <c r="S210" i="2" a="1"/>
  <c r="R44" i="2" a="1"/>
  <c r="R76" i="2" a="1"/>
  <c r="O66" i="2" a="1"/>
  <c r="S220" i="2" a="1"/>
  <c r="P135" i="2" a="1"/>
  <c r="O72" i="2" a="1"/>
  <c r="R192" i="2" a="1"/>
  <c r="S190" i="2" a="1"/>
  <c r="R109" i="2" a="1"/>
  <c r="O85" i="2" a="1"/>
  <c r="S145" i="2" a="1"/>
  <c r="R168" i="2" a="1"/>
  <c r="R120" i="2" a="1"/>
  <c r="P231" i="2" a="1"/>
  <c r="O62" i="2" a="1"/>
  <c r="S272" i="2" a="1"/>
  <c r="S258" i="2" a="1"/>
  <c r="P235" i="2" a="1"/>
  <c r="R137" i="2" a="1"/>
  <c r="Q76" i="2" a="1"/>
  <c r="P60" i="2" a="1"/>
  <c r="R179" i="2" a="1"/>
  <c r="O49" i="2" a="1"/>
  <c r="R61" i="2" a="1"/>
  <c r="R100" i="2" a="1"/>
  <c r="S154" i="2" a="1"/>
  <c r="S90" i="2" a="1"/>
  <c r="P223" i="2" a="1"/>
  <c r="R269" i="2" a="1"/>
  <c r="S123" i="2" a="1"/>
  <c r="O84" i="2" a="1"/>
  <c r="P248" i="2" a="1"/>
  <c r="P106" i="2" a="1"/>
  <c r="Q210" i="2" a="1"/>
  <c r="P260" i="2" a="1"/>
  <c r="Q53" i="2" a="1"/>
  <c r="P225" i="2" a="1"/>
  <c r="R83" i="2" a="1"/>
  <c r="R214" i="2" a="1"/>
  <c r="O162" i="2" a="1"/>
  <c r="S253" i="2" a="1"/>
  <c r="R283" i="2" a="1"/>
  <c r="S114" i="2" a="1"/>
  <c r="P180" i="2" a="1"/>
  <c r="Q205" i="2" a="1"/>
  <c r="O98" i="2" a="1"/>
  <c r="O138" i="2" a="1"/>
  <c r="O216" i="2" a="1"/>
  <c r="S70" i="2" a="1"/>
  <c r="Q101" i="2" a="1"/>
  <c r="S204" i="2" a="1"/>
  <c r="Q160" i="2" a="1"/>
  <c r="P176" i="2" a="1"/>
  <c r="O199" i="2" a="1"/>
  <c r="P65" i="2" a="1"/>
  <c r="R158" i="2" a="1"/>
  <c r="O254" i="2" a="1"/>
  <c r="R218" i="2" a="1"/>
  <c r="Q103" i="2" a="1"/>
  <c r="P256" i="2" a="1"/>
  <c r="Q166" i="2" a="1"/>
  <c r="Q71" i="2" a="1"/>
  <c r="O215" i="2" a="1"/>
  <c r="S83" i="2" a="1"/>
  <c r="R163" i="2" a="1"/>
  <c r="O255" i="2" a="1"/>
  <c r="O257" i="2" a="1"/>
  <c r="R262" i="2" a="1"/>
  <c r="Q155" i="2" a="1"/>
  <c r="Q56" i="2" a="1"/>
  <c r="S76" i="2" a="1"/>
  <c r="S250" i="2" a="1"/>
  <c r="S131" i="2" a="1"/>
  <c r="Q129" i="2" a="1"/>
  <c r="O55" i="2" a="1"/>
  <c r="O139" i="2" a="1"/>
  <c r="R96" i="2" a="1"/>
  <c r="O236" i="2" a="1"/>
  <c r="P64" i="2" a="1"/>
  <c r="O262" i="2" a="1"/>
  <c r="P109" i="2" a="1"/>
  <c r="S178" i="2" a="1"/>
  <c r="S259" i="2" a="1"/>
  <c r="O154" i="2" a="1"/>
  <c r="R73" i="2" a="1"/>
  <c r="S279" i="2" a="1"/>
  <c r="O232" i="2" a="1"/>
  <c r="R189" i="2" a="1"/>
  <c r="S264" i="2" a="1"/>
  <c r="O264" i="2" a="1"/>
  <c r="R273" i="2" a="1"/>
  <c r="S72" i="2" a="1"/>
  <c r="P136" i="2" a="1"/>
  <c r="S98" i="2" a="1"/>
  <c r="R99" i="2" a="1"/>
  <c r="S161" i="2" a="1"/>
  <c r="Q60" i="2" a="1"/>
  <c r="R111" i="2" a="1"/>
  <c r="Q149" i="2" a="1"/>
  <c r="O120" i="2" a="1"/>
  <c r="Q105" i="2" a="1"/>
  <c r="P90" i="2" a="1"/>
  <c r="O212" i="2" a="1"/>
  <c r="R267" i="2" a="1"/>
  <c r="P224" i="2" a="1"/>
  <c r="Q240" i="2" a="1"/>
  <c r="P51" i="2" a="1"/>
  <c r="O190" i="2" a="1"/>
  <c r="P278" i="2" a="1"/>
  <c r="O167" i="2" a="1"/>
  <c r="Q121" i="2" a="1"/>
  <c r="Q150" i="2" a="1"/>
  <c r="P116" i="2" a="1"/>
  <c r="O286" i="2" a="1"/>
  <c r="R210" i="2" a="1"/>
  <c r="O256" i="2" a="1"/>
  <c r="P187" i="2" a="1"/>
  <c r="R85" i="2" a="1"/>
  <c r="O245" i="2" a="1"/>
  <c r="R155" i="2" a="1"/>
  <c r="P80" i="2" a="1"/>
  <c r="R286" i="2" a="1"/>
  <c r="S206" i="2" a="1"/>
  <c r="S218" i="2" a="1"/>
  <c r="O217" i="2" a="1"/>
  <c r="S195" i="2" a="1"/>
  <c r="S97" i="2" a="1"/>
  <c r="R211" i="2" a="1"/>
  <c r="R50" i="2" a="1"/>
  <c r="S249" i="2" a="1"/>
  <c r="Q102" i="2" a="1"/>
  <c r="Q265" i="2" a="1"/>
  <c r="R149" i="2" a="1"/>
  <c r="P140" i="2" a="1"/>
  <c r="P49" i="2" a="1"/>
  <c r="R146" i="2" a="1"/>
  <c r="S77" i="2" a="1"/>
  <c r="R46" i="2" a="1"/>
  <c r="O118" i="2" a="1"/>
  <c r="S163" i="2" a="1"/>
  <c r="Q127" i="2" a="1"/>
  <c r="S232" i="2" a="1"/>
  <c r="P84" i="2" a="1"/>
  <c r="P202" i="2" a="1"/>
  <c r="R65" i="2" a="1"/>
  <c r="O90" i="2" a="1"/>
  <c r="O209" i="2" a="1"/>
  <c r="O288" i="2" a="1"/>
  <c r="O87" i="2" a="1"/>
  <c r="R205" i="2" a="1"/>
  <c r="R138" i="2" a="1"/>
  <c r="Q79" i="2" a="1"/>
  <c r="O230" i="2" a="1"/>
  <c r="R117" i="2" a="1"/>
  <c r="S74" i="2" a="1"/>
  <c r="Q165" i="2" a="1"/>
  <c r="Q224" i="2" a="1"/>
  <c r="Q244" i="2" a="1"/>
  <c r="R60" i="2" a="1"/>
  <c r="Q62" i="2" a="1"/>
  <c r="R230" i="2" a="1"/>
  <c r="R66" i="2" a="1"/>
  <c r="O200" i="2" a="1"/>
  <c r="S240" i="2" a="1"/>
  <c r="Q164" i="2" a="1"/>
  <c r="S80" i="2" a="1"/>
  <c r="R242" i="2" a="1"/>
  <c r="P284" i="2" a="1"/>
  <c r="Q254" i="2" a="1"/>
  <c r="O210" i="2" a="1"/>
  <c r="S91" i="2" a="1"/>
  <c r="Q135" i="2" a="1"/>
  <c r="Q66" i="2" a="1"/>
  <c r="R87" i="2" a="1"/>
  <c r="O59" i="2" a="1"/>
  <c r="Q97" i="2" a="1"/>
  <c r="O102" i="2" a="1"/>
  <c r="O268" i="2" a="1"/>
  <c r="O260" i="2" a="1"/>
  <c r="P110" i="2" a="1"/>
  <c r="P150" i="2" a="1"/>
  <c r="S276" i="2" a="1"/>
  <c r="S111" i="2" a="1"/>
  <c r="S157" i="2" a="1"/>
  <c r="O275" i="2" a="1"/>
  <c r="O229" i="2" a="1"/>
  <c r="S119" i="2" a="1"/>
  <c r="P70" i="2" a="1"/>
  <c r="Q139" i="2" a="1"/>
  <c r="O195" i="2" a="1"/>
  <c r="Q136" i="2" a="1"/>
  <c r="S100" i="2" a="1"/>
  <c r="Q68" i="2" a="1"/>
  <c r="R49" i="2" a="1"/>
  <c r="P119" i="2" a="1"/>
  <c r="P52" i="2" a="1"/>
  <c r="O95" i="2" a="1"/>
  <c r="P194" i="2" a="1"/>
  <c r="P131" i="2" a="1"/>
  <c r="P53" i="2" a="1"/>
  <c r="R123" i="2" a="1"/>
  <c r="R195" i="2" a="1"/>
  <c r="Q217" i="2" a="1"/>
  <c r="Q185" i="2" a="1"/>
  <c r="P169" i="2" a="1"/>
  <c r="S170" i="2" a="1"/>
  <c r="O184" i="2" a="1"/>
  <c r="O180" i="2" a="1"/>
  <c r="S138" i="2" a="1"/>
  <c r="P47" i="2" a="1"/>
  <c r="S142" i="2" a="1"/>
  <c r="R170" i="2" a="1"/>
  <c r="P149" i="2" a="1"/>
  <c r="S132" i="2" a="1"/>
  <c r="P261" i="2" a="1"/>
  <c r="S60" i="2" a="1"/>
  <c r="R204" i="2" a="1"/>
  <c r="S59" i="2" a="1"/>
  <c r="Q235" i="2" a="1"/>
  <c r="Q199" i="2" a="1"/>
  <c r="Q256" i="2" a="1"/>
  <c r="Q86" i="2" a="1"/>
  <c r="P199" i="2" a="1"/>
  <c r="P191" i="2" a="1"/>
  <c r="O152" i="2" a="1"/>
  <c r="Q207" i="2" a="1"/>
  <c r="S155" i="2" a="1"/>
  <c r="Q269" i="2" a="1"/>
  <c r="P144" i="2" a="1"/>
  <c r="R78" i="2" a="1"/>
  <c r="P153" i="2" a="1"/>
  <c r="R110" i="2" a="1"/>
  <c r="S92" i="2" a="1"/>
  <c r="S197" i="2" a="1"/>
  <c r="Q146" i="2" a="1"/>
  <c r="P142" i="2" a="1"/>
  <c r="R82" i="2" a="1"/>
  <c r="O187" i="2" a="1"/>
  <c r="O82" i="2" a="1"/>
  <c r="R131" i="2" a="1"/>
  <c r="O207" i="2" a="1"/>
  <c r="P86" i="2" a="1"/>
  <c r="S143" i="2" a="1"/>
  <c r="S61" i="2" a="1"/>
  <c r="P233" i="2" a="1"/>
  <c r="Q143" i="2" a="1"/>
  <c r="R119" i="2" a="1"/>
  <c r="R54" i="2" a="1"/>
  <c r="Q216" i="2" a="1"/>
  <c r="Q77" i="2" a="1"/>
  <c r="Q110" i="2" a="1"/>
  <c r="P197" i="2" a="1"/>
  <c r="P159" i="2" a="1"/>
  <c r="R89" i="2" a="1"/>
  <c r="R216" i="2" a="1"/>
  <c r="Q128" i="2" a="1"/>
  <c r="P117" i="2" a="1"/>
  <c r="Q246" i="2" a="1"/>
  <c r="P113" i="2" a="1"/>
  <c r="P272" i="2" a="1"/>
  <c r="S93" i="2" a="1"/>
  <c r="O266" i="2" a="1"/>
  <c r="Q116" i="2" a="1"/>
  <c r="Q171" i="2" a="1"/>
  <c r="Q48" i="2" a="1"/>
  <c r="S88" i="2" a="1"/>
  <c r="O269" i="2" a="1"/>
  <c r="P96" i="2" a="1"/>
  <c r="Q119" i="2" a="1"/>
  <c r="S269" i="2" a="1"/>
  <c r="R121" i="2" a="1"/>
  <c r="Q173" i="2" a="1"/>
  <c r="O127" i="2" a="1"/>
  <c r="R213" i="2" a="1"/>
  <c r="P133" i="2" a="1"/>
  <c r="R133" i="2" a="1"/>
  <c r="O77" i="2" a="1"/>
  <c r="R55" i="2" a="1"/>
  <c r="O224" i="2" a="1"/>
  <c r="Q178" i="2" a="1"/>
  <c r="Q218" i="2" a="1"/>
  <c r="R255" i="2" a="1"/>
  <c r="O226" i="2" a="1"/>
  <c r="R130" i="2" a="1"/>
  <c r="S58" i="2" a="1"/>
  <c r="P240" i="2" a="1"/>
  <c r="O177" i="2" a="1"/>
  <c r="P48" i="2" a="1"/>
  <c r="Q214" i="2" a="1"/>
  <c r="Q203" i="2" a="1"/>
  <c r="S213" i="2" a="1"/>
  <c r="O278" i="2" a="1"/>
  <c r="O74" i="2" a="1"/>
  <c r="P124" i="2" a="1"/>
  <c r="R98" i="2" a="1"/>
  <c r="O100" i="2" a="1"/>
  <c r="O244" i="2" a="1"/>
  <c r="P229" i="2" a="1"/>
  <c r="R232" i="2" a="1"/>
  <c r="R277" i="2" a="1"/>
  <c r="P97" i="2" a="1"/>
  <c r="R116" i="2" a="1"/>
  <c r="S245" i="2" a="1"/>
  <c r="P108" i="2" a="1"/>
  <c r="R77" i="2" a="1"/>
  <c r="R172" i="2" a="1"/>
  <c r="R53" i="2" a="1"/>
  <c r="Q213" i="2" a="1"/>
  <c r="Q59" i="2" a="1"/>
  <c r="S87" i="2" a="1"/>
  <c r="R166" i="2" a="1"/>
  <c r="P114" i="2" a="1"/>
  <c r="P285" i="2" a="1"/>
  <c r="R72" i="2" a="1"/>
  <c r="P226" i="2" a="1"/>
  <c r="O91" i="2" a="1"/>
  <c r="P88" i="2" a="1"/>
  <c r="S286" i="2" a="1"/>
  <c r="Q229" i="2" a="1"/>
  <c r="R260" i="2" a="1"/>
  <c r="Q228" i="2" a="1"/>
  <c r="R231" i="2" a="1"/>
  <c r="R108" i="2" a="1"/>
  <c r="O131" i="2" a="1"/>
  <c r="O174" i="2" a="1"/>
  <c r="S94" i="2" a="1"/>
  <c r="O115" i="2" a="1"/>
  <c r="Q90" i="2" a="1"/>
  <c r="Q260" i="2" a="1"/>
  <c r="R251" i="2" a="1"/>
  <c r="Q201" i="2" a="1"/>
  <c r="O101" i="2" a="1"/>
  <c r="P212" i="2" a="1"/>
  <c r="R180" i="2" a="1"/>
  <c r="S208" i="2" a="1"/>
  <c r="P168" i="2" a="1"/>
  <c r="O263" i="2" a="1"/>
  <c r="R101" i="2" a="1"/>
  <c r="P79" i="2" a="1"/>
  <c r="Q275" i="2" a="1"/>
  <c r="Q259" i="2" a="1"/>
  <c r="P245" i="2" a="1"/>
  <c r="O234" i="2" a="1"/>
  <c r="Q153" i="2" a="1"/>
  <c r="O208" i="2" a="1"/>
  <c r="O280" i="2" a="1"/>
  <c r="S73" i="2" a="1"/>
  <c r="O283" i="2" a="1"/>
  <c r="Q204" i="2" a="1"/>
  <c r="S117" i="2" a="1"/>
  <c r="P98" i="2" a="1"/>
  <c r="R173" i="2" a="1"/>
  <c r="P128" i="2" a="1"/>
  <c r="R191" i="2" a="1"/>
  <c r="P221" i="2" a="1"/>
  <c r="O247" i="2" a="1"/>
  <c r="Q168" i="2" a="1"/>
  <c r="R122" i="2" a="1"/>
  <c r="R241" i="2" a="1"/>
  <c r="S108" i="2" a="1"/>
  <c r="S239" i="2" a="1"/>
  <c r="R249" i="2" a="1"/>
  <c r="R97" i="2" a="1"/>
  <c r="S150" i="2" a="1"/>
  <c r="O151" i="2" a="1"/>
  <c r="P246" i="2" a="1"/>
  <c r="O147" i="2" a="1"/>
  <c r="R112" i="2" a="1"/>
  <c r="R153" i="2" a="1"/>
  <c r="R284" i="2" a="1"/>
  <c r="S53" i="2" a="1"/>
  <c r="R239" i="2" a="1"/>
  <c r="P76" i="2" a="1"/>
  <c r="P173" i="2" a="1"/>
  <c r="P211" i="2" a="1"/>
  <c r="Q52" i="2" a="1"/>
  <c r="P277" i="2" a="1"/>
  <c r="S236" i="2" a="1"/>
  <c r="O205" i="2" a="1"/>
  <c r="S110" i="2" a="1"/>
  <c r="O235" i="2" a="1"/>
  <c r="Q238" i="2" a="1"/>
  <c r="P127" i="2" a="1"/>
  <c r="S230" i="2" a="1"/>
  <c r="Q281" i="2" a="1"/>
  <c r="R227" i="2" a="1"/>
  <c r="S194" i="2" a="1"/>
  <c r="Q163" i="2" a="1"/>
  <c r="R285" i="2" a="1"/>
  <c r="Q190" i="2" a="1"/>
  <c r="S96" i="2" a="1"/>
  <c r="O104" i="2" a="1"/>
  <c r="O83" i="2" a="1"/>
  <c r="Q236" i="2" a="1"/>
  <c r="S146" i="2" a="1"/>
  <c r="P151" i="2" a="1"/>
  <c r="R80" i="2" a="1"/>
  <c r="Q159" i="2" a="1"/>
  <c r="S256" i="2" a="1"/>
  <c r="P193" i="2" a="1"/>
  <c r="S270" i="2" a="1"/>
  <c r="P239" i="2" a="1"/>
  <c r="Q120" i="2" a="1"/>
  <c r="Q130" i="2" a="1"/>
  <c r="O150" i="2" a="1"/>
  <c r="O60" i="2" a="1"/>
  <c r="Q141" i="2" a="1"/>
  <c r="S120" i="2" a="1"/>
  <c r="R188" i="2" a="1"/>
  <c r="R245" i="2" a="1"/>
  <c r="R67" i="2" a="1"/>
  <c r="R185" i="2" a="1"/>
  <c r="P269" i="2" a="1"/>
  <c r="S182" i="2" a="1"/>
  <c r="S282" i="2" a="1"/>
  <c r="Q262" i="2" a="1"/>
  <c r="Q278" i="2" a="1"/>
  <c r="R200" i="2" a="1"/>
  <c r="R103" i="2" a="1"/>
  <c r="O63" i="2" a="1"/>
  <c r="O45" i="2" a="1"/>
  <c r="Q124" i="2" a="1"/>
  <c r="O169" i="2" a="1"/>
  <c r="P162" i="2" a="1"/>
  <c r="O143" i="2" a="1"/>
  <c r="R92" i="2" a="1"/>
  <c r="R94" i="2" a="1"/>
  <c r="R281" i="2" a="1"/>
  <c r="Q186" i="2" a="1"/>
  <c r="Q239" i="2" a="1"/>
  <c r="P103" i="2" a="1"/>
  <c r="O135" i="2" a="1"/>
  <c r="S49" i="2" a="1"/>
  <c r="O54" i="2" a="1"/>
  <c r="S285" i="2" a="1"/>
  <c r="P69" i="2" a="1"/>
  <c r="O134" i="2" a="1"/>
  <c r="O71" i="2" a="1"/>
  <c r="S54" i="2" a="1"/>
  <c r="R225" i="2" a="1"/>
  <c r="P287" i="2" a="1"/>
  <c r="O128" i="2" a="1"/>
  <c r="R151" i="2" a="1"/>
  <c r="Q50" i="2" a="1"/>
  <c r="Q191" i="2" a="1"/>
  <c r="O153" i="2" a="1"/>
  <c r="O56" i="2" a="1"/>
  <c r="Q208" i="2" a="1"/>
  <c r="O58" i="2" a="1"/>
  <c r="O191" i="2" a="1"/>
  <c r="R265" i="2" a="1"/>
  <c r="O206" i="2" a="1"/>
  <c r="P266" i="2" a="1"/>
  <c r="P214" i="2" a="1"/>
  <c r="S162" i="2" a="1"/>
  <c r="P101" i="2" a="1"/>
  <c r="S127" i="2" a="1"/>
  <c r="S65" i="2" a="1"/>
  <c r="P81" i="2" a="1"/>
  <c r="O92" i="2" a="1"/>
  <c r="Q115" i="2" a="1"/>
  <c r="P166" i="2" a="1"/>
  <c r="R159" i="2" a="1"/>
  <c r="Q172" i="2" a="1"/>
  <c r="Q158" i="2" a="1"/>
  <c r="R84" i="2" a="1"/>
  <c r="S79" i="2" a="1"/>
  <c r="R57" i="2" a="1"/>
  <c r="P104" i="2" a="1"/>
  <c r="O141" i="2" a="1"/>
  <c r="P288" i="2" a="1"/>
  <c r="R197" i="2" a="1"/>
  <c r="S223" i="2" a="1"/>
  <c r="R248" i="2" a="1"/>
  <c r="P126" i="2" a="1"/>
  <c r="S68" i="2" a="1"/>
  <c r="S151" i="2" a="1"/>
  <c r="Q179" i="2" a="1"/>
  <c r="P94" i="2" a="1"/>
  <c r="S237" i="2" a="1"/>
  <c r="S260" i="2" a="1"/>
  <c r="S235" i="2" a="1"/>
  <c r="P238" i="2" a="1"/>
  <c r="P72" i="2" a="1"/>
  <c r="O228" i="2" a="1"/>
  <c r="S130" i="2" a="1"/>
  <c r="Q248" i="2" a="1"/>
  <c r="O148" i="2" a="1"/>
  <c r="O161" i="2" a="1"/>
  <c r="O64" i="2" a="1"/>
  <c r="Q107" i="2" a="1"/>
  <c r="O126" i="2" a="1"/>
  <c r="O282" i="2" a="1"/>
  <c r="S179" i="2" a="1"/>
  <c r="S121" i="2" a="1"/>
  <c r="O67" i="2" a="1"/>
  <c r="Q167" i="2" a="1"/>
  <c r="Q122" i="2" a="1"/>
  <c r="R152" i="2" a="1"/>
  <c r="Q117" i="2" a="1"/>
  <c r="S231" i="2" a="1"/>
  <c r="S229" i="2" a="1"/>
  <c r="Q284" i="2" a="1"/>
  <c r="O246" i="2" a="1"/>
  <c r="S225" i="2" a="1"/>
  <c r="R288" i="2" a="1"/>
  <c r="R107" i="2" a="1"/>
  <c r="P63" i="2" a="1"/>
  <c r="P154" i="2" a="1"/>
  <c r="S217" i="2" a="1"/>
  <c r="O225" i="2" a="1"/>
  <c r="O156" i="2" a="1"/>
  <c r="Q247" i="2" a="1"/>
  <c r="P252" i="2" a="1"/>
  <c r="S212" i="2" a="1"/>
  <c r="O239" i="2" a="1"/>
  <c r="P222" i="2" a="1"/>
  <c r="S187" i="2" a="1"/>
  <c r="P83" i="2" a="1"/>
  <c r="O61" i="2" a="1"/>
  <c r="Q251" i="2" a="1"/>
  <c r="S52" i="2" a="1"/>
  <c r="R209" i="2" a="1"/>
  <c r="P263" i="2" a="1"/>
  <c r="R228" i="2" a="1"/>
  <c r="Q187" i="2" a="1"/>
  <c r="P258" i="2" a="1"/>
  <c r="Q63" i="2" a="1"/>
  <c r="S51" i="2" a="1"/>
  <c r="Q188" i="2" a="1"/>
  <c r="Q253" i="2" a="1"/>
  <c r="R247" i="2" a="1"/>
  <c r="O181" i="2" a="1"/>
  <c r="R271" i="2" a="1"/>
  <c r="R253" i="2" a="1"/>
  <c r="Q72" i="2" a="1"/>
  <c r="R105" i="2" a="1"/>
  <c r="O281" i="2" a="1"/>
  <c r="O99" i="2" a="1"/>
  <c r="P55" i="2" a="1"/>
  <c r="P77" i="2" a="1"/>
  <c r="S137" i="2" a="1"/>
  <c r="S144" i="2" a="1"/>
  <c r="O69" i="2" a="1"/>
  <c r="R62" i="2" a="1"/>
  <c r="P179" i="2" a="1"/>
  <c r="O70" i="2" a="1"/>
  <c r="S128" i="2" a="1"/>
  <c r="O81" i="2" a="1"/>
  <c r="P156" i="2" a="1"/>
  <c r="P186" i="2" a="1"/>
  <c r="Q84" i="2" a="1"/>
  <c r="P190" i="2" a="1"/>
  <c r="R235" i="2" a="1"/>
  <c r="R220" i="2" a="1"/>
  <c r="Q280" i="2" a="1"/>
  <c r="Q193" i="2" a="1"/>
  <c r="S288" i="2" a="1"/>
  <c r="O273" i="2" a="1"/>
  <c r="Q123" i="2" a="1"/>
  <c r="R223" i="2" a="1"/>
  <c r="S203" i="2" a="1"/>
  <c r="S136" i="2" a="1"/>
  <c r="S156" i="2" a="1"/>
  <c r="R161" i="2" a="1"/>
  <c r="R90" i="2" a="1"/>
  <c r="P257" i="2" a="1"/>
  <c r="Q225" i="2" a="1"/>
  <c r="O258" i="2" a="1"/>
  <c r="Q57" i="2" a="1"/>
  <c r="R224" i="2" a="1"/>
  <c r="O175" i="2" a="1"/>
  <c r="Q243" i="2" a="1"/>
  <c r="Q54" i="2" a="1"/>
  <c r="O211" i="2" a="1"/>
  <c r="O204" i="2" a="1"/>
  <c r="P228" i="2" a="1"/>
  <c r="R129" i="2" a="1"/>
  <c r="S226" i="2" a="1"/>
  <c r="R58" i="2" a="1"/>
  <c r="Q241" i="2" a="1"/>
  <c r="Q273" i="2" a="1"/>
  <c r="O192" i="2" a="1"/>
  <c r="R198" i="2" a="1"/>
  <c r="P200" i="2" a="1"/>
  <c r="P283" i="2" a="1"/>
  <c r="Q242" i="2" a="1"/>
  <c r="Q268" i="2" a="1"/>
  <c r="P87" i="2" a="1"/>
  <c r="R226" i="2" a="1"/>
  <c r="Q252" i="2" a="1"/>
  <c r="O243" i="2" a="1"/>
  <c r="R254" i="2" a="1"/>
  <c r="S180" i="2" a="1"/>
  <c r="O168" i="2" a="1"/>
  <c r="O73" i="2" a="1"/>
  <c r="S207" i="2" a="1"/>
  <c r="S160" i="2" a="1"/>
  <c r="P184" i="2" a="1"/>
  <c r="Q152" i="2" a="1"/>
  <c r="Q279" i="2" a="1"/>
  <c r="O267" i="2" a="1"/>
  <c r="O220" i="2" a="1"/>
  <c r="O96" i="2" a="1"/>
  <c r="P118" i="2" a="1"/>
  <c r="R127" i="2" a="1"/>
  <c r="P177" i="2" a="1"/>
  <c r="P232" i="2" a="1"/>
  <c r="O274" i="2" a="1"/>
  <c r="R264" i="2" a="1"/>
  <c r="P58" i="2" a="1"/>
  <c r="P220" i="2" a="1"/>
  <c r="S95" i="2" a="1"/>
  <c r="R268" i="2" a="1"/>
  <c r="P201" i="2" a="1"/>
  <c r="Q183" i="2" a="1"/>
  <c r="R48" i="2" a="1"/>
  <c r="O75" i="2" a="1"/>
  <c r="S252" i="2" a="1"/>
  <c r="S257" i="2" a="1"/>
  <c r="P210" i="2" a="1"/>
  <c r="S62" i="2" a="1"/>
  <c r="Q215" i="2" a="1"/>
  <c r="S140" i="2" a="1"/>
  <c r="S78" i="2" a="1"/>
  <c r="Q206" i="2" a="1"/>
  <c r="S255" i="2" a="1"/>
  <c r="P105" i="2" a="1"/>
  <c r="P249" i="2" a="1"/>
  <c r="O165" i="2" a="1"/>
  <c r="O248" i="2" a="1"/>
  <c r="O80" i="2" a="1"/>
  <c r="P195" i="2" a="1"/>
  <c r="Q109" i="2" a="1"/>
  <c r="O185" i="2" a="1"/>
  <c r="S44" i="2" a="1"/>
  <c r="R190" i="2" a="1"/>
  <c r="P152" i="2" a="1"/>
  <c r="O213" i="2" a="1"/>
  <c r="S184" i="2" a="1"/>
  <c r="R208" i="2" a="1"/>
  <c r="O171" i="2" a="1"/>
  <c r="P282" i="2" a="1"/>
  <c r="P174" i="2" a="1"/>
  <c r="P141" i="2" a="1"/>
  <c r="O242" i="2" a="1"/>
  <c r="Q196" i="2" a="1"/>
  <c r="S168" i="2" a="1"/>
  <c r="O114" i="2" a="1"/>
  <c r="O130" i="2" a="1"/>
  <c r="R171" i="2" a="1"/>
  <c r="Q221" i="2" a="1"/>
  <c r="O47" i="2" a="1"/>
  <c r="P92" i="2" a="1"/>
  <c r="Q104" i="2" a="1"/>
  <c r="R148" i="2" a="1"/>
  <c r="O50" i="2" a="1"/>
  <c r="P158" i="2" a="1"/>
  <c r="P217" i="2" a="1"/>
  <c r="P67" i="2" a="1"/>
  <c r="S85" i="2" a="1"/>
  <c r="O178" i="2" a="1"/>
  <c r="O198" i="2" a="1"/>
  <c r="P259" i="2" a="1"/>
  <c r="S147" i="2" a="1"/>
  <c r="R250" i="2" a="1"/>
  <c r="S84" i="2" a="1"/>
  <c r="O261" i="2" a="1"/>
  <c r="Q47" i="2" a="1"/>
  <c r="R229" i="2" a="1"/>
  <c r="S55" i="2" a="1"/>
  <c r="P155" i="2" a="1"/>
  <c r="O93" i="2" a="1"/>
  <c r="P139" i="2" a="1"/>
  <c r="O129" i="2" a="1"/>
  <c r="S57" i="2" a="1"/>
  <c r="R157" i="2" a="1"/>
  <c r="O271" i="2" a="1"/>
  <c r="P182" i="2" a="1"/>
  <c r="R141" i="2" a="1"/>
  <c r="S271" i="2" a="1"/>
  <c r="Q85" i="2" a="1"/>
  <c r="P125" i="2" a="1"/>
  <c r="S47" i="2" a="1"/>
  <c r="Q237" i="2" a="1"/>
  <c r="P157" i="2" a="1"/>
  <c r="S71" i="2" a="1"/>
  <c r="Q75" i="2" a="1"/>
  <c r="R147" i="2" a="1"/>
  <c r="Q46" i="2" a="1"/>
  <c r="R181" i="2" a="1"/>
  <c r="Q94" i="2" a="1"/>
  <c r="P234" i="2" a="1"/>
  <c r="P111" i="2" a="1"/>
  <c r="S64" i="2" a="1"/>
  <c r="P85" i="2" a="1"/>
  <c r="Q264" i="2" a="1"/>
  <c r="S174" i="2" a="1"/>
  <c r="P100" i="2" a="1"/>
  <c r="P61" i="2" a="1"/>
  <c r="P207" i="2" a="1"/>
  <c r="Q177" i="2" a="1"/>
  <c r="R114" i="2" a="1"/>
  <c r="O172" i="2" a="1"/>
  <c r="P253" i="2" a="1"/>
  <c r="R154" i="2" a="1"/>
  <c r="R203" i="2" a="1"/>
  <c r="O103" i="2" a="1"/>
  <c r="S106" i="2" a="1"/>
  <c r="O146" i="2" a="1"/>
  <c r="Q111" i="2" a="1"/>
  <c r="Q234" i="2" a="1"/>
  <c r="S102" i="2" a="1"/>
  <c r="R219" i="2" a="1"/>
  <c r="R280" i="2" a="1"/>
  <c r="Q87" i="2" a="1"/>
  <c r="R183" i="2" a="1"/>
  <c r="Q100" i="2" a="1"/>
  <c r="R221" i="2" a="1"/>
  <c r="R88" i="2" a="1"/>
  <c r="O276" i="2" a="1"/>
  <c r="O88" i="2" a="1"/>
  <c r="S193" i="2" a="1"/>
  <c r="P167" i="2" a="1"/>
  <c r="R215" i="2" a="1"/>
  <c r="R113" i="2" a="1"/>
  <c r="Q132" i="2" a="1"/>
  <c r="Q89" i="2" a="1"/>
  <c r="O214" i="2" a="1"/>
  <c r="S281" i="2" a="1"/>
  <c r="R182" i="2" a="1"/>
  <c r="S261" i="2" a="1"/>
  <c r="O79" i="2" a="1"/>
  <c r="Q106" i="2" a="1"/>
  <c r="O121" i="2" a="1"/>
  <c r="Q267" i="2" a="1"/>
  <c r="Q49" i="2" a="1"/>
  <c r="R178" i="2" a="1"/>
  <c r="O117" i="2" a="1"/>
  <c r="Q98" i="2" a="1"/>
  <c r="R236" i="2" a="1"/>
  <c r="R70" i="2" a="1"/>
  <c r="S126" i="2" a="1"/>
  <c r="O252" i="2" a="1"/>
  <c r="O105" i="2" a="1"/>
  <c r="R240" i="2" a="1"/>
  <c r="O279" i="2" a="1"/>
  <c r="O155" i="2" a="1"/>
  <c r="P132" i="2" a="1"/>
  <c r="S105" i="2" a="1"/>
  <c r="S221" i="2" a="1"/>
  <c r="S158" i="2" a="1"/>
  <c r="O241" i="2" a="1"/>
  <c r="P145" i="2" a="1"/>
  <c r="S284" i="2" a="1"/>
  <c r="P134" i="2" a="1"/>
  <c r="R176" i="2" a="1"/>
  <c r="Q192" i="2" a="1"/>
  <c r="S287" i="2" a="1"/>
  <c r="Q137" i="2" a="1"/>
  <c r="P163" i="2" a="1"/>
  <c r="P115" i="2" a="1"/>
  <c r="P275" i="2" a="1"/>
  <c r="Q51" i="2" a="1"/>
  <c r="P243" i="2" a="1"/>
  <c r="O113" i="2" a="1"/>
  <c r="P82" i="2" a="1"/>
  <c r="S50" i="2" a="1"/>
  <c r="O227" i="2" a="1"/>
  <c r="Q118" i="2" a="1"/>
  <c r="R287" i="2" a="1"/>
  <c r="P50" i="2" a="1"/>
  <c r="P218" i="2" a="1"/>
  <c r="O137" i="2" a="1"/>
  <c r="Q255" i="2" a="1"/>
  <c r="O145" i="2" a="1"/>
  <c r="R115" i="2" a="1"/>
  <c r="Q92" i="2" a="1"/>
  <c r="R142" i="2" a="1"/>
  <c r="P188" i="2" a="1"/>
  <c r="Q131" i="2" a="1"/>
  <c r="S166" i="2" a="1"/>
  <c r="S202" i="2" a="1"/>
  <c r="S267" i="2" a="1"/>
  <c r="P203" i="2" a="1"/>
  <c r="Q114" i="2" a="1"/>
  <c r="Q184" i="2" a="1"/>
  <c r="R86" i="2" a="1"/>
  <c r="Q96" i="2" a="1"/>
  <c r="O76" i="2" a="1"/>
  <c r="Q138" i="2" a="1"/>
  <c r="P74" i="2" a="1"/>
  <c r="R194" i="2" a="1"/>
  <c r="Q209" i="2" a="1"/>
  <c r="O125" i="2" a="1"/>
  <c r="P244" i="2" a="1"/>
  <c r="S133" i="2" a="1"/>
  <c r="O265" i="2" a="1"/>
  <c r="S238" i="2" a="1"/>
  <c r="S177" i="2" a="1"/>
  <c r="Q161" i="2" a="1"/>
  <c r="O136" i="2" a="1"/>
  <c r="P209" i="2" a="1"/>
  <c r="R135" i="2" a="1"/>
  <c r="S278" i="2" a="1"/>
  <c r="R186" i="2" a="1"/>
  <c r="Q170" i="2" a="1"/>
  <c r="R104" i="2" a="1"/>
  <c r="O237" i="2" a="1"/>
  <c r="P230" i="2" a="1"/>
  <c r="S265" i="2" a="1"/>
  <c r="R51" i="2" a="1"/>
  <c r="Q154" i="2" a="1"/>
  <c r="O270" i="2" a="1"/>
  <c r="S175" i="2" a="1"/>
  <c r="Q113" i="2" a="1"/>
  <c r="S148" i="2" a="1"/>
  <c r="O132" i="2" a="1"/>
  <c r="R136" i="2" a="1"/>
  <c r="P208" i="2" a="1"/>
  <c r="P213" i="2" a="1"/>
  <c r="O133" i="2" a="1"/>
  <c r="Q134" i="2" a="1"/>
  <c r="O249" i="2" a="1"/>
  <c r="O44" i="2" a="1"/>
  <c r="S89" i="2" a="1"/>
  <c r="P68" i="2" a="1"/>
  <c r="Q249" i="2" a="1"/>
  <c r="S167" i="2" a="1"/>
  <c r="S241" i="2" a="1"/>
  <c r="R124" i="2" a="1"/>
  <c r="O221" i="2" a="1"/>
  <c r="S192" i="2" a="1"/>
  <c r="S262" i="2" a="1"/>
  <c r="R193" i="2" a="1"/>
  <c r="S191" i="2" a="1"/>
  <c r="S99" i="2" a="1"/>
  <c r="S112" i="2" a="1"/>
  <c r="R64" i="2" a="1"/>
  <c r="Q266" i="2" a="1"/>
  <c r="S45" i="2" a="1"/>
  <c r="P102" i="2" a="1"/>
  <c r="S205" i="2" a="1"/>
  <c r="P146" i="2" a="1"/>
  <c r="S172" i="2" a="1"/>
  <c r="S224" i="2" a="1"/>
  <c r="R140" i="2" a="1"/>
  <c r="S67" i="2" a="1"/>
  <c r="Q286" i="2" a="1"/>
  <c r="P279" i="2" a="1"/>
  <c r="Q144" i="2" a="1"/>
  <c r="S198" i="2" a="1"/>
  <c r="Q227" i="2" a="1"/>
  <c r="R93" i="2" a="1"/>
  <c r="S183" i="2" a="1"/>
  <c r="R276" i="2" a="1"/>
  <c r="R222" i="2" a="1"/>
  <c r="R261" i="2" a="1"/>
  <c r="R270" i="2" a="1"/>
  <c r="O109" i="2" a="1"/>
  <c r="R134" i="2" a="1"/>
  <c r="S82" i="2" a="1"/>
  <c r="O182" i="2" a="1"/>
  <c r="R118" i="2" a="1"/>
  <c r="S211" i="2" a="1"/>
  <c r="Q219" i="2" a="1"/>
  <c r="O285" i="2" a="1"/>
  <c r="R74" i="2" a="1"/>
  <c r="Q261" i="2" a="1"/>
  <c r="Q220" i="2" a="1"/>
  <c r="S228" i="2" a="1"/>
  <c r="R45" i="2" a="1"/>
  <c r="O57" i="2" a="1"/>
  <c r="P204" i="2" a="1"/>
  <c r="O223" i="2" a="1"/>
  <c r="R278" i="2" a="1"/>
  <c r="P62" i="2" a="1"/>
  <c r="R202" i="2" a="1"/>
  <c r="S219" i="2" a="1"/>
  <c r="Q156" i="2" a="1"/>
  <c r="Q223" i="2" a="1"/>
  <c r="P273" i="2" a="1"/>
  <c r="Q197" i="2" a="1"/>
  <c r="R206" i="2" a="1"/>
  <c r="O157" i="2" a="1"/>
  <c r="S63" i="2" a="1"/>
  <c r="R196" i="2" a="1"/>
  <c r="P138" i="2" a="1"/>
  <c r="R217" i="2" a="1"/>
  <c r="P189" i="2" a="1"/>
  <c r="Q250" i="2" a="1"/>
  <c r="P196" i="2" a="1"/>
  <c r="P172" i="2" a="1"/>
  <c r="R69" i="2" a="1"/>
  <c r="S181" i="2" a="1"/>
  <c r="R165" i="2" a="1"/>
  <c r="S109" i="2" a="1"/>
  <c r="R160" i="2" a="1"/>
  <c r="P123" i="2" a="1"/>
  <c r="P268" i="2" a="1"/>
  <c r="S185" i="2" a="1"/>
  <c r="S113" i="2" a="1"/>
  <c r="O170" i="2" a="1"/>
  <c r="O52" i="2" a="1"/>
  <c r="Q176" i="2" a="1"/>
  <c r="O94" i="2" a="1"/>
  <c r="O124" i="2" a="1"/>
  <c r="R237" i="2" a="1"/>
  <c r="R279" i="2" a="1"/>
  <c r="R274" i="2" a="1"/>
  <c r="S173" i="2" a="1"/>
  <c r="P250" i="2" a="1"/>
  <c r="Q200" i="2" a="1"/>
  <c r="P112" i="2" a="1"/>
  <c r="P71" i="2" a="1"/>
  <c r="Q276" i="2" a="1"/>
  <c r="P181" i="2" a="1"/>
  <c r="O188" i="2" a="1"/>
  <c r="R256" i="2" a="1"/>
  <c r="O78" i="2" a="1"/>
  <c r="S227" i="2" a="1"/>
  <c r="Q271" i="2" a="1"/>
  <c r="S176" i="2" a="1"/>
  <c r="S56" i="2" a="1"/>
  <c r="R275" i="2" a="1"/>
  <c r="O123" i="2" a="1"/>
  <c r="R266" i="2" a="1"/>
  <c r="R199" i="2" a="1"/>
  <c r="O51" i="2" a="1"/>
  <c r="P73" i="2" a="1"/>
  <c r="Q99" i="2" a="1"/>
  <c r="Q202" i="2" a="1"/>
  <c r="R243" i="2" a="1"/>
  <c r="R243" i="2" l="1"/>
  <c r="Q202" i="2"/>
  <c r="Q99" i="2"/>
  <c r="P73" i="2"/>
  <c r="O51" i="2"/>
  <c r="R199" i="2"/>
  <c r="R266" i="2"/>
  <c r="O123" i="2"/>
  <c r="R275" i="2"/>
  <c r="S56" i="2"/>
  <c r="S176" i="2"/>
  <c r="Q271" i="2"/>
  <c r="S227" i="2"/>
  <c r="O78" i="2"/>
  <c r="R256" i="2"/>
  <c r="O188" i="2"/>
  <c r="P181" i="2"/>
  <c r="Q276" i="2"/>
  <c r="P71" i="2"/>
  <c r="P112" i="2"/>
  <c r="Q200" i="2"/>
  <c r="P250" i="2"/>
  <c r="S173" i="2"/>
  <c r="R274" i="2"/>
  <c r="R279" i="2"/>
  <c r="R237" i="2"/>
  <c r="O124" i="2"/>
  <c r="O94" i="2"/>
  <c r="Q176" i="2"/>
  <c r="O52" i="2"/>
  <c r="O170" i="2"/>
  <c r="S113" i="2"/>
  <c r="S185" i="2"/>
  <c r="P268" i="2"/>
  <c r="P123" i="2"/>
  <c r="R160" i="2"/>
  <c r="S109" i="2"/>
  <c r="R165" i="2"/>
  <c r="S181" i="2"/>
  <c r="R69" i="2"/>
  <c r="P172" i="2"/>
  <c r="P196" i="2"/>
  <c r="Q250" i="2"/>
  <c r="P189" i="2"/>
  <c r="R217" i="2"/>
  <c r="P138" i="2"/>
  <c r="R196" i="2"/>
  <c r="S63" i="2"/>
  <c r="O157" i="2"/>
  <c r="R206" i="2"/>
  <c r="Q197" i="2"/>
  <c r="P273" i="2"/>
  <c r="Q223" i="2"/>
  <c r="Q156" i="2"/>
  <c r="S219" i="2"/>
  <c r="R202" i="2"/>
  <c r="P62" i="2"/>
  <c r="R278" i="2"/>
  <c r="O223" i="2"/>
  <c r="P204" i="2"/>
  <c r="O57" i="2"/>
  <c r="R45" i="2"/>
  <c r="S228" i="2"/>
  <c r="Q220" i="2"/>
  <c r="Q261" i="2"/>
  <c r="R74" i="2"/>
  <c r="O285" i="2"/>
  <c r="Q219" i="2"/>
  <c r="S211" i="2"/>
  <c r="R118" i="2"/>
  <c r="O182" i="2"/>
  <c r="S82" i="2"/>
  <c r="R134" i="2"/>
  <c r="O109" i="2"/>
  <c r="R270" i="2"/>
  <c r="R261" i="2"/>
  <c r="R222" i="2"/>
  <c r="R276" i="2"/>
  <c r="S183" i="2"/>
  <c r="R93" i="2"/>
  <c r="Q227" i="2"/>
  <c r="S198" i="2"/>
  <c r="Q144" i="2"/>
  <c r="P279" i="2"/>
  <c r="Q286" i="2"/>
  <c r="S67" i="2"/>
  <c r="R140" i="2"/>
  <c r="S224" i="2"/>
  <c r="S172" i="2"/>
  <c r="P146" i="2"/>
  <c r="S205" i="2"/>
  <c r="P102" i="2"/>
  <c r="S45" i="2"/>
  <c r="Q266" i="2"/>
  <c r="R64" i="2"/>
  <c r="S112" i="2"/>
  <c r="S99" i="2"/>
  <c r="S191" i="2"/>
  <c r="R193" i="2"/>
  <c r="S262" i="2"/>
  <c r="S192" i="2"/>
  <c r="O221" i="2"/>
  <c r="R124" i="2"/>
  <c r="S241" i="2"/>
  <c r="S167" i="2"/>
  <c r="Q249" i="2"/>
  <c r="P68" i="2"/>
  <c r="S89" i="2"/>
  <c r="O44" i="2"/>
  <c r="O249" i="2"/>
  <c r="Q134" i="2"/>
  <c r="O133" i="2"/>
  <c r="P213" i="2"/>
  <c r="P208" i="2"/>
  <c r="R136" i="2"/>
  <c r="O132" i="2"/>
  <c r="S148" i="2"/>
  <c r="Q113" i="2"/>
  <c r="S175" i="2"/>
  <c r="O270" i="2"/>
  <c r="Q154" i="2"/>
  <c r="R51" i="2"/>
  <c r="S265" i="2"/>
  <c r="P230" i="2"/>
  <c r="O237" i="2"/>
  <c r="R104" i="2"/>
  <c r="Q170" i="2"/>
  <c r="R186" i="2"/>
  <c r="S278" i="2"/>
  <c r="R135" i="2"/>
  <c r="P209" i="2"/>
  <c r="O136" i="2"/>
  <c r="Q161" i="2"/>
  <c r="S177" i="2"/>
  <c r="S238" i="2"/>
  <c r="O265" i="2"/>
  <c r="S133" i="2"/>
  <c r="P244" i="2"/>
  <c r="O125" i="2"/>
  <c r="Q209" i="2"/>
  <c r="R194" i="2"/>
  <c r="P74" i="2"/>
  <c r="Q138" i="2"/>
  <c r="O76" i="2"/>
  <c r="Q96" i="2"/>
  <c r="R86" i="2"/>
  <c r="Q184" i="2"/>
  <c r="Q114" i="2"/>
  <c r="P203" i="2"/>
  <c r="S267" i="2"/>
  <c r="S202" i="2"/>
  <c r="S166" i="2"/>
  <c r="Q131" i="2"/>
  <c r="P188" i="2"/>
  <c r="R142" i="2"/>
  <c r="Q92" i="2"/>
  <c r="R115" i="2"/>
  <c r="O145" i="2"/>
  <c r="Q255" i="2"/>
  <c r="O137" i="2"/>
  <c r="P218" i="2"/>
  <c r="P50" i="2"/>
  <c r="R287" i="2"/>
  <c r="Q118" i="2"/>
  <c r="O227" i="2"/>
  <c r="S50" i="2"/>
  <c r="P82" i="2"/>
  <c r="O113" i="2"/>
  <c r="P243" i="2"/>
  <c r="Q51" i="2"/>
  <c r="P275" i="2"/>
  <c r="P115" i="2"/>
  <c r="P163" i="2"/>
  <c r="Q137" i="2"/>
  <c r="S287" i="2"/>
  <c r="Q192" i="2"/>
  <c r="R176" i="2"/>
  <c r="P134" i="2"/>
  <c r="S284" i="2"/>
  <c r="P145" i="2"/>
  <c r="O241" i="2"/>
  <c r="S158" i="2"/>
  <c r="S221" i="2"/>
  <c r="S105" i="2"/>
  <c r="P132" i="2"/>
  <c r="O155" i="2"/>
  <c r="O279" i="2"/>
  <c r="R240" i="2"/>
  <c r="O105" i="2"/>
  <c r="O252" i="2"/>
  <c r="S126" i="2"/>
  <c r="R70" i="2"/>
  <c r="R236" i="2"/>
  <c r="Q98" i="2"/>
  <c r="O117" i="2"/>
  <c r="R178" i="2"/>
  <c r="Q49" i="2"/>
  <c r="Q267" i="2"/>
  <c r="O121" i="2"/>
  <c r="Q106" i="2"/>
  <c r="O79" i="2"/>
  <c r="S261" i="2"/>
  <c r="R182" i="2"/>
  <c r="S281" i="2"/>
  <c r="O214" i="2"/>
  <c r="Q89" i="2"/>
  <c r="Q132" i="2"/>
  <c r="R113" i="2"/>
  <c r="R215" i="2"/>
  <c r="P167" i="2"/>
  <c r="S193" i="2"/>
  <c r="O88" i="2"/>
  <c r="O276" i="2"/>
  <c r="R88" i="2"/>
  <c r="R221" i="2"/>
  <c r="Q100" i="2"/>
  <c r="R183" i="2"/>
  <c r="Q87" i="2"/>
  <c r="R280" i="2"/>
  <c r="R219" i="2"/>
  <c r="S102" i="2"/>
  <c r="Q234" i="2"/>
  <c r="Q111" i="2"/>
  <c r="O146" i="2"/>
  <c r="S106" i="2"/>
  <c r="O103" i="2"/>
  <c r="R203" i="2"/>
  <c r="R154" i="2"/>
  <c r="P253" i="2"/>
  <c r="O172" i="2"/>
  <c r="R114" i="2"/>
  <c r="Q177" i="2"/>
  <c r="P207" i="2"/>
  <c r="P61" i="2"/>
  <c r="P100" i="2"/>
  <c r="S174" i="2"/>
  <c r="Q264" i="2"/>
  <c r="P85" i="2"/>
  <c r="S64" i="2"/>
  <c r="P111" i="2"/>
  <c r="P234" i="2"/>
  <c r="Q94" i="2"/>
  <c r="R181" i="2"/>
  <c r="Q46" i="2"/>
  <c r="R147" i="2"/>
  <c r="Q75" i="2"/>
  <c r="S71" i="2"/>
  <c r="P157" i="2"/>
  <c r="Q237" i="2"/>
  <c r="S47" i="2"/>
  <c r="P125" i="2"/>
  <c r="Q85" i="2"/>
  <c r="S271" i="2"/>
  <c r="R141" i="2"/>
  <c r="P182" i="2"/>
  <c r="O271" i="2"/>
  <c r="R157" i="2"/>
  <c r="S57" i="2"/>
  <c r="O129" i="2"/>
  <c r="P139" i="2"/>
  <c r="O93" i="2"/>
  <c r="P155" i="2"/>
  <c r="S55" i="2"/>
  <c r="R229" i="2"/>
  <c r="Q47" i="2"/>
  <c r="O261" i="2"/>
  <c r="S84" i="2"/>
  <c r="R250" i="2"/>
  <c r="S147" i="2"/>
  <c r="P259" i="2"/>
  <c r="O198" i="2"/>
  <c r="O178" i="2"/>
  <c r="S85" i="2"/>
  <c r="P67" i="2"/>
  <c r="P217" i="2"/>
  <c r="P158" i="2"/>
  <c r="O50" i="2"/>
  <c r="R148" i="2"/>
  <c r="Q104" i="2"/>
  <c r="P92" i="2"/>
  <c r="O47" i="2"/>
  <c r="Q221" i="2"/>
  <c r="R171" i="2"/>
  <c r="O130" i="2"/>
  <c r="O114" i="2"/>
  <c r="S168" i="2"/>
  <c r="Q196" i="2"/>
  <c r="O242" i="2"/>
  <c r="P141" i="2"/>
  <c r="P174" i="2"/>
  <c r="P282" i="2"/>
  <c r="O171" i="2"/>
  <c r="R208" i="2"/>
  <c r="S184" i="2"/>
  <c r="O213" i="2"/>
  <c r="P152" i="2"/>
  <c r="R190" i="2"/>
  <c r="S44" i="2"/>
  <c r="O185" i="2"/>
  <c r="Q109" i="2"/>
  <c r="P195" i="2"/>
  <c r="O80" i="2"/>
  <c r="O248" i="2"/>
  <c r="O165" i="2"/>
  <c r="P249" i="2"/>
  <c r="P105" i="2"/>
  <c r="S255" i="2"/>
  <c r="Q206" i="2"/>
  <c r="S78" i="2"/>
  <c r="S140" i="2"/>
  <c r="Q215" i="2"/>
  <c r="S62" i="2"/>
  <c r="P210" i="2"/>
  <c r="S257" i="2"/>
  <c r="S252" i="2"/>
  <c r="O75" i="2"/>
  <c r="R48" i="2"/>
  <c r="Q183" i="2"/>
  <c r="P201" i="2"/>
  <c r="R268" i="2"/>
  <c r="S95" i="2"/>
  <c r="P220" i="2"/>
  <c r="P58" i="2"/>
  <c r="R264" i="2"/>
  <c r="O274" i="2"/>
  <c r="P232" i="2"/>
  <c r="P177" i="2"/>
  <c r="R127" i="2"/>
  <c r="P118" i="2"/>
  <c r="O96" i="2"/>
  <c r="O220" i="2"/>
  <c r="O267" i="2"/>
  <c r="Q279" i="2"/>
  <c r="Q152" i="2"/>
  <c r="P184" i="2"/>
  <c r="S160" i="2"/>
  <c r="S207" i="2"/>
  <c r="O73" i="2"/>
  <c r="O168" i="2"/>
  <c r="S180" i="2"/>
  <c r="R254" i="2"/>
  <c r="O243" i="2"/>
  <c r="Q252" i="2"/>
  <c r="R226" i="2"/>
  <c r="P87" i="2"/>
  <c r="Q268" i="2"/>
  <c r="Q242" i="2"/>
  <c r="P283" i="2"/>
  <c r="P200" i="2"/>
  <c r="R198" i="2"/>
  <c r="O192" i="2"/>
  <c r="Q273" i="2"/>
  <c r="Q241" i="2"/>
  <c r="R58" i="2"/>
  <c r="S226" i="2"/>
  <c r="R129" i="2"/>
  <c r="P228" i="2"/>
  <c r="O204" i="2"/>
  <c r="O211" i="2"/>
  <c r="Q54" i="2"/>
  <c r="Q243" i="2"/>
  <c r="O175" i="2"/>
  <c r="R224" i="2"/>
  <c r="Q57" i="2"/>
  <c r="O258" i="2"/>
  <c r="Q225" i="2"/>
  <c r="P257" i="2"/>
  <c r="R90" i="2"/>
  <c r="R161" i="2"/>
  <c r="S156" i="2"/>
  <c r="S136" i="2"/>
  <c r="S203" i="2"/>
  <c r="R223" i="2"/>
  <c r="Q123" i="2"/>
  <c r="O273" i="2"/>
  <c r="S288" i="2"/>
  <c r="Q193" i="2"/>
  <c r="Q280" i="2"/>
  <c r="R220" i="2"/>
  <c r="R235" i="2"/>
  <c r="P190" i="2"/>
  <c r="Q84" i="2"/>
  <c r="P186" i="2"/>
  <c r="P156" i="2"/>
  <c r="O81" i="2"/>
  <c r="S128" i="2"/>
  <c r="O70" i="2"/>
  <c r="P179" i="2"/>
  <c r="R62" i="2"/>
  <c r="O69" i="2"/>
  <c r="S144" i="2"/>
  <c r="S137" i="2"/>
  <c r="P77" i="2"/>
  <c r="P55" i="2"/>
  <c r="O99" i="2"/>
  <c r="O281" i="2"/>
  <c r="R105" i="2"/>
  <c r="Q72" i="2"/>
  <c r="R253" i="2"/>
  <c r="R271" i="2"/>
  <c r="O181" i="2"/>
  <c r="R247" i="2"/>
  <c r="Q253" i="2"/>
  <c r="Q188" i="2"/>
  <c r="S51" i="2"/>
  <c r="Q63" i="2"/>
  <c r="P258" i="2"/>
  <c r="Q187" i="2"/>
  <c r="R228" i="2"/>
  <c r="P263" i="2"/>
  <c r="R209" i="2"/>
  <c r="S52" i="2"/>
  <c r="Q251" i="2"/>
  <c r="O61" i="2"/>
  <c r="P83" i="2"/>
  <c r="S187" i="2"/>
  <c r="P222" i="2"/>
  <c r="O239" i="2"/>
  <c r="S212" i="2"/>
  <c r="P252" i="2"/>
  <c r="Q247" i="2"/>
  <c r="O156" i="2"/>
  <c r="O225" i="2"/>
  <c r="S217" i="2"/>
  <c r="P154" i="2"/>
  <c r="P63" i="2"/>
  <c r="R107" i="2"/>
  <c r="R288" i="2"/>
  <c r="S225" i="2"/>
  <c r="O246" i="2"/>
  <c r="Q284" i="2"/>
  <c r="S229" i="2"/>
  <c r="S231" i="2"/>
  <c r="Q117" i="2"/>
  <c r="R152" i="2"/>
  <c r="Q122" i="2"/>
  <c r="Q167" i="2"/>
  <c r="O67" i="2"/>
  <c r="S121" i="2"/>
  <c r="S179" i="2"/>
  <c r="O282" i="2"/>
  <c r="O126" i="2"/>
  <c r="Q107" i="2"/>
  <c r="O64" i="2"/>
  <c r="O161" i="2"/>
  <c r="O148" i="2"/>
  <c r="Q248" i="2"/>
  <c r="S130" i="2"/>
  <c r="O228" i="2"/>
  <c r="P72" i="2"/>
  <c r="P238" i="2"/>
  <c r="S235" i="2"/>
  <c r="S260" i="2"/>
  <c r="S237" i="2"/>
  <c r="P94" i="2"/>
  <c r="Q179" i="2"/>
  <c r="S151" i="2"/>
  <c r="S68" i="2"/>
  <c r="P126" i="2"/>
  <c r="R248" i="2"/>
  <c r="S223" i="2"/>
  <c r="R197" i="2"/>
  <c r="P288" i="2"/>
  <c r="O141" i="2"/>
  <c r="P104" i="2"/>
  <c r="R57" i="2"/>
  <c r="S79" i="2"/>
  <c r="R84" i="2"/>
  <c r="Q158" i="2"/>
  <c r="Q172" i="2"/>
  <c r="R159" i="2"/>
  <c r="P166" i="2"/>
  <c r="Q115" i="2"/>
  <c r="O92" i="2"/>
  <c r="P81" i="2"/>
  <c r="S65" i="2"/>
  <c r="S127" i="2"/>
  <c r="P101" i="2"/>
  <c r="S162" i="2"/>
  <c r="P214" i="2"/>
  <c r="P266" i="2"/>
  <c r="O206" i="2"/>
  <c r="R265" i="2"/>
  <c r="O191" i="2"/>
  <c r="O58" i="2"/>
  <c r="Q208" i="2"/>
  <c r="O56" i="2"/>
  <c r="O153" i="2"/>
  <c r="Q191" i="2"/>
  <c r="Q50" i="2"/>
  <c r="R151" i="2"/>
  <c r="O128" i="2"/>
  <c r="P287" i="2"/>
  <c r="R225" i="2"/>
  <c r="S54" i="2"/>
  <c r="O71" i="2"/>
  <c r="O134" i="2"/>
  <c r="P69" i="2"/>
  <c r="S285" i="2"/>
  <c r="O54" i="2"/>
  <c r="S49" i="2"/>
  <c r="O135" i="2"/>
  <c r="P103" i="2"/>
  <c r="Q239" i="2"/>
  <c r="Q186" i="2"/>
  <c r="R281" i="2"/>
  <c r="R94" i="2"/>
  <c r="R92" i="2"/>
  <c r="O143" i="2"/>
  <c r="P162" i="2"/>
  <c r="O169" i="2"/>
  <c r="Q124" i="2"/>
  <c r="O45" i="2"/>
  <c r="O63" i="2"/>
  <c r="R103" i="2"/>
  <c r="R200" i="2"/>
  <c r="Q278" i="2"/>
  <c r="Q262" i="2"/>
  <c r="S282" i="2"/>
  <c r="S182" i="2"/>
  <c r="P269" i="2"/>
  <c r="R185" i="2"/>
  <c r="R67" i="2"/>
  <c r="R245" i="2"/>
  <c r="R188" i="2"/>
  <c r="S120" i="2"/>
  <c r="Q141" i="2"/>
  <c r="O60" i="2"/>
  <c r="O150" i="2"/>
  <c r="Q130" i="2"/>
  <c r="Q120" i="2"/>
  <c r="P239" i="2"/>
  <c r="S270" i="2"/>
  <c r="P193" i="2"/>
  <c r="S256" i="2"/>
  <c r="Q159" i="2"/>
  <c r="R80" i="2"/>
  <c r="P151" i="2"/>
  <c r="S146" i="2"/>
  <c r="Q236" i="2"/>
  <c r="O83" i="2"/>
  <c r="O104" i="2"/>
  <c r="S96" i="2"/>
  <c r="Q190" i="2"/>
  <c r="R285" i="2"/>
  <c r="Q163" i="2"/>
  <c r="S194" i="2"/>
  <c r="R227" i="2"/>
  <c r="Q281" i="2"/>
  <c r="S230" i="2"/>
  <c r="P127" i="2"/>
  <c r="Q238" i="2"/>
  <c r="O235" i="2"/>
  <c r="S110" i="2"/>
  <c r="O205" i="2"/>
  <c r="S236" i="2"/>
  <c r="P277" i="2"/>
  <c r="Q52" i="2"/>
  <c r="P211" i="2"/>
  <c r="P173" i="2"/>
  <c r="P76" i="2"/>
  <c r="R239" i="2"/>
  <c r="S53" i="2"/>
  <c r="R284" i="2"/>
  <c r="R153" i="2"/>
  <c r="R112" i="2"/>
  <c r="O147" i="2"/>
  <c r="P246" i="2"/>
  <c r="O151" i="2"/>
  <c r="S150" i="2"/>
  <c r="R97" i="2"/>
  <c r="R249" i="2"/>
  <c r="S239" i="2"/>
  <c r="S108" i="2"/>
  <c r="R241" i="2"/>
  <c r="R122" i="2"/>
  <c r="Q168" i="2"/>
  <c r="O247" i="2"/>
  <c r="P221" i="2"/>
  <c r="R191" i="2"/>
  <c r="P128" i="2"/>
  <c r="R173" i="2"/>
  <c r="P98" i="2"/>
  <c r="S117" i="2"/>
  <c r="Q204" i="2"/>
  <c r="O283" i="2"/>
  <c r="S73" i="2"/>
  <c r="O280" i="2"/>
  <c r="O208" i="2"/>
  <c r="Q153" i="2"/>
  <c r="O234" i="2"/>
  <c r="P245" i="2"/>
  <c r="Q259" i="2"/>
  <c r="Q275" i="2"/>
  <c r="P79" i="2"/>
  <c r="R101" i="2"/>
  <c r="O263" i="2"/>
  <c r="P168" i="2"/>
  <c r="S208" i="2"/>
  <c r="R180" i="2"/>
  <c r="P212" i="2"/>
  <c r="O101" i="2"/>
  <c r="Q201" i="2"/>
  <c r="R251" i="2"/>
  <c r="Q260" i="2"/>
  <c r="Q90" i="2"/>
  <c r="O115" i="2"/>
  <c r="S94" i="2"/>
  <c r="O174" i="2"/>
  <c r="O131" i="2"/>
  <c r="R108" i="2"/>
  <c r="R231" i="2"/>
  <c r="Q228" i="2"/>
  <c r="R260" i="2"/>
  <c r="Q229" i="2"/>
  <c r="S286" i="2"/>
  <c r="P88" i="2"/>
  <c r="O91" i="2"/>
  <c r="P226" i="2"/>
  <c r="R72" i="2"/>
  <c r="P285" i="2"/>
  <c r="P114" i="2"/>
  <c r="R166" i="2"/>
  <c r="S87" i="2"/>
  <c r="Q59" i="2"/>
  <c r="Q213" i="2"/>
  <c r="R53" i="2"/>
  <c r="R172" i="2"/>
  <c r="R77" i="2"/>
  <c r="P108" i="2"/>
  <c r="S245" i="2"/>
  <c r="R116" i="2"/>
  <c r="P97" i="2"/>
  <c r="R277" i="2"/>
  <c r="R232" i="2"/>
  <c r="P229" i="2"/>
  <c r="O244" i="2"/>
  <c r="O100" i="2"/>
  <c r="R98" i="2"/>
  <c r="P124" i="2"/>
  <c r="O74" i="2"/>
  <c r="O278" i="2"/>
  <c r="S213" i="2"/>
  <c r="Q203" i="2"/>
  <c r="Q214" i="2"/>
  <c r="P48" i="2"/>
  <c r="O177" i="2"/>
  <c r="P240" i="2"/>
  <c r="S58" i="2"/>
  <c r="R130" i="2"/>
  <c r="O226" i="2"/>
  <c r="R255" i="2"/>
  <c r="Q218" i="2"/>
  <c r="Q178" i="2"/>
  <c r="O224" i="2"/>
  <c r="R55" i="2"/>
  <c r="O77" i="2"/>
  <c r="R133" i="2"/>
  <c r="P133" i="2"/>
  <c r="R213" i="2"/>
  <c r="O127" i="2"/>
  <c r="Q173" i="2"/>
  <c r="R121" i="2"/>
  <c r="S269" i="2"/>
  <c r="Q119" i="2"/>
  <c r="P96" i="2"/>
  <c r="O269" i="2"/>
  <c r="S88" i="2"/>
  <c r="Q48" i="2"/>
  <c r="Q171" i="2"/>
  <c r="Q116" i="2"/>
  <c r="O266" i="2"/>
  <c r="S93" i="2"/>
  <c r="P272" i="2"/>
  <c r="P113" i="2"/>
  <c r="Q246" i="2"/>
  <c r="P117" i="2"/>
  <c r="Q128" i="2"/>
  <c r="R216" i="2"/>
  <c r="R89" i="2"/>
  <c r="P159" i="2"/>
  <c r="P197" i="2"/>
  <c r="Q110" i="2"/>
  <c r="Q77" i="2"/>
  <c r="Q216" i="2"/>
  <c r="R54" i="2"/>
  <c r="R119" i="2"/>
  <c r="Q143" i="2"/>
  <c r="P233" i="2"/>
  <c r="S61" i="2"/>
  <c r="S143" i="2"/>
  <c r="P86" i="2"/>
  <c r="O207" i="2"/>
  <c r="R131" i="2"/>
  <c r="O82" i="2"/>
  <c r="O187" i="2"/>
  <c r="R82" i="2"/>
  <c r="P142" i="2"/>
  <c r="Q146" i="2"/>
  <c r="S197" i="2"/>
  <c r="S92" i="2"/>
  <c r="R110" i="2"/>
  <c r="P153" i="2"/>
  <c r="R78" i="2"/>
  <c r="P144" i="2"/>
  <c r="Q269" i="2"/>
  <c r="S155" i="2"/>
  <c r="Q207" i="2"/>
  <c r="O152" i="2"/>
  <c r="P191" i="2"/>
  <c r="P199" i="2"/>
  <c r="Q86" i="2"/>
  <c r="Q256" i="2"/>
  <c r="Q199" i="2"/>
  <c r="Q235" i="2"/>
  <c r="S59" i="2"/>
  <c r="R204" i="2"/>
  <c r="S60" i="2"/>
  <c r="P261" i="2"/>
  <c r="S132" i="2"/>
  <c r="P149" i="2"/>
  <c r="R170" i="2"/>
  <c r="S142" i="2"/>
  <c r="P47" i="2"/>
  <c r="S138" i="2"/>
  <c r="O180" i="2"/>
  <c r="O184" i="2"/>
  <c r="S170" i="2"/>
  <c r="P169" i="2"/>
  <c r="Q185" i="2"/>
  <c r="Q217" i="2"/>
  <c r="R195" i="2"/>
  <c r="R123" i="2"/>
  <c r="P53" i="2"/>
  <c r="P131" i="2"/>
  <c r="P194" i="2"/>
  <c r="O95" i="2"/>
  <c r="P52" i="2"/>
  <c r="P119" i="2"/>
  <c r="R49" i="2"/>
  <c r="Q68" i="2"/>
  <c r="S100" i="2"/>
  <c r="Q136" i="2"/>
  <c r="O195" i="2"/>
  <c r="Q139" i="2"/>
  <c r="P70" i="2"/>
  <c r="S119" i="2"/>
  <c r="O229" i="2"/>
  <c r="O275" i="2"/>
  <c r="S157" i="2"/>
  <c r="S111" i="2"/>
  <c r="S276" i="2"/>
  <c r="P150" i="2"/>
  <c r="P110" i="2"/>
  <c r="O260" i="2"/>
  <c r="O268" i="2"/>
  <c r="O102" i="2"/>
  <c r="Q97" i="2"/>
  <c r="O59" i="2"/>
  <c r="R87" i="2"/>
  <c r="Q66" i="2"/>
  <c r="Q135" i="2"/>
  <c r="S91" i="2"/>
  <c r="O210" i="2"/>
  <c r="Q254" i="2"/>
  <c r="P284" i="2"/>
  <c r="R242" i="2"/>
  <c r="S80" i="2"/>
  <c r="Q164" i="2"/>
  <c r="S240" i="2"/>
  <c r="O200" i="2"/>
  <c r="R66" i="2"/>
  <c r="R230" i="2"/>
  <c r="Q62" i="2"/>
  <c r="R60" i="2"/>
  <c r="Q244" i="2"/>
  <c r="Q224" i="2"/>
  <c r="Q165" i="2"/>
  <c r="S74" i="2"/>
  <c r="R117" i="2"/>
  <c r="O230" i="2"/>
  <c r="Q79" i="2"/>
  <c r="R138" i="2"/>
  <c r="R205" i="2"/>
  <c r="O87" i="2"/>
  <c r="O288" i="2"/>
  <c r="O209" i="2"/>
  <c r="O90" i="2"/>
  <c r="R65" i="2"/>
  <c r="P202" i="2"/>
  <c r="P84" i="2"/>
  <c r="S232" i="2"/>
  <c r="Q127" i="2"/>
  <c r="S163" i="2"/>
  <c r="O118" i="2"/>
  <c r="R46" i="2"/>
  <c r="S77" i="2"/>
  <c r="R146" i="2"/>
  <c r="P49" i="2"/>
  <c r="P140" i="2"/>
  <c r="R149" i="2"/>
  <c r="Q265" i="2"/>
  <c r="Q102" i="2"/>
  <c r="S249" i="2"/>
  <c r="R50" i="2"/>
  <c r="R211" i="2"/>
  <c r="S97" i="2"/>
  <c r="S195" i="2"/>
  <c r="O217" i="2"/>
  <c r="S218" i="2"/>
  <c r="S206" i="2"/>
  <c r="R286" i="2"/>
  <c r="P80" i="2"/>
  <c r="R155" i="2"/>
  <c r="O245" i="2"/>
  <c r="R85" i="2"/>
  <c r="P187" i="2"/>
  <c r="O256" i="2"/>
  <c r="R210" i="2"/>
  <c r="O286" i="2"/>
  <c r="P116" i="2"/>
  <c r="Q150" i="2"/>
  <c r="Q121" i="2"/>
  <c r="O167" i="2"/>
  <c r="P278" i="2"/>
  <c r="O190" i="2"/>
  <c r="P51" i="2"/>
  <c r="Q240" i="2"/>
  <c r="P224" i="2"/>
  <c r="R267" i="2"/>
  <c r="O212" i="2"/>
  <c r="P90" i="2"/>
  <c r="Q105" i="2"/>
  <c r="O120" i="2"/>
  <c r="Q149" i="2"/>
  <c r="R111" i="2"/>
  <c r="Q60" i="2"/>
  <c r="S161" i="2"/>
  <c r="R99" i="2"/>
  <c r="S98" i="2"/>
  <c r="P136" i="2"/>
  <c r="S72" i="2"/>
  <c r="R273" i="2"/>
  <c r="O264" i="2"/>
  <c r="S264" i="2"/>
  <c r="R189" i="2"/>
  <c r="O232" i="2"/>
  <c r="S279" i="2"/>
  <c r="R73" i="2"/>
  <c r="O154" i="2"/>
  <c r="S259" i="2"/>
  <c r="S178" i="2"/>
  <c r="P109" i="2"/>
  <c r="O262" i="2"/>
  <c r="P64" i="2"/>
  <c r="O236" i="2"/>
  <c r="R96" i="2"/>
  <c r="O139" i="2"/>
  <c r="O55" i="2"/>
  <c r="Q129" i="2"/>
  <c r="S131" i="2"/>
  <c r="S250" i="2"/>
  <c r="S76" i="2"/>
  <c r="Q56" i="2"/>
  <c r="Q155" i="2"/>
  <c r="R262" i="2"/>
  <c r="O257" i="2"/>
  <c r="O255" i="2"/>
  <c r="R163" i="2"/>
  <c r="S83" i="2"/>
  <c r="O215" i="2"/>
  <c r="Q71" i="2"/>
  <c r="Q166" i="2"/>
  <c r="P256" i="2"/>
  <c r="Q103" i="2"/>
  <c r="R218" i="2"/>
  <c r="O254" i="2"/>
  <c r="R158" i="2"/>
  <c r="P65" i="2"/>
  <c r="O199" i="2"/>
  <c r="P176" i="2"/>
  <c r="Q160" i="2"/>
  <c r="S204" i="2"/>
  <c r="Q101" i="2"/>
  <c r="S70" i="2"/>
  <c r="O216" i="2"/>
  <c r="O138" i="2"/>
  <c r="O98" i="2"/>
  <c r="Q205" i="2"/>
  <c r="P180" i="2"/>
  <c r="S114" i="2"/>
  <c r="R283" i="2"/>
  <c r="S253" i="2"/>
  <c r="O162" i="2"/>
  <c r="R214" i="2"/>
  <c r="R83" i="2"/>
  <c r="P225" i="2"/>
  <c r="Q53" i="2"/>
  <c r="P260" i="2"/>
  <c r="Q210" i="2"/>
  <c r="P106" i="2"/>
  <c r="P248" i="2"/>
  <c r="O84" i="2"/>
  <c r="S123" i="2"/>
  <c r="R269" i="2"/>
  <c r="P223" i="2"/>
  <c r="S90" i="2"/>
  <c r="S154" i="2"/>
  <c r="R100" i="2"/>
  <c r="R61" i="2"/>
  <c r="O49" i="2"/>
  <c r="R179" i="2"/>
  <c r="P60" i="2"/>
  <c r="Q76" i="2"/>
  <c r="R137" i="2"/>
  <c r="P235" i="2"/>
  <c r="S258" i="2"/>
  <c r="S272" i="2"/>
  <c r="O62" i="2"/>
  <c r="P231" i="2"/>
  <c r="R120" i="2"/>
  <c r="R168" i="2"/>
  <c r="S145" i="2"/>
  <c r="O85" i="2"/>
  <c r="R109" i="2"/>
  <c r="S190" i="2"/>
  <c r="R192" i="2"/>
  <c r="O72" i="2"/>
  <c r="P135" i="2"/>
  <c r="S220" i="2"/>
  <c r="O66" i="2"/>
  <c r="R76" i="2"/>
  <c r="R44" i="2"/>
  <c r="S210" i="2"/>
  <c r="R125" i="2"/>
  <c r="P78" i="2"/>
  <c r="O202" i="2"/>
  <c r="Q272" i="2"/>
  <c r="S124" i="2"/>
  <c r="P59" i="2"/>
  <c r="O189" i="2"/>
  <c r="Q112" i="2"/>
  <c r="Q69" i="2"/>
  <c r="O107" i="2"/>
  <c r="Q83" i="2"/>
  <c r="P93" i="2"/>
  <c r="S129" i="2"/>
  <c r="O112" i="2"/>
  <c r="Q44" i="2"/>
  <c r="Q232" i="2"/>
  <c r="P107" i="2"/>
  <c r="O240" i="2"/>
  <c r="P164" i="2"/>
  <c r="O233" i="2"/>
  <c r="R257" i="2"/>
  <c r="Q65" i="2"/>
  <c r="P264" i="2"/>
  <c r="Q258" i="2"/>
  <c r="R246" i="2"/>
  <c r="S215" i="2"/>
  <c r="S199" i="2"/>
  <c r="S275" i="2"/>
  <c r="P91" i="2"/>
  <c r="S165" i="2"/>
  <c r="P160" i="2"/>
  <c r="P148" i="2"/>
  <c r="P274" i="2"/>
  <c r="Q233" i="2"/>
  <c r="Q174" i="2"/>
  <c r="S216" i="2"/>
  <c r="S186" i="2"/>
  <c r="Q181" i="2"/>
  <c r="P262" i="2"/>
  <c r="S242" i="2"/>
  <c r="O238" i="2"/>
  <c r="O219" i="2"/>
  <c r="S81" i="2"/>
  <c r="S169" i="2"/>
  <c r="O89" i="2"/>
  <c r="Q182" i="2"/>
  <c r="O250" i="2"/>
  <c r="O116" i="2"/>
  <c r="S201" i="2"/>
  <c r="P254" i="2"/>
  <c r="S86" i="2"/>
  <c r="R52" i="2"/>
  <c r="O194" i="2"/>
  <c r="O166" i="2"/>
  <c r="S273" i="2"/>
  <c r="Q126" i="2"/>
  <c r="Q194" i="2"/>
  <c r="P276" i="2"/>
  <c r="P143" i="2"/>
  <c r="Q88" i="2"/>
  <c r="S69" i="2"/>
  <c r="S283" i="2"/>
  <c r="R234" i="2"/>
  <c r="O277" i="2"/>
  <c r="Q231" i="2"/>
  <c r="P185" i="2"/>
  <c r="S243" i="2"/>
  <c r="P237" i="2"/>
  <c r="P178" i="2"/>
  <c r="R175" i="2"/>
  <c r="Q222" i="2"/>
  <c r="O179" i="2"/>
  <c r="O251" i="2"/>
  <c r="Q45" i="2"/>
  <c r="S152" i="2"/>
  <c r="P121" i="2"/>
  <c r="R187" i="2"/>
  <c r="P271" i="2"/>
  <c r="R272" i="2"/>
  <c r="O46" i="2"/>
  <c r="P54" i="2"/>
  <c r="R63" i="2"/>
  <c r="R102" i="2"/>
  <c r="Q212" i="2"/>
  <c r="O68" i="2"/>
  <c r="R79" i="2"/>
  <c r="P171" i="2"/>
  <c r="P251" i="2"/>
  <c r="O287" i="2"/>
  <c r="P75" i="2"/>
  <c r="P198" i="2"/>
  <c r="S139" i="2"/>
  <c r="P66" i="2"/>
  <c r="P99" i="2"/>
  <c r="O186" i="2"/>
  <c r="S75" i="2"/>
  <c r="P45" i="2"/>
  <c r="O218" i="2"/>
  <c r="P219" i="2"/>
  <c r="S159" i="2"/>
  <c r="Q230" i="2"/>
  <c r="S116" i="2"/>
  <c r="Q211" i="2"/>
  <c r="S266" i="2"/>
  <c r="Q145" i="2"/>
  <c r="R169" i="2"/>
  <c r="Q67" i="2"/>
  <c r="Q198" i="2"/>
  <c r="S244" i="2"/>
  <c r="R144" i="2"/>
  <c r="P44" i="2"/>
  <c r="S234" i="2"/>
  <c r="R68" i="2"/>
  <c r="Q257" i="2"/>
  <c r="O53" i="2"/>
  <c r="S171" i="2"/>
  <c r="S263" i="2"/>
  <c r="P255" i="2"/>
  <c r="O86" i="2"/>
  <c r="O173" i="2"/>
  <c r="P95" i="2"/>
  <c r="Q180" i="2"/>
  <c r="Q74" i="2"/>
  <c r="Q61" i="2"/>
  <c r="Q151" i="2"/>
  <c r="R75" i="2"/>
  <c r="R282" i="2"/>
  <c r="Q78" i="2"/>
  <c r="Q175" i="2"/>
  <c r="P147" i="2"/>
  <c r="Q140" i="2"/>
  <c r="S246" i="2"/>
  <c r="Q58" i="2"/>
  <c r="P192" i="2"/>
  <c r="P130" i="2"/>
  <c r="S101" i="2"/>
  <c r="P89" i="2"/>
  <c r="O65" i="2"/>
  <c r="Q81" i="2"/>
  <c r="S153" i="2"/>
  <c r="P205" i="2"/>
  <c r="S164" i="2"/>
  <c r="P137" i="2"/>
  <c r="Q64" i="2"/>
  <c r="Q245" i="2"/>
  <c r="O176" i="2"/>
  <c r="O149" i="2"/>
  <c r="S254" i="2"/>
  <c r="P270" i="2"/>
  <c r="R177" i="2"/>
  <c r="Q82" i="2"/>
  <c r="S189" i="2"/>
  <c r="O231" i="2"/>
  <c r="S247" i="2"/>
  <c r="S222" i="2"/>
  <c r="P206" i="2"/>
  <c r="R164" i="2"/>
  <c r="Q263" i="2"/>
  <c r="Q148" i="2"/>
  <c r="R238" i="2"/>
  <c r="O201" i="2"/>
  <c r="Q80" i="2"/>
  <c r="S141" i="2"/>
  <c r="S274" i="2"/>
  <c r="Q287" i="2"/>
  <c r="R233" i="2"/>
  <c r="Q91" i="2"/>
  <c r="R145" i="2"/>
  <c r="S233" i="2"/>
  <c r="Q147" i="2"/>
  <c r="Q283" i="2"/>
  <c r="P183" i="2"/>
  <c r="S103" i="2"/>
  <c r="R258" i="2"/>
  <c r="R91" i="2"/>
  <c r="P280" i="2"/>
  <c r="O253" i="2"/>
  <c r="S188" i="2"/>
  <c r="S122" i="2"/>
  <c r="P247" i="2"/>
  <c r="O144" i="2"/>
  <c r="O119" i="2"/>
  <c r="O203" i="2"/>
  <c r="S134" i="2"/>
  <c r="S104" i="2"/>
  <c r="O110" i="2"/>
  <c r="R252" i="2"/>
  <c r="Q226" i="2"/>
  <c r="O164" i="2"/>
  <c r="S149" i="2"/>
  <c r="R184" i="2"/>
  <c r="P216" i="2"/>
  <c r="O159" i="2"/>
  <c r="R167" i="2"/>
  <c r="Q133" i="2"/>
  <c r="Q274" i="2"/>
  <c r="O108" i="2"/>
  <c r="S135" i="2"/>
  <c r="P215" i="2"/>
  <c r="Q288" i="2"/>
  <c r="Q285" i="2"/>
  <c r="S118" i="2"/>
  <c r="Q108" i="2"/>
  <c r="R47" i="2"/>
  <c r="P242" i="2"/>
  <c r="R162" i="2"/>
  <c r="O158" i="2"/>
  <c r="O122" i="2"/>
  <c r="Q277" i="2"/>
  <c r="R106" i="2"/>
  <c r="P161" i="2"/>
  <c r="R126" i="2"/>
  <c r="R143" i="2"/>
  <c r="S214" i="2"/>
  <c r="R201" i="2"/>
  <c r="O197" i="2"/>
  <c r="S280" i="2"/>
  <c r="O160" i="2"/>
  <c r="S200" i="2"/>
  <c r="P165" i="2"/>
  <c r="R132" i="2"/>
  <c r="R244" i="2"/>
  <c r="R259" i="2"/>
  <c r="Q73" i="2"/>
  <c r="Q162" i="2"/>
  <c r="P265" i="2"/>
  <c r="S125" i="2"/>
  <c r="S66" i="2"/>
  <c r="R174" i="2"/>
  <c r="O193" i="2"/>
  <c r="O142" i="2"/>
  <c r="P267" i="2"/>
  <c r="Q270" i="2"/>
  <c r="Q93" i="2"/>
  <c r="S268" i="2"/>
  <c r="R56" i="2"/>
  <c r="R263" i="2"/>
  <c r="S196" i="2"/>
  <c r="S107" i="2"/>
  <c r="Q189" i="2"/>
  <c r="O97" i="2"/>
  <c r="O196" i="2"/>
  <c r="R156" i="2"/>
  <c r="P170" i="2"/>
  <c r="P56" i="2"/>
  <c r="O140" i="2"/>
  <c r="R71" i="2"/>
  <c r="Q55" i="2"/>
  <c r="R128" i="2"/>
  <c r="P227" i="2"/>
  <c r="O284" i="2"/>
  <c r="P175" i="2"/>
  <c r="S277" i="2"/>
  <c r="O106" i="2"/>
  <c r="P236" i="2"/>
  <c r="P57" i="2"/>
  <c r="S251" i="2"/>
  <c r="Q282" i="2"/>
  <c r="R81" i="2"/>
  <c r="O183" i="2"/>
  <c r="S248" i="2"/>
  <c r="S115" i="2"/>
  <c r="O272" i="2"/>
  <c r="O259" i="2"/>
  <c r="R207" i="2"/>
  <c r="R95" i="2"/>
  <c r="P122" i="2"/>
  <c r="Q195" i="2"/>
  <c r="S46" i="2"/>
  <c r="Q70" i="2"/>
  <c r="P129" i="2"/>
  <c r="S209" i="2"/>
  <c r="P46" i="2"/>
  <c r="P281" i="2"/>
  <c r="Q169" i="2"/>
  <c r="O111" i="2"/>
  <c r="P286" i="2"/>
  <c r="R150" i="2"/>
  <c r="R212" i="2"/>
  <c r="P241" i="2"/>
  <c r="R59" i="2"/>
  <c r="O163" i="2"/>
  <c r="O222" i="2"/>
  <c r="P120" i="2"/>
  <c r="R139" i="2"/>
  <c r="S48" i="2"/>
  <c r="Q95" i="2"/>
  <c r="O48" i="2"/>
  <c r="Q142" i="2"/>
  <c r="Q125" i="2"/>
  <c r="Q157" i="2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<sst xmlns="http://schemas.openxmlformats.org/spreadsheetml/2006/main" count="1231" uniqueCount="664">
  <si>
    <t>□ 상품분류</t>
    <phoneticPr fontId="2" type="noConversion"/>
  </si>
  <si>
    <t>FX Derivatives</t>
    <phoneticPr fontId="2" type="noConversion"/>
  </si>
  <si>
    <t>FX Forward</t>
    <phoneticPr fontId="2" type="noConversion"/>
  </si>
  <si>
    <t>Plain</t>
    <phoneticPr fontId="2" type="noConversion"/>
  </si>
  <si>
    <t>FX0101</t>
    <phoneticPr fontId="2" type="noConversion"/>
  </si>
  <si>
    <t>FX Derivatives</t>
  </si>
  <si>
    <t>FX Forward</t>
  </si>
  <si>
    <t>NDF(Non Delivarible Forward)</t>
    <phoneticPr fontId="2" type="noConversion"/>
  </si>
  <si>
    <t>FX0102</t>
    <phoneticPr fontId="2" type="noConversion"/>
  </si>
  <si>
    <t>FX Swap</t>
    <phoneticPr fontId="2" type="noConversion"/>
  </si>
  <si>
    <t>FX0201</t>
    <phoneticPr fontId="2" type="noConversion"/>
  </si>
  <si>
    <t>Bond</t>
    <phoneticPr fontId="2" type="noConversion"/>
  </si>
  <si>
    <t>Straight Bond</t>
    <phoneticPr fontId="2" type="noConversion"/>
  </si>
  <si>
    <t>Bond</t>
  </si>
  <si>
    <t>FRN(Floating Rate Note)</t>
    <phoneticPr fontId="2" type="noConversion"/>
  </si>
  <si>
    <t>Swap</t>
    <phoneticPr fontId="2" type="noConversion"/>
  </si>
  <si>
    <t>IRS</t>
    <phoneticPr fontId="2" type="noConversion"/>
  </si>
  <si>
    <t>Fixed/Floating</t>
    <phoneticPr fontId="2" type="noConversion"/>
  </si>
  <si>
    <t>SW0101</t>
    <phoneticPr fontId="2" type="noConversion"/>
  </si>
  <si>
    <t>Swap</t>
  </si>
  <si>
    <t>IRS</t>
  </si>
  <si>
    <t>Floating/Floating</t>
    <phoneticPr fontId="2" type="noConversion"/>
  </si>
  <si>
    <t>SW0102</t>
    <phoneticPr fontId="2" type="noConversion"/>
  </si>
  <si>
    <t>CRS</t>
    <phoneticPr fontId="2" type="noConversion"/>
  </si>
  <si>
    <t>Fixed/Fixed</t>
    <phoneticPr fontId="2" type="noConversion"/>
  </si>
  <si>
    <t>SW0201</t>
    <phoneticPr fontId="2" type="noConversion"/>
  </si>
  <si>
    <t>CRS</t>
  </si>
  <si>
    <t>SW0202</t>
    <phoneticPr fontId="2" type="noConversion"/>
  </si>
  <si>
    <t>SW0203</t>
    <phoneticPr fontId="2" type="noConversion"/>
  </si>
  <si>
    <t>□ 상품 속성 및 Convention 정의</t>
    <phoneticPr fontId="2" type="noConversion"/>
  </si>
  <si>
    <t>□ Scope</t>
    <phoneticPr fontId="2" type="noConversion"/>
  </si>
  <si>
    <t>1. 대상상품 확정</t>
    <phoneticPr fontId="2" type="noConversion"/>
  </si>
  <si>
    <t>1) FX 상품</t>
    <phoneticPr fontId="2" type="noConversion"/>
  </si>
  <si>
    <t>파생상품을 평가하기 위해서는 파생상품의 미래현금흐름을 추정할 수 있는 커브(Forward Curve)</t>
    <phoneticPr fontId="2" type="noConversion"/>
  </si>
  <si>
    <t>이를 평가시점으로 확인할 수 있는 커브(Discount Curve)</t>
    <phoneticPr fontId="2" type="noConversion"/>
  </si>
  <si>
    <t>시장에서 실제 고시되는 가격을 기준으로 No-Arbitrage 조건하에서 동 커브를 생성</t>
    <phoneticPr fontId="2" type="noConversion"/>
  </si>
  <si>
    <t>2) Bond</t>
    <phoneticPr fontId="2" type="noConversion"/>
  </si>
  <si>
    <t>3) Swap</t>
    <phoneticPr fontId="2" type="noConversion"/>
  </si>
  <si>
    <t>2. 상품별 pricing 필요 컨벤션 확보</t>
    <phoneticPr fontId="2" type="noConversion"/>
  </si>
  <si>
    <t>3. 산출 방법론 확정</t>
    <phoneticPr fontId="2" type="noConversion"/>
  </si>
  <si>
    <t>4. 평가기술서 작성</t>
    <phoneticPr fontId="2" type="noConversion"/>
  </si>
  <si>
    <t>5. 평가 모듈 생성</t>
    <phoneticPr fontId="2" type="noConversion"/>
  </si>
  <si>
    <t>6. 테스트 데이터 확보</t>
    <phoneticPr fontId="2" type="noConversion"/>
  </si>
  <si>
    <t>7. FRTB-SA Risk Factor 설정</t>
    <phoneticPr fontId="2" type="noConversion"/>
  </si>
  <si>
    <t>8. FRTB-SA Risk Factor별 민감도 산출 요건 작성</t>
    <phoneticPr fontId="2" type="noConversion"/>
  </si>
  <si>
    <t>9. 민감도 산출 모듈 생성</t>
    <phoneticPr fontId="2" type="noConversion"/>
  </si>
  <si>
    <t>10. 테스트 데이터 확보</t>
    <phoneticPr fontId="2" type="noConversion"/>
  </si>
  <si>
    <t>데이터 요청 목록 (To. ICIS)</t>
    <phoneticPr fontId="2" type="noConversion"/>
  </si>
  <si>
    <t>구분</t>
    <phoneticPr fontId="2" type="noConversion"/>
  </si>
  <si>
    <t>내용</t>
    <phoneticPr fontId="2" type="noConversion"/>
  </si>
  <si>
    <t>1. Pricing 영역</t>
    <phoneticPr fontId="2" type="noConversion"/>
  </si>
  <si>
    <t>1) Market Data</t>
    <phoneticPr fontId="2" type="noConversion"/>
  </si>
  <si>
    <t xml:space="preserve"> - 기준일자의 금리커브 데이터</t>
    <phoneticPr fontId="2" type="noConversion"/>
  </si>
  <si>
    <t xml:space="preserve"> - FX 상품, Bond, Swap Pricing 및 Sensitivity 산출 목적</t>
    <phoneticPr fontId="2" type="noConversion"/>
  </si>
  <si>
    <t xml:space="preserve"> - 기준일자의 환율데이터</t>
    <phoneticPr fontId="2" type="noConversion"/>
  </si>
  <si>
    <t xml:space="preserve"> - FX Risk 및 Sensitivity 산출 목적</t>
    <phoneticPr fontId="2" type="noConversion"/>
  </si>
  <si>
    <t xml:space="preserve"> - 기준일자의 신용스프레드 커브 데이터(관리하고 있는 경우)</t>
    <phoneticPr fontId="2" type="noConversion"/>
  </si>
  <si>
    <t xml:space="preserve"> - CSR 산출 목적</t>
    <phoneticPr fontId="2" type="noConversion"/>
  </si>
  <si>
    <t>2) Position Data</t>
    <phoneticPr fontId="2" type="noConversion"/>
  </si>
  <si>
    <t xml:space="preserve"> - Site에서 관리하는 상품별 거래 정보 포함(Pricing 하는데 주요 요소로 쓰이기 때문)</t>
    <phoneticPr fontId="2" type="noConversion"/>
  </si>
  <si>
    <t xml:space="preserve"> - FX Forward</t>
    <phoneticPr fontId="2" type="noConversion"/>
  </si>
  <si>
    <t xml:space="preserve"> - KRW/USD, KRW/EUR, USD/EUR(이종통화간 Forward 라 통화가 달라도 됨)</t>
    <phoneticPr fontId="2" type="noConversion"/>
  </si>
  <si>
    <t xml:space="preserve"> - FX Forward(NDF)</t>
    <phoneticPr fontId="2" type="noConversion"/>
  </si>
  <si>
    <t xml:space="preserve"> - FX Swap</t>
    <phoneticPr fontId="2" type="noConversion"/>
  </si>
  <si>
    <t xml:space="preserve"> - Bond(Straight Bond)</t>
    <phoneticPr fontId="2" type="noConversion"/>
  </si>
  <si>
    <t xml:space="preserve"> - KRW, USD 건(Coupon Bond, Discount Bond)</t>
    <phoneticPr fontId="2" type="noConversion"/>
  </si>
  <si>
    <t xml:space="preserve"> - Bond(FRN)</t>
    <phoneticPr fontId="2" type="noConversion"/>
  </si>
  <si>
    <t xml:space="preserve"> - IRS(Fixed/Floating)</t>
    <phoneticPr fontId="2" type="noConversion"/>
  </si>
  <si>
    <t xml:space="preserve"> - IRS(Floating/Floating)</t>
    <phoneticPr fontId="2" type="noConversion"/>
  </si>
  <si>
    <t xml:space="preserve"> - CRS(Fixed/Fixed)</t>
    <phoneticPr fontId="2" type="noConversion"/>
  </si>
  <si>
    <t xml:space="preserve"> - KRW/USD, KRW/EUR, USD/EUR(이종통화간 CRS라 통화가 달라도 됨)</t>
    <phoneticPr fontId="2" type="noConversion"/>
  </si>
  <si>
    <t xml:space="preserve"> - CRS(Fixed/Floating)</t>
    <phoneticPr fontId="2" type="noConversion"/>
  </si>
  <si>
    <t xml:space="preserve"> - CRS(Floating/Floating)</t>
    <phoneticPr fontId="2" type="noConversion"/>
  </si>
  <si>
    <t>3) Output Data</t>
    <phoneticPr fontId="2" type="noConversion"/>
  </si>
  <si>
    <t xml:space="preserve"> - Sample별 Pricing 산출값</t>
    <phoneticPr fontId="2" type="noConversion"/>
  </si>
  <si>
    <t xml:space="preserve"> - 각 상품별 산출값, 중간값(있는 경우, Cash Flow 정보, Cash Flow 일자별 PV값)</t>
    <phoneticPr fontId="2" type="noConversion"/>
  </si>
  <si>
    <t>2. Sensitivity 영역</t>
    <phoneticPr fontId="2" type="noConversion"/>
  </si>
  <si>
    <t>1) Sensitivity Data</t>
    <phoneticPr fontId="2" type="noConversion"/>
  </si>
  <si>
    <t xml:space="preserve"> - 각 상품의 Risk Factor별 Sensitivity 산출값</t>
    <phoneticPr fontId="2" type="noConversion"/>
  </si>
  <si>
    <t>Daycount Basis Conventions</t>
    <phoneticPr fontId="2" type="noConversion"/>
  </si>
  <si>
    <t>Business Day Convention</t>
    <phoneticPr fontId="2" type="noConversion"/>
  </si>
  <si>
    <t>Following</t>
    <phoneticPr fontId="2" type="noConversion"/>
  </si>
  <si>
    <t>Modified Following</t>
    <phoneticPr fontId="2" type="noConversion"/>
  </si>
  <si>
    <t>Preceding</t>
    <phoneticPr fontId="2" type="noConversion"/>
  </si>
  <si>
    <t>Modified Preceding</t>
    <phoneticPr fontId="2" type="noConversion"/>
  </si>
  <si>
    <t>End-Month</t>
    <phoneticPr fontId="2" type="noConversion"/>
  </si>
  <si>
    <t>현금흐름 발생일이 휴일인 경우 직후 영업일로 조정</t>
    <phoneticPr fontId="2" type="noConversion"/>
  </si>
  <si>
    <t>현금흐름 발생일이 휴일인 경우 직후 영업일로 조정하되, 직후 영업일이 다음 월인 경우 직전 영업일로 조정</t>
    <phoneticPr fontId="2" type="noConversion"/>
  </si>
  <si>
    <t>현금흐름 발생일이 휴일인 경우 직전 영업일로 조정</t>
    <phoneticPr fontId="2" type="noConversion"/>
  </si>
  <si>
    <t>현금흐름 발생일이 휴일인 경우 직전 영업얼로 조정하되, 직전 영업일이 직전 월인 경우 직후 영업일로 조정</t>
    <phoneticPr fontId="2" type="noConversion"/>
  </si>
  <si>
    <t>현금흐름 발생일이 휴일인 경우 항상 당 월의 마지막 영업일로 조정</t>
    <phoneticPr fontId="2" type="noConversion"/>
  </si>
  <si>
    <t>Act/365</t>
    <phoneticPr fontId="2" type="noConversion"/>
  </si>
  <si>
    <t>Act/360</t>
    <phoneticPr fontId="2" type="noConversion"/>
  </si>
  <si>
    <t>1/1</t>
    <phoneticPr fontId="2" type="noConversion"/>
  </si>
  <si>
    <t>Period End Date</t>
    <phoneticPr fontId="2" type="noConversion"/>
  </si>
  <si>
    <t>Adjusted</t>
    <phoneticPr fontId="2" type="noConversion"/>
  </si>
  <si>
    <t>Unadjusted</t>
    <phoneticPr fontId="2" type="noConversion"/>
  </si>
  <si>
    <t>[(yyyy2 - yyyy1) x 360 + (mm2 - mm1) x 30 + (dd2 - dd1)]/360</t>
    <phoneticPr fontId="2" type="noConversion"/>
  </si>
  <si>
    <t>Act/365(Act/Act)</t>
    <phoneticPr fontId="2" type="noConversion"/>
  </si>
  <si>
    <t>Act/365F</t>
    <phoneticPr fontId="2" type="noConversion"/>
  </si>
  <si>
    <t>1년을 365일로 계산</t>
    <phoneticPr fontId="2" type="noConversion"/>
  </si>
  <si>
    <t>1년을 365일로 계산하되, 윤년은 366일로 계산</t>
    <phoneticPr fontId="2" type="noConversion"/>
  </si>
  <si>
    <t>1년을 360일로 계산</t>
    <phoneticPr fontId="2" type="noConversion"/>
  </si>
  <si>
    <t>1년을 365.25일로 계산</t>
    <phoneticPr fontId="2" type="noConversion"/>
  </si>
  <si>
    <t>30U/360</t>
    <phoneticPr fontId="2" type="noConversion"/>
  </si>
  <si>
    <t>30E/360</t>
    <phoneticPr fontId="2" type="noConversion"/>
  </si>
  <si>
    <t>30A/360</t>
    <phoneticPr fontId="2" type="noConversion"/>
  </si>
  <si>
    <t>한 달을 30일, 1년을 360일로 계산하되, 2월은 30일로 조정하지 않음</t>
    <phoneticPr fontId="2" type="noConversion"/>
  </si>
  <si>
    <t>D1 = MIN (D1, 30). If D1 = 30 Then D2 = MIN (D2,30)</t>
    <phoneticPr fontId="2" type="noConversion"/>
  </si>
  <si>
    <t>If D1 is 31, then change D1 to 30.</t>
    <phoneticPr fontId="2" type="noConversion"/>
  </si>
  <si>
    <t>If D2 is 31, then change D2 to 30.</t>
    <phoneticPr fontId="2" type="noConversion"/>
  </si>
  <si>
    <t>If the investment is EOM and (Date1 is the last day of February) and (Date2 is the last day of February), then change D2 to 30.</t>
    <phoneticPr fontId="2" type="noConversion"/>
  </si>
  <si>
    <t>If the investment is EOM and (Date1 is the last day of February), then change D1 to 30.</t>
    <phoneticPr fontId="2" type="noConversion"/>
  </si>
  <si>
    <t>If D2 is 31 and D1 is 30 or 31, then change D2 to 30.</t>
    <phoneticPr fontId="2" type="noConversion"/>
  </si>
  <si>
    <t>한 달을 30일, 1년을 360일로 계산(단, 2월28일은 ​투자가 월말에 이루어졌을 경우에만 30일로 변경)</t>
    <phoneticPr fontId="2" type="noConversion"/>
  </si>
  <si>
    <t>Code</t>
    <phoneticPr fontId="2" type="noConversion"/>
  </si>
  <si>
    <t>Mod.Following</t>
    <phoneticPr fontId="2" type="noConversion"/>
  </si>
  <si>
    <t>Mod.Preceding</t>
    <phoneticPr fontId="2" type="noConversion"/>
  </si>
  <si>
    <t>End.Month</t>
    <phoneticPr fontId="2" type="noConversion"/>
  </si>
  <si>
    <t>토</t>
  </si>
  <si>
    <t>토</t>
    <phoneticPr fontId="2" type="noConversion"/>
  </si>
  <si>
    <t>일</t>
  </si>
  <si>
    <t>일</t>
    <phoneticPr fontId="2" type="noConversion"/>
  </si>
  <si>
    <t>월</t>
  </si>
  <si>
    <t>월</t>
    <phoneticPr fontId="2" type="noConversion"/>
  </si>
  <si>
    <t>화</t>
  </si>
  <si>
    <t>화</t>
    <phoneticPr fontId="2" type="noConversion"/>
  </si>
  <si>
    <t>수</t>
  </si>
  <si>
    <t>수</t>
    <phoneticPr fontId="2" type="noConversion"/>
  </si>
  <si>
    <t>목</t>
  </si>
  <si>
    <t>금</t>
  </si>
  <si>
    <t>임시공휴일</t>
    <phoneticPr fontId="2" type="noConversion"/>
  </si>
  <si>
    <t>휴일 적용을 어떻게 구현할까 고려해야함</t>
    <phoneticPr fontId="2" type="noConversion"/>
  </si>
  <si>
    <t>토요일</t>
    <phoneticPr fontId="2" type="noConversion"/>
  </si>
  <si>
    <t>일요일</t>
    <phoneticPr fontId="2" type="noConversion"/>
  </si>
  <si>
    <t>공휴일</t>
    <phoneticPr fontId="2" type="noConversion"/>
  </si>
  <si>
    <t>영업일</t>
    <phoneticPr fontId="2" type="noConversion"/>
  </si>
  <si>
    <t>Newyork</t>
  </si>
  <si>
    <t>2022-01-17</t>
  </si>
  <si>
    <t>2022-02-21</t>
  </si>
  <si>
    <t>2022-05-30</t>
  </si>
  <si>
    <t>2022-06-20</t>
  </si>
  <si>
    <t>2022-07-04</t>
  </si>
  <si>
    <t>2022-09-05</t>
  </si>
  <si>
    <t>2022-10-10</t>
  </si>
  <si>
    <t>2022-11-11</t>
  </si>
  <si>
    <t>2022-11-24</t>
  </si>
  <si>
    <t>2022-12-26</t>
  </si>
  <si>
    <t>2023-01-02</t>
  </si>
  <si>
    <t>2023-01-16</t>
  </si>
  <si>
    <t>2023-02-20</t>
  </si>
  <si>
    <t>2023-05-29</t>
  </si>
  <si>
    <t>2023-06-19</t>
  </si>
  <si>
    <t>2023-07-04</t>
  </si>
  <si>
    <t>2023-09-40</t>
  </si>
  <si>
    <t>2023-10-09</t>
  </si>
  <si>
    <t>2023-11-23</t>
  </si>
  <si>
    <t>2023-12-25</t>
  </si>
  <si>
    <t>2024-01-01</t>
  </si>
  <si>
    <t>2024-01-15</t>
  </si>
  <si>
    <t>2024-02-19</t>
  </si>
  <si>
    <t>2024-05-27</t>
  </si>
  <si>
    <t>2024-06-19</t>
  </si>
  <si>
    <t>2024-07-04</t>
  </si>
  <si>
    <t>2024-09-20</t>
  </si>
  <si>
    <t>2024-10-14</t>
  </si>
  <si>
    <t>2024-11-11</t>
  </si>
  <si>
    <t>2024-11-28</t>
  </si>
  <si>
    <t>2024-12-25</t>
  </si>
  <si>
    <t>2025-01-01</t>
  </si>
  <si>
    <t>2025-01-20</t>
  </si>
  <si>
    <t>2025-02-17</t>
  </si>
  <si>
    <t>2025-05-26</t>
  </si>
  <si>
    <t>2025-06-19</t>
  </si>
  <si>
    <t>2025-07-04</t>
  </si>
  <si>
    <t>2025-09-01</t>
  </si>
  <si>
    <t>2025-10-13</t>
  </si>
  <si>
    <t>2025-11-11</t>
  </si>
  <si>
    <t>2025-11-27</t>
  </si>
  <si>
    <t>2025-12-25</t>
  </si>
  <si>
    <t>2026-01-01</t>
  </si>
  <si>
    <t>2026-01-19</t>
  </si>
  <si>
    <t>2026-02-16</t>
  </si>
  <si>
    <t>2026-05-25</t>
  </si>
  <si>
    <t>2026-06-19</t>
  </si>
  <si>
    <t>2026-09-07</t>
  </si>
  <si>
    <t>2026-10-12</t>
  </si>
  <si>
    <t>2026-11-11</t>
  </si>
  <si>
    <t>2026-11-26</t>
  </si>
  <si>
    <t>2026-12-25</t>
  </si>
  <si>
    <t>2027-01-01</t>
  </si>
  <si>
    <t>2027-01-18</t>
  </si>
  <si>
    <t>2027-02-15</t>
  </si>
  <si>
    <t>2027-05-31</t>
  </si>
  <si>
    <t>2027-07-05</t>
  </si>
  <si>
    <t>2027-09-06</t>
  </si>
  <si>
    <t>2027-10-11</t>
  </si>
  <si>
    <t>2027-11-11</t>
  </si>
  <si>
    <t>2027-11-25</t>
  </si>
  <si>
    <t>2028-01-17</t>
  </si>
  <si>
    <t>2028-02-21</t>
  </si>
  <si>
    <t>2028-05-29</t>
  </si>
  <si>
    <t>2028-06-19</t>
  </si>
  <si>
    <t>2028-07-04</t>
  </si>
  <si>
    <t>2028-09-04</t>
  </si>
  <si>
    <t>2028-10-09</t>
  </si>
  <si>
    <t>2028-11-23</t>
  </si>
  <si>
    <t>2028-12-25</t>
  </si>
  <si>
    <t>2029-01-01</t>
  </si>
  <si>
    <t>2029-01-15</t>
  </si>
  <si>
    <t>2029-02-19</t>
  </si>
  <si>
    <t>2029-05-28</t>
  </si>
  <si>
    <t>2029-06-19</t>
  </si>
  <si>
    <t>2029-07-04</t>
  </si>
  <si>
    <t>2029-09-03</t>
  </si>
  <si>
    <t>2029-10-08</t>
  </si>
  <si>
    <t>2029-11-12</t>
  </si>
  <si>
    <t>2029-11-22</t>
  </si>
  <si>
    <t>2029-12-25</t>
  </si>
  <si>
    <t>2030-01-01</t>
  </si>
  <si>
    <t>2030-01-21</t>
  </si>
  <si>
    <t>2030-02-18</t>
  </si>
  <si>
    <t>2030-05-27</t>
  </si>
  <si>
    <t>2030-06-19</t>
  </si>
  <si>
    <t>2030-07-04</t>
  </si>
  <si>
    <t>2030-09-02</t>
  </si>
  <si>
    <t>2030-10-14</t>
  </si>
  <si>
    <t>2030-11-11</t>
  </si>
  <si>
    <t>2030-11-28</t>
  </si>
  <si>
    <t>2030-12-25</t>
  </si>
  <si>
    <t>2031-01-01</t>
  </si>
  <si>
    <t>2031-01-20</t>
  </si>
  <si>
    <t>2031-02-17</t>
  </si>
  <si>
    <t>2031-05-26</t>
  </si>
  <si>
    <t>2031-06-19</t>
  </si>
  <si>
    <t>2031-07-04</t>
  </si>
  <si>
    <t>2031-09-01</t>
  </si>
  <si>
    <t>2031-10-13</t>
  </si>
  <si>
    <t>2031-11-11</t>
  </si>
  <si>
    <t>2031-11-27</t>
  </si>
  <si>
    <t>2031-12-25</t>
  </si>
  <si>
    <t>2032-01-01</t>
  </si>
  <si>
    <t>2032-01-19</t>
  </si>
  <si>
    <t>2032-02-16</t>
  </si>
  <si>
    <t>2032-05-31</t>
  </si>
  <si>
    <t>2032-07-05</t>
  </si>
  <si>
    <t>2032-09-06</t>
  </si>
  <si>
    <t>2032-10-11</t>
  </si>
  <si>
    <t>2032-11-11</t>
  </si>
  <si>
    <t>2032-11-25</t>
  </si>
  <si>
    <t>2033-01-17</t>
  </si>
  <si>
    <t>2033-02-21</t>
  </si>
  <si>
    <t>2033-05-30</t>
  </si>
  <si>
    <t>2033-06-20</t>
  </si>
  <si>
    <t>2033-07-04</t>
  </si>
  <si>
    <t>2033-09-05</t>
  </si>
  <si>
    <t>2033-10-10</t>
  </si>
  <si>
    <t>2033-11-11</t>
  </si>
  <si>
    <t>2033-11-24</t>
  </si>
  <si>
    <t>2033-12-26</t>
  </si>
  <si>
    <t>2034-01-02</t>
  </si>
  <si>
    <t>2034-01-16</t>
  </si>
  <si>
    <t>2034-02-20</t>
  </si>
  <si>
    <t>2034-05-29</t>
  </si>
  <si>
    <t>2034-06-19</t>
  </si>
  <si>
    <t>2034-07-04</t>
  </si>
  <si>
    <t>2034-09-04</t>
  </si>
  <si>
    <t>2034-10-09</t>
  </si>
  <si>
    <t>2034-11-23</t>
  </si>
  <si>
    <t>2034-12-25</t>
  </si>
  <si>
    <t>2035-01-01</t>
  </si>
  <si>
    <t>2035-01-15</t>
  </si>
  <si>
    <t>2035-02-19</t>
  </si>
  <si>
    <t>2035-05-28</t>
  </si>
  <si>
    <t>2035-06-19</t>
  </si>
  <si>
    <t>2035-07-04</t>
  </si>
  <si>
    <t>2035-09-03</t>
  </si>
  <si>
    <t>2035-10-08</t>
  </si>
  <si>
    <t>2035-11-12</t>
  </si>
  <si>
    <t>2035-11-22</t>
  </si>
  <si>
    <t>2035-12-25</t>
  </si>
  <si>
    <t>2036-01-01</t>
  </si>
  <si>
    <t>2036-01-21</t>
  </si>
  <si>
    <t>2036-02-18</t>
  </si>
  <si>
    <t>2036-05-26</t>
  </si>
  <si>
    <t>2036-06-19</t>
  </si>
  <si>
    <t>2036-07-04</t>
  </si>
  <si>
    <t>2036-09-01</t>
  </si>
  <si>
    <t>2036-10-13</t>
  </si>
  <si>
    <t>2036-11-11</t>
  </si>
  <si>
    <t>2036-11-27</t>
  </si>
  <si>
    <t>2036-12-25</t>
  </si>
  <si>
    <t>2037-01-01</t>
  </si>
  <si>
    <t>2037-01-19</t>
  </si>
  <si>
    <t>2037-02-16</t>
  </si>
  <si>
    <t>2037-05-25</t>
  </si>
  <si>
    <t>2037-06-19</t>
  </si>
  <si>
    <t>2037-09-07</t>
  </si>
  <si>
    <t>2037-10-12</t>
  </si>
  <si>
    <t>2037-11-11</t>
  </si>
  <si>
    <t>2037-11-26</t>
  </si>
  <si>
    <t>2037-12-25</t>
  </si>
  <si>
    <t>2038-01-01</t>
  </si>
  <si>
    <t>2038-01-18</t>
  </si>
  <si>
    <t>2038-02-15</t>
  </si>
  <si>
    <t>2038-05-31</t>
  </si>
  <si>
    <t>2038-07-05</t>
  </si>
  <si>
    <t>2038-09-06</t>
  </si>
  <si>
    <t>2038-10-11</t>
  </si>
  <si>
    <t>2038-11-11</t>
  </si>
  <si>
    <t>2038-11-25</t>
  </si>
  <si>
    <t>2039-01-17</t>
  </si>
  <si>
    <t>2039-02-21</t>
  </si>
  <si>
    <t>2039-05-30</t>
  </si>
  <si>
    <t>2039-06-20</t>
  </si>
  <si>
    <t>2039-07-04</t>
  </si>
  <si>
    <t>2039-09-05</t>
  </si>
  <si>
    <t>2039-10-10</t>
  </si>
  <si>
    <t>2039-11-11</t>
  </si>
  <si>
    <t>2039-11-24</t>
  </si>
  <si>
    <t>2039-12-26</t>
  </si>
  <si>
    <t>2040-01-02</t>
  </si>
  <si>
    <t>2040-01-16</t>
  </si>
  <si>
    <t>2040-02-20</t>
  </si>
  <si>
    <t>2040-05-28</t>
  </si>
  <si>
    <t>2040-06-19</t>
  </si>
  <si>
    <t>2040-07-04</t>
  </si>
  <si>
    <t>2040-09-03</t>
  </si>
  <si>
    <t>2040-10-08</t>
  </si>
  <si>
    <t>2040-11-12</t>
  </si>
  <si>
    <t>2040-11-22</t>
  </si>
  <si>
    <t>2040-12-25</t>
  </si>
  <si>
    <t>2041-01-01</t>
  </si>
  <si>
    <t>2041-01-21</t>
  </si>
  <si>
    <t>2041-02-18</t>
  </si>
  <si>
    <t>2041-05-27</t>
  </si>
  <si>
    <t>2041-06-19</t>
  </si>
  <si>
    <t>2041-07-04</t>
  </si>
  <si>
    <t>2041-09-02</t>
  </si>
  <si>
    <t>2041-10-14</t>
  </si>
  <si>
    <t>2041-11-11</t>
  </si>
  <si>
    <t>2041-11-28</t>
  </si>
  <si>
    <t>2041-12-25</t>
  </si>
  <si>
    <t>2042-01-01</t>
  </si>
  <si>
    <t>2042-01-20</t>
  </si>
  <si>
    <t>2042-02-17</t>
  </si>
  <si>
    <t>2042-05-26</t>
  </si>
  <si>
    <t>2042-06-19</t>
  </si>
  <si>
    <t>2042-07-04</t>
  </si>
  <si>
    <t>2042-09-01</t>
  </si>
  <si>
    <t>2042-10-13</t>
  </si>
  <si>
    <t>2042-11-11</t>
  </si>
  <si>
    <t>2042-11-27</t>
  </si>
  <si>
    <t>2042-12-25</t>
  </si>
  <si>
    <t>2043-01-01</t>
  </si>
  <si>
    <t>2043-01-19</t>
  </si>
  <si>
    <t>2043-02-16</t>
  </si>
  <si>
    <t>2043-05-25</t>
  </si>
  <si>
    <t>2043-06-19</t>
  </si>
  <si>
    <t>2043-09-07</t>
  </si>
  <si>
    <t>2043-10-12</t>
  </si>
  <si>
    <t>2043-11-11</t>
  </si>
  <si>
    <t>2043-11-26</t>
  </si>
  <si>
    <t>2043-12-25</t>
  </si>
  <si>
    <t>2044-01-01</t>
  </si>
  <si>
    <t>2044-01-18</t>
  </si>
  <si>
    <t>2044-02-15</t>
  </si>
  <si>
    <t>2044-05-30</t>
  </si>
  <si>
    <t>2044-06-20</t>
  </si>
  <si>
    <t>2044-07-04</t>
  </si>
  <si>
    <t>2044-09-05</t>
  </si>
  <si>
    <t>2044-10-10</t>
  </si>
  <si>
    <t>2044-11-11</t>
  </si>
  <si>
    <t>2044-11-24</t>
  </si>
  <si>
    <t>2044-12-26</t>
  </si>
  <si>
    <t>2045-01-02</t>
  </si>
  <si>
    <t>2045-01-16</t>
  </si>
  <si>
    <t>2045-02-20</t>
  </si>
  <si>
    <t>2045-05-29</t>
  </si>
  <si>
    <t>2045-06-19</t>
  </si>
  <si>
    <t>2045-07-04</t>
  </si>
  <si>
    <t>2045-09-04</t>
  </si>
  <si>
    <t>2045-10-09</t>
  </si>
  <si>
    <t>2045-11-23</t>
  </si>
  <si>
    <t>2045-12-25</t>
  </si>
  <si>
    <t>2046-01-01</t>
  </si>
  <si>
    <t>2046-01-15</t>
  </si>
  <si>
    <t>2046-02-19</t>
  </si>
  <si>
    <t>2046-05-28</t>
  </si>
  <si>
    <t>2046-06-19</t>
  </si>
  <si>
    <t>2046-07-04</t>
  </si>
  <si>
    <t>2046-09-03</t>
  </si>
  <si>
    <t>2046-10-08</t>
  </si>
  <si>
    <t>2046-11-12</t>
  </si>
  <si>
    <t>2046-11-22</t>
  </si>
  <si>
    <t>2046-12-25</t>
  </si>
  <si>
    <t>2047-01-01</t>
  </si>
  <si>
    <t>2047-01-21</t>
  </si>
  <si>
    <t>2047-02-18</t>
  </si>
  <si>
    <t>2047-05-27</t>
  </si>
  <si>
    <t>2047-06-19</t>
  </si>
  <si>
    <t>2047-07-04</t>
  </si>
  <si>
    <t>2047-09-02</t>
  </si>
  <si>
    <t>2047-10-14</t>
  </si>
  <si>
    <t>2047-11-11</t>
  </si>
  <si>
    <t>2047-11-28</t>
  </si>
  <si>
    <t>2047-12-25</t>
  </si>
  <si>
    <t>2048-01-01</t>
  </si>
  <si>
    <t>2048-01-20</t>
  </si>
  <si>
    <t>2048-02-17</t>
  </si>
  <si>
    <t>2048-05-25</t>
  </si>
  <si>
    <t>2048-06-19</t>
  </si>
  <si>
    <t>2048-09-07</t>
  </si>
  <si>
    <t>2048-10-12</t>
  </si>
  <si>
    <t>2048-11-11</t>
  </si>
  <si>
    <t>2048-11-26</t>
  </si>
  <si>
    <t>2048-12-25</t>
  </si>
  <si>
    <t>2049-01-01</t>
  </si>
  <si>
    <t>2049-01-18</t>
  </si>
  <si>
    <t>2049-02-15</t>
  </si>
  <si>
    <t>2049-05-31</t>
  </si>
  <si>
    <t>2049-07-05</t>
  </si>
  <si>
    <t>2049-09-06</t>
  </si>
  <si>
    <t>2049-10-11</t>
  </si>
  <si>
    <t>2049-11-11</t>
  </si>
  <si>
    <t>2049-11-25</t>
  </si>
  <si>
    <t>2050-01-17</t>
  </si>
  <si>
    <t>2050-02-21</t>
  </si>
  <si>
    <t>2050-05-30</t>
  </si>
  <si>
    <t>2050-06-20</t>
  </si>
  <si>
    <t>2050-07-04</t>
  </si>
  <si>
    <t>2050-09-05</t>
  </si>
  <si>
    <t>2050-10-10</t>
  </si>
  <si>
    <t>2050-11-11</t>
  </si>
  <si>
    <t>2050-11-24</t>
  </si>
  <si>
    <t>2050-12-26</t>
  </si>
  <si>
    <t>2051-01-02</t>
  </si>
  <si>
    <t>2051-01-16</t>
  </si>
  <si>
    <t>2051-02-20</t>
  </si>
  <si>
    <t>2051-05-29</t>
  </si>
  <si>
    <t>2051-06-19</t>
  </si>
  <si>
    <t>2051-07-04</t>
  </si>
  <si>
    <t>2051-09-04</t>
  </si>
  <si>
    <t>2051-10-09</t>
  </si>
  <si>
    <t>2051-11-23</t>
  </si>
  <si>
    <t>2051-12-25</t>
  </si>
  <si>
    <t>2052-01-01</t>
  </si>
  <si>
    <t>2052-01-15</t>
  </si>
  <si>
    <t>2052-02-19</t>
  </si>
  <si>
    <t>2052-05-27</t>
  </si>
  <si>
    <t>2052-06-19</t>
  </si>
  <si>
    <t>2052-07-04</t>
  </si>
  <si>
    <t>2052-09-02</t>
  </si>
  <si>
    <t>2052-10-14</t>
  </si>
  <si>
    <t>2052-11-11</t>
  </si>
  <si>
    <t>2052-11-28</t>
  </si>
  <si>
    <t>2052-12-25</t>
  </si>
  <si>
    <t>2053-01-01</t>
  </si>
  <si>
    <t>2053-01-20</t>
  </si>
  <si>
    <t>2053-02-17</t>
  </si>
  <si>
    <t>2053-05-26</t>
  </si>
  <si>
    <t>2053-06-19</t>
  </si>
  <si>
    <t>2053-07-04</t>
  </si>
  <si>
    <t>2053-09-01</t>
  </si>
  <si>
    <t>2053-10-13</t>
  </si>
  <si>
    <t>2053-11-11</t>
  </si>
  <si>
    <t>2053-11-27</t>
  </si>
  <si>
    <t>2053-12-25</t>
  </si>
  <si>
    <t>2054-01-01</t>
  </si>
  <si>
    <t>2054-01-19</t>
  </si>
  <si>
    <t>2054-02-16</t>
  </si>
  <si>
    <t>2054-05-25</t>
  </si>
  <si>
    <t>2054-06-19</t>
  </si>
  <si>
    <t>2054-09-07</t>
  </si>
  <si>
    <t>2054-10-12</t>
  </si>
  <si>
    <t>2054-11-11</t>
  </si>
  <si>
    <t>2054-11-26</t>
  </si>
  <si>
    <t>2054-12-25</t>
  </si>
  <si>
    <t>□ FX Forward 상품 정의</t>
    <phoneticPr fontId="2" type="noConversion"/>
  </si>
  <si>
    <t>□ FX Forward 상품 평가</t>
    <phoneticPr fontId="2" type="noConversion"/>
  </si>
  <si>
    <t xml:space="preserve"> - FX Forward(통화 선도거래)란 미래의 특정 시점(만기)에 서로 다른 통화의 교환비율을 사전에 정하여 만기시점에 액면금액에 대한 현금흐름이 발생하는 거래</t>
    <phoneticPr fontId="2" type="noConversion"/>
  </si>
  <si>
    <t xml:space="preserve"> - FX Forward는 원칙적으로 Foreign 통화는 해당 통화의 IRS 커브로, Domestic 통화는 CRS 커브로 할인하여 평가</t>
    <phoneticPr fontId="2" type="noConversion"/>
  </si>
  <si>
    <t>Trade Date</t>
    <phoneticPr fontId="2" type="noConversion"/>
  </si>
  <si>
    <t>Maturity Date</t>
    <phoneticPr fontId="2" type="noConversion"/>
  </si>
  <si>
    <t>Revaluation Date</t>
    <phoneticPr fontId="2" type="noConversion"/>
  </si>
  <si>
    <t>KRW</t>
    <phoneticPr fontId="2" type="noConversion"/>
  </si>
  <si>
    <t>Discount Curve</t>
    <phoneticPr fontId="2" type="noConversion"/>
  </si>
  <si>
    <t>M</t>
  </si>
  <si>
    <t>Base Date</t>
    <phoneticPr fontId="2" type="noConversion"/>
  </si>
  <si>
    <t>Currency</t>
    <phoneticPr fontId="2" type="noConversion"/>
  </si>
  <si>
    <t>CurveID</t>
    <phoneticPr fontId="2" type="noConversion"/>
  </si>
  <si>
    <t>Unit</t>
    <phoneticPr fontId="2" type="noConversion"/>
  </si>
  <si>
    <t>Market Data</t>
    <phoneticPr fontId="2" type="noConversion"/>
  </si>
  <si>
    <t>Term</t>
    <phoneticPr fontId="2" type="noConversion"/>
  </si>
  <si>
    <t>Forward Curve</t>
    <phoneticPr fontId="2" type="noConversion"/>
  </si>
  <si>
    <t>Exchange Rate</t>
    <phoneticPr fontId="2" type="noConversion"/>
  </si>
  <si>
    <t xml:space="preserve"> o Trade Information</t>
    <phoneticPr fontId="2" type="noConversion"/>
  </si>
  <si>
    <t>Discount Factor</t>
    <phoneticPr fontId="2" type="noConversion"/>
  </si>
  <si>
    <t>Present Value</t>
    <phoneticPr fontId="2" type="noConversion"/>
  </si>
  <si>
    <t>Year Fraction</t>
    <phoneticPr fontId="2" type="noConversion"/>
  </si>
  <si>
    <r>
      <t>Amount (Notional</t>
    </r>
    <r>
      <rPr>
        <vertAlign val="subscript"/>
        <sz val="11"/>
        <color theme="1"/>
        <rFont val="맑은 고딕"/>
        <family val="3"/>
        <charset val="129"/>
        <scheme val="minor"/>
      </rPr>
      <t>F</t>
    </r>
    <r>
      <rPr>
        <sz val="11"/>
        <color theme="1"/>
        <rFont val="맑은 고딕"/>
        <family val="2"/>
        <charset val="129"/>
        <scheme val="minor"/>
      </rPr>
      <t>)</t>
    </r>
    <phoneticPr fontId="2" type="noConversion"/>
  </si>
  <si>
    <r>
      <t>Amount (Notional</t>
    </r>
    <r>
      <rPr>
        <vertAlign val="subscript"/>
        <sz val="11"/>
        <color theme="1"/>
        <rFont val="맑은 고딕"/>
        <family val="3"/>
        <charset val="129"/>
        <scheme val="minor"/>
      </rPr>
      <t>D</t>
    </r>
    <r>
      <rPr>
        <sz val="11"/>
        <color theme="1"/>
        <rFont val="맑은 고딕"/>
        <family val="2"/>
        <charset val="129"/>
        <scheme val="minor"/>
      </rPr>
      <t>)</t>
    </r>
    <phoneticPr fontId="2" type="noConversion"/>
  </si>
  <si>
    <t>Buy Side</t>
    <phoneticPr fontId="2" type="noConversion"/>
  </si>
  <si>
    <t>Sell Side</t>
    <phoneticPr fontId="2" type="noConversion"/>
  </si>
  <si>
    <t xml:space="preserve"> - 만기시점 Foreign 명목금액을 IRS 커브로 할인 후 현물환율 적용한 매입통화가격과 Domestic 명목금액을 CRS 커브로 할인한 매도통화가격의 차이로 평가</t>
    <phoneticPr fontId="2" type="noConversion"/>
  </si>
  <si>
    <t xml:space="preserve"> o Sensitivity FRTB-SA</t>
    <phoneticPr fontId="2" type="noConversion"/>
  </si>
  <si>
    <t>1Y</t>
    <phoneticPr fontId="2" type="noConversion"/>
  </si>
  <si>
    <t>2Y</t>
    <phoneticPr fontId="2" type="noConversion"/>
  </si>
  <si>
    <t>3Y</t>
    <phoneticPr fontId="2" type="noConversion"/>
  </si>
  <si>
    <t>5Y</t>
    <phoneticPr fontId="2" type="noConversion"/>
  </si>
  <si>
    <t>10Y</t>
    <phoneticPr fontId="2" type="noConversion"/>
  </si>
  <si>
    <t>15Y</t>
    <phoneticPr fontId="2" type="noConversion"/>
  </si>
  <si>
    <t>20Y</t>
    <phoneticPr fontId="2" type="noConversion"/>
  </si>
  <si>
    <t>30Y</t>
    <phoneticPr fontId="2" type="noConversion"/>
  </si>
  <si>
    <t>Interest Rate Curve</t>
    <phoneticPr fontId="2" type="noConversion"/>
  </si>
  <si>
    <t>Tenor</t>
    <phoneticPr fontId="2" type="noConversion"/>
  </si>
  <si>
    <t>Sensitivity</t>
    <phoneticPr fontId="2" type="noConversion"/>
  </si>
  <si>
    <t>GIRR</t>
    <phoneticPr fontId="2" type="noConversion"/>
  </si>
  <si>
    <t>Currency pair</t>
    <phoneticPr fontId="2" type="noConversion"/>
  </si>
  <si>
    <t>Product Type</t>
    <phoneticPr fontId="2" type="noConversion"/>
  </si>
  <si>
    <t>Day Count Basis</t>
    <phoneticPr fontId="2" type="noConversion"/>
  </si>
  <si>
    <t>Product Code</t>
    <phoneticPr fontId="2" type="noConversion"/>
  </si>
  <si>
    <t>Trade ID</t>
    <phoneticPr fontId="2" type="noConversion"/>
  </si>
  <si>
    <t>***********</t>
    <phoneticPr fontId="2" type="noConversion"/>
  </si>
  <si>
    <t>Principal Amount</t>
    <phoneticPr fontId="2" type="noConversion"/>
  </si>
  <si>
    <t>IREUR-CRS</t>
    <phoneticPr fontId="2" type="noConversion"/>
  </si>
  <si>
    <t>EUR</t>
    <phoneticPr fontId="2" type="noConversion"/>
  </si>
  <si>
    <t>IRKRW-CRS</t>
    <phoneticPr fontId="2" type="noConversion"/>
  </si>
  <si>
    <t>Forward Rate(Contract Forward Rate)</t>
    <phoneticPr fontId="2" type="noConversion"/>
  </si>
  <si>
    <t>관리 코드(안)</t>
    <phoneticPr fontId="2" type="noConversion"/>
  </si>
  <si>
    <t>Lv.1</t>
    <phoneticPr fontId="2" type="noConversion"/>
  </si>
  <si>
    <t>Lv.2</t>
    <phoneticPr fontId="2" type="noConversion"/>
  </si>
  <si>
    <t>Lv.3</t>
    <phoneticPr fontId="2" type="noConversion"/>
  </si>
  <si>
    <r>
      <t xml:space="preserve"> - PV</t>
    </r>
    <r>
      <rPr>
        <vertAlign val="subscript"/>
        <sz val="11"/>
        <color theme="1"/>
        <rFont val="맑은 고딕"/>
        <family val="3"/>
        <charset val="129"/>
        <scheme val="minor"/>
      </rPr>
      <t xml:space="preserve">D </t>
    </r>
    <r>
      <rPr>
        <sz val="11"/>
        <color theme="1"/>
        <rFont val="맑은 고딕"/>
        <family val="2"/>
        <charset val="129"/>
        <scheme val="minor"/>
      </rPr>
      <t>= Notional</t>
    </r>
    <r>
      <rPr>
        <vertAlign val="subscript"/>
        <sz val="11"/>
        <color theme="1"/>
        <rFont val="맑은 고딕"/>
        <family val="3"/>
        <charset val="129"/>
        <scheme val="minor"/>
      </rPr>
      <t>F</t>
    </r>
    <r>
      <rPr>
        <sz val="11"/>
        <color theme="1"/>
        <rFont val="맑은 고딕"/>
        <family val="2"/>
        <charset val="129"/>
        <scheme val="minor"/>
      </rPr>
      <t xml:space="preserve"> x SpotRate x DF</t>
    </r>
    <r>
      <rPr>
        <vertAlign val="subscript"/>
        <sz val="11"/>
        <color theme="1"/>
        <rFont val="맑은 고딕"/>
        <family val="3"/>
        <charset val="129"/>
        <scheme val="minor"/>
      </rPr>
      <t>(F,tn)</t>
    </r>
    <r>
      <rPr>
        <sz val="11"/>
        <color theme="1"/>
        <rFont val="맑은 고딕"/>
        <family val="2"/>
        <charset val="129"/>
        <scheme val="minor"/>
      </rPr>
      <t xml:space="preserve"> - Notional</t>
    </r>
    <r>
      <rPr>
        <vertAlign val="subscript"/>
        <sz val="11"/>
        <color theme="1"/>
        <rFont val="맑은 고딕"/>
        <family val="3"/>
        <charset val="129"/>
        <scheme val="minor"/>
      </rPr>
      <t>D</t>
    </r>
    <r>
      <rPr>
        <sz val="11"/>
        <color theme="1"/>
        <rFont val="맑은 고딕"/>
        <family val="2"/>
        <charset val="129"/>
        <scheme val="minor"/>
      </rPr>
      <t xml:space="preserve"> x DF</t>
    </r>
    <r>
      <rPr>
        <vertAlign val="subscript"/>
        <sz val="11"/>
        <color theme="1"/>
        <rFont val="맑은 고딕"/>
        <family val="3"/>
        <charset val="129"/>
        <scheme val="minor"/>
      </rPr>
      <t>(D,tn)</t>
    </r>
    <phoneticPr fontId="2" type="noConversion"/>
  </si>
  <si>
    <t>Net PV(in Domestic)</t>
    <phoneticPr fontId="2" type="noConversion"/>
  </si>
  <si>
    <t>IRKRW-CRS</t>
  </si>
  <si>
    <t>Discount Rate</t>
    <phoneticPr fontId="2" type="noConversion"/>
  </si>
  <si>
    <t>금리 커브 데이터 입수 Format</t>
    <phoneticPr fontId="2" type="noConversion"/>
  </si>
  <si>
    <t>Curve Setting 정보</t>
    <phoneticPr fontId="2" type="noConversion"/>
  </si>
  <si>
    <t xml:space="preserve"> - Day Count Basis 셋팅 필요</t>
    <phoneticPr fontId="2" type="noConversion"/>
  </si>
  <si>
    <t xml:space="preserve"> - 상품별 Discount Curve 셋팅 필요</t>
    <phoneticPr fontId="2" type="noConversion"/>
  </si>
  <si>
    <t>D: Day/W: Week/M: Month/Y: Year</t>
    <phoneticPr fontId="2" type="noConversion"/>
  </si>
  <si>
    <t>Number</t>
    <phoneticPr fontId="2" type="noConversion"/>
  </si>
  <si>
    <t>O/N; 1D</t>
    <phoneticPr fontId="2" type="noConversion"/>
  </si>
  <si>
    <t>Percent</t>
    <phoneticPr fontId="2" type="noConversion"/>
  </si>
  <si>
    <t xml:space="preserve">Curve Sheet </t>
    <phoneticPr fontId="2" type="noConversion"/>
  </si>
  <si>
    <t>IREUR-CRS-Basis</t>
    <phoneticPr fontId="2" type="noConversion"/>
  </si>
  <si>
    <t>IRKRW-CRS-Basis</t>
    <phoneticPr fontId="2" type="noConversion"/>
  </si>
  <si>
    <t>-</t>
    <phoneticPr fontId="2" type="noConversion"/>
  </si>
  <si>
    <t xml:space="preserve"> o Valuation - CashFlow</t>
    <phoneticPr fontId="2" type="noConversion"/>
  </si>
  <si>
    <t>IREUR-CRS</t>
  </si>
  <si>
    <t>M</t>
    <phoneticPr fontId="2" type="noConversion"/>
  </si>
  <si>
    <t>Y</t>
  </si>
  <si>
    <t>Y</t>
    <phoneticPr fontId="2" type="noConversion"/>
  </si>
  <si>
    <t>Market Average Rate</t>
    <phoneticPr fontId="2" type="noConversion"/>
  </si>
  <si>
    <t>Net PV</t>
    <phoneticPr fontId="2" type="noConversion"/>
  </si>
  <si>
    <t>1bp up</t>
  </si>
  <si>
    <t>FX</t>
    <phoneticPr fontId="2" type="noConversion"/>
  </si>
  <si>
    <t>Scenario</t>
    <phoneticPr fontId="2" type="noConversion"/>
  </si>
  <si>
    <t>3M</t>
  </si>
  <si>
    <t>SC1</t>
  </si>
  <si>
    <t>SC2</t>
  </si>
  <si>
    <t>SC3</t>
  </si>
  <si>
    <t>SC4</t>
  </si>
  <si>
    <t>SC5</t>
  </si>
  <si>
    <t>SC6</t>
  </si>
  <si>
    <t>SC7</t>
  </si>
  <si>
    <t>SC8</t>
  </si>
  <si>
    <t>SC9</t>
  </si>
  <si>
    <t>SC10</t>
  </si>
  <si>
    <t>SC11</t>
  </si>
  <si>
    <t>SC12</t>
  </si>
  <si>
    <t>6M</t>
  </si>
  <si>
    <t>1Y</t>
  </si>
  <si>
    <t>2Y</t>
  </si>
  <si>
    <t>3Y</t>
  </si>
  <si>
    <t>5Y</t>
  </si>
  <si>
    <t>10Y</t>
  </si>
  <si>
    <t>15Y</t>
  </si>
  <si>
    <t>20Y</t>
  </si>
  <si>
    <t>30Y</t>
  </si>
  <si>
    <t>1bp down</t>
  </si>
  <si>
    <t xml:space="preserve">Base </t>
    <phoneticPr fontId="2" type="noConversion"/>
  </si>
  <si>
    <t>Select Type   ▶</t>
    <phoneticPr fontId="2" type="noConversion"/>
  </si>
  <si>
    <t>Net Present Value</t>
  </si>
  <si>
    <t>3M</t>
    <phoneticPr fontId="2" type="noConversion"/>
  </si>
  <si>
    <t>6M</t>
    <phoneticPr fontId="2" type="noConversion"/>
  </si>
  <si>
    <t>Zero Rate</t>
    <phoneticPr fontId="2" type="noConversion"/>
  </si>
  <si>
    <t>KRW/EUR</t>
    <phoneticPr fontId="2" type="noConversion"/>
  </si>
  <si>
    <t>PV오차</t>
    <phoneticPr fontId="2" type="noConversion"/>
  </si>
  <si>
    <t>Sensitivity 오차</t>
    <phoneticPr fontId="2" type="noConversion"/>
  </si>
  <si>
    <t>□ Bond 상품 정의</t>
    <phoneticPr fontId="2" type="noConversion"/>
  </si>
  <si>
    <t xml:space="preserve"> - 채권은 중앙 정부, 지방 정부, 공기업, 금융 기관, 기타 법인 등이 정책 시행이나 사업 수행을 위해 자금을 조달하려고 돈을 빌렸으며 정해진 기한 후에 투자자에게 원금과 함께 이자를 상환하는 채무증서</t>
    <phoneticPr fontId="2" type="noConversion"/>
  </si>
  <si>
    <t>□ Bond 상품 평가</t>
    <phoneticPr fontId="2" type="noConversion"/>
  </si>
  <si>
    <t>5bp</t>
    <phoneticPr fontId="2" type="noConversion"/>
  </si>
  <si>
    <t>7bp</t>
    <phoneticPr fontId="2" type="noConversion"/>
  </si>
  <si>
    <t>-</t>
  </si>
  <si>
    <t>IREUR-CRS-Basis</t>
  </si>
  <si>
    <t>IRKRW-CRS-Basis</t>
  </si>
  <si>
    <t xml:space="preserve"> - 채권 발행 원금, 쿠폰금리, 이자지급주기 등을 고려하여 채권의 만기시점까지 발생하는 현금흐름을 산출</t>
    <phoneticPr fontId="2" type="noConversion"/>
  </si>
  <si>
    <t xml:space="preserve"> - 산출한 현금흐름을 할인계수를 적용하여 현재시점으로 할인하여 평가</t>
    <phoneticPr fontId="2" type="noConversion"/>
  </si>
  <si>
    <t>FI0101</t>
    <phoneticPr fontId="2" type="noConversion"/>
  </si>
  <si>
    <t>FI0201</t>
    <phoneticPr fontId="2" type="noConversion"/>
  </si>
  <si>
    <t>Bond-Straight Bond</t>
    <phoneticPr fontId="2" type="noConversion"/>
  </si>
  <si>
    <t>Issue Date</t>
    <phoneticPr fontId="2" type="noConversion"/>
  </si>
  <si>
    <t>ISIN</t>
    <phoneticPr fontId="2" type="noConversion"/>
  </si>
  <si>
    <t>Issuer</t>
    <phoneticPr fontId="2" type="noConversion"/>
  </si>
  <si>
    <t>Face Value</t>
    <phoneticPr fontId="2" type="noConversion"/>
  </si>
  <si>
    <t>Trade Price</t>
    <phoneticPr fontId="2" type="noConversion"/>
  </si>
  <si>
    <t>Coupon Rate</t>
    <phoneticPr fontId="2" type="noConversion"/>
  </si>
  <si>
    <t>Coupon Frequency</t>
    <phoneticPr fontId="2" type="noConversion"/>
  </si>
  <si>
    <t>Coupon</t>
    <phoneticPr fontId="2" type="noConversion"/>
  </si>
  <si>
    <t>Principal</t>
    <phoneticPr fontId="2" type="noConversion"/>
  </si>
  <si>
    <t>CSR-Nctp</t>
    <phoneticPr fontId="2" type="noConversion"/>
  </si>
  <si>
    <t>Spread Curve</t>
    <phoneticPr fontId="2" type="noConversion"/>
  </si>
  <si>
    <t>KR0100000001</t>
    <phoneticPr fontId="2" type="noConversion"/>
  </si>
  <si>
    <t>Republic of Korea</t>
    <phoneticPr fontId="2" type="noConversion"/>
  </si>
  <si>
    <t>Net Present Value</t>
    <phoneticPr fontId="2" type="noConversion"/>
  </si>
  <si>
    <t>Duration</t>
    <phoneticPr fontId="2" type="noConversion"/>
  </si>
  <si>
    <t>Mod Duration</t>
    <phoneticPr fontId="2" type="noConversion"/>
  </si>
  <si>
    <t>Convexity</t>
    <phoneticPr fontId="2" type="noConversion"/>
  </si>
  <si>
    <t>Clean Price</t>
    <phoneticPr fontId="2" type="noConversion"/>
  </si>
  <si>
    <t>Dirty Price</t>
    <phoneticPr fontId="2" type="noConversion"/>
  </si>
  <si>
    <t>Yield to Maturity</t>
    <phoneticPr fontId="2" type="noConversion"/>
  </si>
  <si>
    <t>Acc. Interest</t>
    <phoneticPr fontId="2" type="noConversion"/>
  </si>
  <si>
    <t>Floating Reference Curve</t>
    <phoneticPr fontId="2" type="noConversion"/>
  </si>
  <si>
    <t>Sector *</t>
    <phoneticPr fontId="2" type="noConversion"/>
  </si>
  <si>
    <t>Credit Quality *</t>
    <phoneticPr fontId="2" type="noConversion"/>
  </si>
  <si>
    <t>CashFlow Date</t>
    <phoneticPr fontId="2" type="noConversion"/>
  </si>
  <si>
    <t>일자</t>
    <phoneticPr fontId="2" type="noConversion"/>
  </si>
  <si>
    <t>No</t>
    <phoneticPr fontId="2" type="noConversion"/>
  </si>
  <si>
    <t>Market Data 요청
 - 엑셀에 포함해서 주신 Market Data는 FRTB 산출을 위해 Zero Rate 산출한 Market Data입니다. 메일로 보내주신 커브 컨벤션에 보시면 Fast Zero, FRTBSA~~등을 보면 유추할 수 있고, 금리 커브를 3M 구간부터 Setting할 수는 없습니다.
 - 보내주신 상품별 금리커브를 다시 한번 확인 부탁드립니다.</t>
    <phoneticPr fontId="2" type="noConversion"/>
  </si>
  <si>
    <t>Sample Case 요청
 - 현재 FX Forward 한 건을 가지고 구현, 테스트를 진행했는데, PV는 10bp 이내로 결과값이 산출되었습니다. 다만, 민감도 부분은 오차가 좀 큰 상황입니다. 이 부분은 아마 금리 커브와 연관이 있을 것으로 예상이 되는데…. 해당 FX Forward 한 건 외에 추가적으로 2~3건 정도 더 부탁드립니다. 
 - FX Forward/FX Forward(NDF)/FX Swap 건으로 구분하여 상품을 찾아서 요청드립니다.</t>
    <phoneticPr fontId="2" type="noConversion"/>
  </si>
  <si>
    <t>확인</t>
    <phoneticPr fontId="2" type="noConversion"/>
  </si>
  <si>
    <t>범례</t>
    <phoneticPr fontId="2" type="noConversion"/>
  </si>
  <si>
    <t>fx input, return</t>
    <phoneticPr fontId="2" type="noConversion"/>
  </si>
  <si>
    <t>기본 진행 흐름</t>
    <phoneticPr fontId="2" type="noConversion"/>
  </si>
  <si>
    <t>최초 INPUT
(시트별 황색 음영)</t>
    <phoneticPr fontId="2" type="noConversion"/>
  </si>
  <si>
    <t>-Basis</t>
  </si>
  <si>
    <t>산출값</t>
    <phoneticPr fontId="2" type="noConversion"/>
  </si>
  <si>
    <t>단순 입력값 이동</t>
    <phoneticPr fontId="2" type="noConversion"/>
  </si>
  <si>
    <t>최초 input 값</t>
    <phoneticPr fontId="2" type="noConversion"/>
  </si>
  <si>
    <t>미사용</t>
    <phoneticPr fontId="2" type="noConversion"/>
  </si>
  <si>
    <t>FX Forward 시트의 GIRR DELTA에 따라 Market Data 값 변동</t>
    <phoneticPr fontId="2" type="noConversion"/>
  </si>
  <si>
    <t xml:space="preserve"> - IR Curve의 ID가 Basis로 끝나는 경우 : 해당 커브 ID의 모든 Market Data 값 1bp 증가</t>
    <phoneticPr fontId="2" type="noConversion"/>
  </si>
  <si>
    <t xml:space="preserve"> - IR Curve의 ID가 Basis로 끝나지 않지만, 해당 Tenor가 일치하는 경우 : 해당 커브 ID의 Tenor에 해당하는 Market Data 값 1bp 증가</t>
    <phoneticPr fontId="2" type="noConversion"/>
  </si>
  <si>
    <t xml:space="preserve"> - 둘 다 아닌 경우 (단순 NET PV 값 산출 ) : 별도 Market Data 변동 없음</t>
    <phoneticPr fontId="2" type="noConversion"/>
  </si>
  <si>
    <t xml:space="preserve"> = exp(marketData / 100 * yearFraction)</t>
    <phoneticPr fontId="2" type="noConversion"/>
  </si>
  <si>
    <t>Discount Factor : 마켓 데이터 할인율</t>
    <phoneticPr fontId="2" type="noConversion"/>
  </si>
  <si>
    <t>Zero Rate : 무위험금리 (연속 복리, % 변환)</t>
    <phoneticPr fontId="2" type="noConversion"/>
  </si>
  <si>
    <t xml:space="preserve"> = log(1.0 + marketData / 100) * 100</t>
    <phoneticPr fontId="2" type="noConversion"/>
  </si>
  <si>
    <t>yearFrac(입력값 미사용)</t>
    <phoneticPr fontId="2" type="noConversion"/>
  </si>
  <si>
    <t>입력값</t>
    <phoneticPr fontId="2" type="noConversion"/>
  </si>
  <si>
    <t>Discount Rate, Discount Factor : Curve 시트 선형보간을 통해 Year Fraction에 해당하는 값 산출</t>
    <phoneticPr fontId="2" type="noConversion"/>
  </si>
  <si>
    <t>PV : 현재가치</t>
    <phoneticPr fontId="2" type="noConversion"/>
  </si>
  <si>
    <t>Net PV : 순현재가</t>
    <phoneticPr fontId="2" type="noConversion"/>
  </si>
  <si>
    <t xml:space="preserve"> = principal Amount * Discount Factor</t>
    <phoneticPr fontId="2" type="noConversion"/>
  </si>
  <si>
    <t xml:space="preserve"> [매입 통화 == KRW] 매입 Present Value - (매도 Present Value * exchange Rate)</t>
    <phoneticPr fontId="2" type="noConversion"/>
  </si>
  <si>
    <t xml:space="preserve"> [매입 통화 != KRW] 매입 Present Value * exchange Rate) - 매도 Present Value</t>
    <phoneticPr fontId="2" type="noConversion"/>
  </si>
  <si>
    <t>Sensitivity : Market Data 1bp 변화에 따른 현재가치(PV)의 변화(Delta)</t>
    <phoneticPr fontId="2" type="noConversion"/>
  </si>
  <si>
    <t>FX Sensitivity : 명목 환율이 1bp 움직일 때 변화하는 현재가치(PV) 값</t>
    <phoneticPr fontId="2" type="noConversion"/>
  </si>
  <si>
    <t xml:space="preserve"> = (Domestic Net PV(O19) - Net PV(C21)) / 0.001</t>
    <phoneticPr fontId="2" type="noConversion"/>
  </si>
  <si>
    <t xml:space="preserve"> [매입 통화 == KRW] (((매입 Present Value - (매도 Present Value * exchange Rate * 1.01)) - Domestic Net PV) * 100</t>
    <phoneticPr fontId="2" type="noConversion"/>
  </si>
  <si>
    <t xml:space="preserve"> [매입 통화 != KRW] (((매입 Present Value * exchange Rate * 1.01) - 매도 Present Value) - Domestic Net PV) * 100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</si>
</sst>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1" formatCode="_-* #,##0_-;\-* #,##0_-;_-* &quot;-&quot;_-;_-@_-"/>
    <numFmt numFmtId="43" formatCode="_-* #,##0.00_-;\-* #,##0.00_-;_-* &quot;-&quot;??_-;_-@_-"/>
    <numFmt numFmtId="176" formatCode="mm&quot;월&quot;\ dd&quot;일&quot;"/>
    <numFmt numFmtId="177" formatCode="0.000%"/>
    <numFmt numFmtId="178" formatCode="_-* #,##0.00_-;\-* #,##0.00_-;_-* &quot;-&quot;_-;_-@_-"/>
    <numFmt numFmtId="179" formatCode="0.00000000"/>
    <numFmt numFmtId="180" formatCode="0.0000000"/>
    <numFmt numFmtId="181" formatCode="0_);[Red]\(0\)"/>
  </numFmts>
  <fonts count="12">
    <font>
      <sz val="11"/>
      <color theme="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70C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vertAlign val="subscript"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rgb="FF0070C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</fills>
  <borders count="9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41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</cellStyleXfs>
  <cellXfs count="105">
    <xf numFmtId="0" fontId="0" fillId="0" borderId="0" xfId="0">
      <alignment vertical="center"/>
    </xf>
    <xf numFmtId="0" fontId="0" fillId="2" borderId="0" xfId="0" applyFill="1">
      <alignment vertical="center"/>
    </xf>
    <xf numFmtId="0" fontId="1" fillId="2" borderId="0" xfId="0" applyFont="1" applyFill="1">
      <alignment vertical="center"/>
    </xf>
    <xf numFmtId="0" fontId="3" fillId="2" borderId="0" xfId="0" applyFont="1" applyFill="1">
      <alignment vertical="center"/>
    </xf>
    <xf numFmtId="0" fontId="0" fillId="5" borderId="0" xfId="0" applyFill="1">
      <alignment vertical="center"/>
    </xf>
    <xf numFmtId="0" fontId="0" fillId="4" borderId="0" xfId="0" applyFill="1">
      <alignment vertical="center"/>
    </xf>
    <xf numFmtId="0" fontId="0" fillId="2" borderId="1" xfId="0" applyFill="1" applyBorder="1">
      <alignment vertical="center"/>
    </xf>
    <xf numFmtId="0" fontId="4" fillId="2" borderId="0" xfId="0" applyFont="1" applyFill="1">
      <alignment vertical="center"/>
    </xf>
    <xf numFmtId="0" fontId="4" fillId="3" borderId="1" xfId="0" applyFont="1" applyFill="1" applyBorder="1" applyAlignment="1">
      <alignment horizontal="center" vertical="center"/>
    </xf>
    <xf numFmtId="0" fontId="6" fillId="2" borderId="0" xfId="0" applyFont="1" applyFill="1">
      <alignment vertical="center"/>
    </xf>
    <xf numFmtId="14" fontId="0" fillId="2" borderId="0" xfId="0" applyNumberFormat="1" applyFill="1">
      <alignment vertical="center"/>
    </xf>
    <xf numFmtId="14" fontId="3" fillId="2" borderId="0" xfId="0" applyNumberFormat="1" applyFont="1" applyFill="1">
      <alignment vertical="center"/>
    </xf>
    <xf numFmtId="14" fontId="3" fillId="2" borderId="0" xfId="0" quotePrefix="1" applyNumberFormat="1" applyFont="1" applyFill="1">
      <alignment vertical="center"/>
    </xf>
    <xf numFmtId="0" fontId="0" fillId="2" borderId="2" xfId="0" applyFill="1" applyBorder="1">
      <alignment vertical="center"/>
    </xf>
    <xf numFmtId="14" fontId="0" fillId="2" borderId="2" xfId="0" applyNumberFormat="1" applyFill="1" applyBorder="1">
      <alignment vertical="center"/>
    </xf>
    <xf numFmtId="0" fontId="0" fillId="6" borderId="0" xfId="0" applyFill="1">
      <alignment vertical="center"/>
    </xf>
    <xf numFmtId="14" fontId="0" fillId="6" borderId="2" xfId="0" applyNumberFormat="1" applyFill="1" applyBorder="1">
      <alignment vertical="center"/>
    </xf>
    <xf numFmtId="0" fontId="0" fillId="7" borderId="0" xfId="0" applyFill="1">
      <alignment vertical="center"/>
    </xf>
    <xf numFmtId="14" fontId="0" fillId="7" borderId="2" xfId="0" applyNumberFormat="1" applyFill="1" applyBorder="1">
      <alignment vertical="center"/>
    </xf>
    <xf numFmtId="0" fontId="0" fillId="8" borderId="0" xfId="0" applyFill="1">
      <alignment vertical="center"/>
    </xf>
    <xf numFmtId="14" fontId="0" fillId="8" borderId="2" xfId="0" applyNumberFormat="1" applyFill="1" applyBorder="1">
      <alignment vertical="center"/>
    </xf>
    <xf numFmtId="14" fontId="0" fillId="6" borderId="0" xfId="0" applyNumberFormat="1" applyFill="1">
      <alignment vertical="center"/>
    </xf>
    <xf numFmtId="14" fontId="0" fillId="7" borderId="0" xfId="0" applyNumberFormat="1" applyFill="1">
      <alignment vertical="center"/>
    </xf>
    <xf numFmtId="0" fontId="4" fillId="8" borderId="2" xfId="0" applyFont="1" applyFill="1" applyBorder="1" applyAlignment="1"/>
    <xf numFmtId="14" fontId="0" fillId="2" borderId="2" xfId="0" applyNumberFormat="1" applyFill="1" applyBorder="1" applyAlignment="1"/>
    <xf numFmtId="0" fontId="6" fillId="4" borderId="0" xfId="0" applyFont="1" applyFill="1">
      <alignment vertical="center"/>
    </xf>
    <xf numFmtId="176" fontId="6" fillId="2" borderId="0" xfId="0" quotePrefix="1" applyNumberFormat="1" applyFont="1" applyFill="1">
      <alignment vertical="center"/>
    </xf>
    <xf numFmtId="0" fontId="7" fillId="4" borderId="0" xfId="0" applyFont="1" applyFill="1">
      <alignment vertical="center"/>
    </xf>
    <xf numFmtId="41" fontId="0" fillId="2" borderId="2" xfId="1" applyFont="1" applyFill="1" applyBorder="1">
      <alignment vertical="center"/>
    </xf>
    <xf numFmtId="0" fontId="4" fillId="4" borderId="0" xfId="0" applyFont="1" applyFill="1">
      <alignment vertical="center"/>
    </xf>
    <xf numFmtId="0" fontId="0" fillId="9" borderId="2" xfId="0" applyFill="1" applyBorder="1">
      <alignment vertical="center"/>
    </xf>
    <xf numFmtId="0" fontId="0" fillId="4" borderId="2" xfId="0" applyFill="1" applyBorder="1" applyAlignment="1">
      <alignment horizontal="center" vertical="center"/>
    </xf>
    <xf numFmtId="41" fontId="0" fillId="2" borderId="2" xfId="1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4" fillId="4" borderId="2" xfId="0" applyFont="1" applyFill="1" applyBorder="1">
      <alignment vertical="center"/>
    </xf>
    <xf numFmtId="43" fontId="0" fillId="2" borderId="2" xfId="0" applyNumberFormat="1" applyFill="1" applyBorder="1">
      <alignment vertical="center"/>
    </xf>
    <xf numFmtId="0" fontId="4" fillId="4" borderId="2" xfId="0" applyFont="1" applyFill="1" applyBorder="1" applyAlignment="1">
      <alignment horizontal="center" vertical="center"/>
    </xf>
    <xf numFmtId="43" fontId="0" fillId="2" borderId="0" xfId="0" applyNumberFormat="1" applyFill="1">
      <alignment vertical="center"/>
    </xf>
    <xf numFmtId="177" fontId="0" fillId="2" borderId="0" xfId="2" applyNumberFormat="1" applyFont="1" applyFill="1">
      <alignment vertical="center"/>
    </xf>
    <xf numFmtId="178" fontId="0" fillId="2" borderId="0" xfId="1" applyNumberFormat="1" applyFont="1" applyFill="1">
      <alignment vertical="center"/>
    </xf>
    <xf numFmtId="0" fontId="4" fillId="4" borderId="2" xfId="0" applyFont="1" applyFill="1" applyBorder="1" applyAlignment="1">
      <alignment horizontal="left" vertical="center"/>
    </xf>
    <xf numFmtId="178" fontId="0" fillId="2" borderId="2" xfId="1" applyNumberFormat="1" applyFont="1" applyFill="1" applyBorder="1">
      <alignment vertical="center"/>
    </xf>
    <xf numFmtId="0" fontId="0" fillId="10" borderId="2" xfId="0" applyFill="1" applyBorder="1" applyAlignment="1">
      <alignment horizontal="center" vertical="center"/>
    </xf>
    <xf numFmtId="14" fontId="0" fillId="10" borderId="2" xfId="0" applyNumberFormat="1" applyFill="1" applyBorder="1">
      <alignment vertical="center"/>
    </xf>
    <xf numFmtId="0" fontId="0" fillId="10" borderId="2" xfId="0" applyFill="1" applyBorder="1">
      <alignment vertical="center"/>
    </xf>
    <xf numFmtId="0" fontId="9" fillId="4" borderId="2" xfId="0" applyFont="1" applyFill="1" applyBorder="1">
      <alignment vertical="center"/>
    </xf>
    <xf numFmtId="0" fontId="0" fillId="11" borderId="2" xfId="0" applyFill="1" applyBorder="1">
      <alignment vertical="center"/>
    </xf>
    <xf numFmtId="0" fontId="0" fillId="2" borderId="0" xfId="0" applyFill="1" applyAlignment="1">
      <alignment horizontal="right" vertical="center"/>
    </xf>
    <xf numFmtId="0" fontId="0" fillId="11" borderId="0" xfId="0" applyFill="1">
      <alignment vertical="center"/>
    </xf>
    <xf numFmtId="0" fontId="0" fillId="3" borderId="2" xfId="0" applyFill="1" applyBorder="1" applyAlignment="1">
      <alignment horizontal="right" vertical="center"/>
    </xf>
    <xf numFmtId="0" fontId="0" fillId="8" borderId="2" xfId="0" applyFill="1" applyBorder="1" applyAlignment="1">
      <alignment horizontal="center" vertical="center"/>
    </xf>
    <xf numFmtId="0" fontId="0" fillId="4" borderId="2" xfId="0" applyFill="1" applyBorder="1">
      <alignment vertical="center"/>
    </xf>
    <xf numFmtId="41" fontId="0" fillId="2" borderId="0" xfId="1" applyFont="1" applyFill="1">
      <alignment vertical="center"/>
    </xf>
    <xf numFmtId="178" fontId="0" fillId="2" borderId="0" xfId="0" applyNumberFormat="1" applyFill="1">
      <alignment vertical="center"/>
    </xf>
    <xf numFmtId="4" fontId="0" fillId="0" borderId="0" xfId="0" applyNumberFormat="1">
      <alignment vertical="center"/>
    </xf>
    <xf numFmtId="0" fontId="4" fillId="9" borderId="0" xfId="0" applyFont="1" applyFill="1" applyAlignment="1">
      <alignment horizontal="center" vertical="center"/>
    </xf>
    <xf numFmtId="41" fontId="0" fillId="2" borderId="0" xfId="1" applyFont="1" applyFill="1" applyBorder="1" applyAlignment="1">
      <alignment horizontal="center" vertical="center"/>
    </xf>
    <xf numFmtId="179" fontId="0" fillId="2" borderId="0" xfId="0" applyNumberFormat="1" applyFill="1">
      <alignment vertical="center"/>
    </xf>
    <xf numFmtId="178" fontId="0" fillId="2" borderId="0" xfId="1" applyNumberFormat="1" applyFont="1" applyFill="1" applyBorder="1">
      <alignment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41" fontId="0" fillId="2" borderId="0" xfId="0" applyNumberFormat="1" applyFill="1">
      <alignment vertical="center"/>
    </xf>
    <xf numFmtId="0" fontId="0" fillId="12" borderId="2" xfId="0" applyFill="1" applyBorder="1">
      <alignment vertical="center"/>
    </xf>
    <xf numFmtId="178" fontId="0" fillId="8" borderId="2" xfId="1" applyNumberFormat="1" applyFont="1" applyFill="1" applyBorder="1">
      <alignment vertical="center"/>
    </xf>
    <xf numFmtId="14" fontId="0" fillId="2" borderId="2" xfId="0" applyNumberFormat="1" applyFill="1" applyBorder="1" applyAlignment="1">
      <alignment horizontal="center" vertical="center"/>
    </xf>
    <xf numFmtId="0" fontId="0" fillId="2" borderId="2" xfId="0" applyFill="1" applyBorder="1" applyAlignment="1">
      <alignment vertical="center" wrapText="1"/>
    </xf>
    <xf numFmtId="0" fontId="0" fillId="10" borderId="0" xfId="0" applyFill="1">
      <alignment vertical="center"/>
    </xf>
    <xf numFmtId="41" fontId="0" fillId="10" borderId="2" xfId="1" applyFont="1" applyFill="1" applyBorder="1">
      <alignment vertical="center"/>
    </xf>
    <xf numFmtId="41" fontId="0" fillId="10" borderId="2" xfId="1" applyFont="1" applyFill="1" applyBorder="1" applyAlignment="1">
      <alignment horizontal="center" vertical="center"/>
    </xf>
    <xf numFmtId="0" fontId="10" fillId="2" borderId="0" xfId="0" applyFont="1" applyFill="1">
      <alignment vertical="center"/>
    </xf>
    <xf numFmtId="0" fontId="10" fillId="2" borderId="0" xfId="0" applyFont="1" applyFill="1" applyAlignment="1">
      <alignment horizontal="right" vertical="center"/>
    </xf>
    <xf numFmtId="181" fontId="4" fillId="9" borderId="0" xfId="0" applyNumberFormat="1" applyFont="1" applyFill="1" applyAlignment="1">
      <alignment horizontal="center" vertical="center"/>
    </xf>
    <xf numFmtId="43" fontId="0" fillId="2" borderId="0" xfId="0" applyNumberForma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41" fontId="0" fillId="3" borderId="0" xfId="1" applyFont="1" applyFill="1" applyBorder="1" applyAlignment="1">
      <alignment horizontal="center" vertical="center"/>
    </xf>
    <xf numFmtId="14" fontId="0" fillId="3" borderId="0" xfId="0" applyNumberFormat="1" applyFill="1">
      <alignment vertical="center"/>
    </xf>
    <xf numFmtId="0" fontId="0" fillId="3" borderId="2" xfId="0" applyFill="1" applyBorder="1">
      <alignment vertical="center"/>
    </xf>
    <xf numFmtId="180" fontId="0" fillId="6" borderId="2" xfId="0" applyNumberFormat="1" applyFill="1" applyBorder="1">
      <alignment vertical="center"/>
    </xf>
    <xf numFmtId="0" fontId="0" fillId="6" borderId="2" xfId="0" applyFill="1" applyBorder="1">
      <alignment vertical="center"/>
    </xf>
    <xf numFmtId="178" fontId="0" fillId="6" borderId="0" xfId="1" applyNumberFormat="1" applyFont="1" applyFill="1" applyBorder="1">
      <alignment vertical="center"/>
    </xf>
    <xf numFmtId="43" fontId="0" fillId="6" borderId="2" xfId="0" applyNumberFormat="1" applyFill="1" applyBorder="1">
      <alignment vertical="center"/>
    </xf>
    <xf numFmtId="179" fontId="0" fillId="6" borderId="0" xfId="0" applyNumberFormat="1" applyFill="1">
      <alignment vertical="center"/>
    </xf>
    <xf numFmtId="43" fontId="0" fillId="6" borderId="0" xfId="0" applyNumberFormat="1" applyFill="1">
      <alignment vertical="center"/>
    </xf>
    <xf numFmtId="0" fontId="0" fillId="3" borderId="0" xfId="0" applyFill="1">
      <alignment vertical="center"/>
    </xf>
    <xf numFmtId="0" fontId="11" fillId="0" borderId="0" xfId="0" applyFont="1">
      <alignment vertical="center"/>
    </xf>
    <xf numFmtId="0" fontId="0" fillId="2" borderId="0" xfId="0" quotePrefix="1" applyFill="1">
      <alignment vertical="center"/>
    </xf>
    <xf numFmtId="0" fontId="0" fillId="2" borderId="0" xfId="0" quotePrefix="1" applyFill="1" applyAlignment="1">
      <alignment horizontal="left" vertical="center"/>
    </xf>
    <xf numFmtId="0" fontId="0" fillId="9" borderId="6" xfId="0" applyFill="1" applyBorder="1" applyAlignment="1">
      <alignment horizontal="left" vertical="center" wrapText="1"/>
    </xf>
    <xf numFmtId="0" fontId="0" fillId="9" borderId="7" xfId="0" applyFill="1" applyBorder="1" applyAlignment="1">
      <alignment horizontal="left" vertical="center" wrapText="1"/>
    </xf>
    <xf numFmtId="0" fontId="0" fillId="9" borderId="6" xfId="0" applyFill="1" applyBorder="1" applyAlignment="1">
      <alignment horizontal="left" vertical="center"/>
    </xf>
    <xf numFmtId="0" fontId="0" fillId="9" borderId="7" xfId="0" applyFill="1" applyBorder="1" applyAlignment="1">
      <alignment horizontal="left" vertical="center"/>
    </xf>
    <xf numFmtId="0" fontId="0" fillId="9" borderId="3" xfId="0" applyFill="1" applyBorder="1" applyAlignment="1">
      <alignment horizontal="center" vertical="center" wrapText="1"/>
    </xf>
    <xf numFmtId="0" fontId="0" fillId="9" borderId="4" xfId="0" applyFill="1" applyBorder="1" applyAlignment="1">
      <alignment horizontal="center" vertical="center" wrapText="1"/>
    </xf>
    <xf numFmtId="0" fontId="0" fillId="9" borderId="5" xfId="0" applyFill="1" applyBorder="1" applyAlignment="1">
      <alignment horizontal="center" vertical="center" wrapText="1"/>
    </xf>
    <xf numFmtId="0" fontId="4" fillId="10" borderId="0" xfId="0" applyFont="1" applyFill="1" applyAlignment="1">
      <alignment horizontal="center" vertical="center" wrapText="1"/>
    </xf>
    <xf numFmtId="0" fontId="4" fillId="10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center" vertical="center" wrapText="1"/>
    </xf>
    <xf numFmtId="0" fontId="10" fillId="2" borderId="8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84623</xdr:colOff>
      <xdr:row>42</xdr:row>
      <xdr:rowOff>153865</xdr:rowOff>
    </xdr:from>
    <xdr:to>
      <xdr:col>4</xdr:col>
      <xdr:colOff>2345</xdr:colOff>
      <xdr:row>44</xdr:row>
      <xdr:rowOff>80596</xdr:rowOff>
    </xdr:to>
    <xdr:sp macro="[0]!FXF" textlink="">
      <xdr:nvSpPr>
        <xdr:cNvPr id="2" name="직사각형 1">
          <a:extLst>
            <a:ext uri="{FF2B5EF4-FFF2-40B4-BE49-F238E27FC236}">
              <a16:creationId xmlns="" xmlns:a16="http://schemas.microsoft.com/office/drawing/2014/main" id="{6B09B49C-AA6D-4D26-845E-6E72667D9CD6}"/>
            </a:ext>
          </a:extLst>
        </xdr:cNvPr>
        <xdr:cNvSpPr/>
      </xdr:nvSpPr>
      <xdr:spPr>
        <a:xfrm>
          <a:off x="3361223" y="6878515"/>
          <a:ext cx="1260747" cy="345831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7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ysClr val="windowText" lastClr="000000"/>
              </a:solidFill>
            </a:rPr>
            <a:t>Valuation</a:t>
          </a:r>
          <a:endParaRPr lang="ko-KR" altLang="en-US" sz="12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84623</xdr:colOff>
      <xdr:row>34</xdr:row>
      <xdr:rowOff>153865</xdr:rowOff>
    </xdr:from>
    <xdr:to>
      <xdr:col>4</xdr:col>
      <xdr:colOff>2345</xdr:colOff>
      <xdr:row>36</xdr:row>
      <xdr:rowOff>80596</xdr:rowOff>
    </xdr:to>
    <xdr:sp macro="[0]!FXF" textlink="">
      <xdr:nvSpPr>
        <xdr:cNvPr id="2" name="직사각형 1">
          <a:extLst>
            <a:ext uri="{FF2B5EF4-FFF2-40B4-BE49-F238E27FC236}">
              <a16:creationId xmlns="" xmlns:a16="http://schemas.microsoft.com/office/drawing/2014/main" id="{84BE7BCD-A610-C9E3-E668-07AD59CA7B93}"/>
            </a:ext>
          </a:extLst>
        </xdr:cNvPr>
        <xdr:cNvSpPr/>
      </xdr:nvSpPr>
      <xdr:spPr>
        <a:xfrm>
          <a:off x="3359758" y="6953250"/>
          <a:ext cx="1258549" cy="35169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7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ysClr val="windowText" lastClr="000000"/>
              </a:solidFill>
            </a:rPr>
            <a:t>Valuation</a:t>
          </a:r>
          <a:endParaRPr lang="ko-KR" altLang="en-US" sz="12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212911</xdr:rowOff>
    </xdr:from>
    <xdr:to>
      <xdr:col>26</xdr:col>
      <xdr:colOff>122464</xdr:colOff>
      <xdr:row>105</xdr:row>
      <xdr:rowOff>123264</xdr:rowOff>
    </xdr:to>
    <xdr:sp macro="" textlink="">
      <xdr:nvSpPr>
        <xdr:cNvPr id="4" name="직사각형 3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>
        <a:xfrm>
          <a:off x="0" y="1053352"/>
          <a:ext cx="17894993" cy="21627353"/>
        </a:xfrm>
        <a:prstGeom prst="rect">
          <a:avLst/>
        </a:prstGeom>
        <a:solidFill>
          <a:schemeClr val="bg1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 b="1">
              <a:solidFill>
                <a:schemeClr val="tx1"/>
              </a:solidFill>
            </a:rPr>
            <a:t>void FXF</a:t>
          </a:r>
        </a:p>
        <a:p>
          <a:pPr algn="l"/>
          <a:r>
            <a:rPr lang="en-US" altLang="ko-KR" sz="1100" b="1">
              <a:solidFill>
                <a:schemeClr val="tx1"/>
              </a:solidFill>
            </a:rPr>
            <a:t>: FX</a:t>
          </a:r>
          <a:r>
            <a:rPr lang="en-US" altLang="ko-KR" sz="1100" b="1" baseline="0">
              <a:solidFill>
                <a:schemeClr val="tx1"/>
              </a:solidFill>
            </a:rPr>
            <a:t> Forward </a:t>
          </a:r>
          <a:br>
            <a:rPr lang="en-US" altLang="ko-KR" sz="1100" b="1" baseline="0">
              <a:solidFill>
                <a:schemeClr val="tx1"/>
              </a:solidFill>
            </a:rPr>
          </a:br>
          <a:r>
            <a:rPr lang="en-US" altLang="ko-KR" sz="1100" b="1" baseline="0">
              <a:solidFill>
                <a:schemeClr val="tx1"/>
              </a:solidFill>
            </a:rPr>
            <a:t>- NET PV </a:t>
          </a:r>
          <a:r>
            <a:rPr lang="ko-KR" altLang="en-US" sz="1100" b="1" baseline="0">
              <a:solidFill>
                <a:schemeClr val="tx1"/>
              </a:solidFill>
            </a:rPr>
            <a:t>산출</a:t>
          </a:r>
          <a:r>
            <a:rPr lang="en-US" altLang="ko-KR" sz="1100" b="1" baseline="0">
              <a:solidFill>
                <a:schemeClr val="tx1"/>
              </a:solidFill>
            </a:rPr>
            <a:t/>
          </a:r>
          <a:br>
            <a:rPr lang="en-US" altLang="ko-KR" sz="1100" b="1" baseline="0">
              <a:solidFill>
                <a:schemeClr val="tx1"/>
              </a:solidFill>
            </a:rPr>
          </a:br>
          <a:r>
            <a:rPr lang="en-US" altLang="ko-KR" sz="1100" b="1" baseline="0">
              <a:solidFill>
                <a:schemeClr val="tx1"/>
              </a:solidFill>
            </a:rPr>
            <a:t>- Interest Rate Curve Sensitivity </a:t>
          </a:r>
          <a:r>
            <a:rPr lang="ko-KR" altLang="en-US" sz="1100" b="1" baseline="0">
              <a:solidFill>
                <a:schemeClr val="tx1"/>
              </a:solidFill>
            </a:rPr>
            <a:t>산출 </a:t>
          </a:r>
          <a:r>
            <a:rPr lang="ko-KR" altLang="en-US" sz="1100" b="1" baseline="0"/>
            <a:t>시작</a:t>
          </a:r>
          <a:endParaRPr lang="ko-KR" altLang="en-US" sz="1100" b="1"/>
        </a:p>
      </xdr:txBody>
    </xdr:sp>
    <xdr:clientData/>
  </xdr:twoCellAnchor>
  <xdr:twoCellAnchor>
    <xdr:from>
      <xdr:col>14</xdr:col>
      <xdr:colOff>661147</xdr:colOff>
      <xdr:row>43</xdr:row>
      <xdr:rowOff>44821</xdr:rowOff>
    </xdr:from>
    <xdr:to>
      <xdr:col>21</xdr:col>
      <xdr:colOff>593912</xdr:colOff>
      <xdr:row>95</xdr:row>
      <xdr:rowOff>56028</xdr:rowOff>
    </xdr:to>
    <xdr:sp macro="" textlink="">
      <xdr:nvSpPr>
        <xdr:cNvPr id="236" name="직사각형 235">
          <a:extLst>
            <a:ext uri="{FF2B5EF4-FFF2-40B4-BE49-F238E27FC236}">
              <a16:creationId xmlns="" xmlns:a16="http://schemas.microsoft.com/office/drawing/2014/main" id="{00000000-0008-0000-0200-0000EC000000}"/>
            </a:ext>
          </a:extLst>
        </xdr:cNvPr>
        <xdr:cNvSpPr/>
      </xdr:nvSpPr>
      <xdr:spPr>
        <a:xfrm>
          <a:off x="10230971" y="9401733"/>
          <a:ext cx="4717676" cy="11082619"/>
        </a:xfrm>
        <a:prstGeom prst="rect">
          <a:avLst/>
        </a:prstGeom>
        <a:ln w="38100">
          <a:prstDash val="sysDot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142875</xdr:colOff>
      <xdr:row>0</xdr:row>
      <xdr:rowOff>200026</xdr:rowOff>
    </xdr:from>
    <xdr:to>
      <xdr:col>2</xdr:col>
      <xdr:colOff>628650</xdr:colOff>
      <xdr:row>3</xdr:row>
      <xdr:rowOff>9525</xdr:rowOff>
    </xdr:to>
    <xdr:sp macro="" textlink="">
      <xdr:nvSpPr>
        <xdr:cNvPr id="5" name="직사각형 4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>
        <a:xfrm>
          <a:off x="828675" y="200026"/>
          <a:ext cx="1171575" cy="43814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 anchorCtr="0"/>
        <a:lstStyle/>
        <a:p>
          <a:pPr algn="ctr"/>
          <a:r>
            <a:rPr lang="ko-KR" altLang="en-US" sz="1100"/>
            <a:t>서브루틴</a:t>
          </a:r>
        </a:p>
      </xdr:txBody>
    </xdr:sp>
    <xdr:clientData/>
  </xdr:twoCellAnchor>
  <xdr:twoCellAnchor>
    <xdr:from>
      <xdr:col>3</xdr:col>
      <xdr:colOff>66675</xdr:colOff>
      <xdr:row>0</xdr:row>
      <xdr:rowOff>200025</xdr:rowOff>
    </xdr:from>
    <xdr:to>
      <xdr:col>4</xdr:col>
      <xdr:colOff>600075</xdr:colOff>
      <xdr:row>3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>
        <a:xfrm>
          <a:off x="2124075" y="200025"/>
          <a:ext cx="1219200" cy="428625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vert="horz" rtlCol="0" anchor="ctr" anchorCtr="0"/>
        <a:lstStyle/>
        <a:p>
          <a:pPr algn="ctr"/>
          <a:r>
            <a:rPr lang="ko-KR" altLang="en-US" sz="1100"/>
            <a:t>함수</a:t>
          </a:r>
        </a:p>
      </xdr:txBody>
    </xdr:sp>
    <xdr:clientData/>
  </xdr:twoCellAnchor>
  <xdr:twoCellAnchor>
    <xdr:from>
      <xdr:col>4</xdr:col>
      <xdr:colOff>19050</xdr:colOff>
      <xdr:row>5</xdr:row>
      <xdr:rowOff>28575</xdr:rowOff>
    </xdr:from>
    <xdr:to>
      <xdr:col>8</xdr:col>
      <xdr:colOff>666750</xdr:colOff>
      <xdr:row>16</xdr:row>
      <xdr:rowOff>171450</xdr:rowOff>
    </xdr:to>
    <xdr:sp macro="" textlink="">
      <xdr:nvSpPr>
        <xdr:cNvPr id="15" name="직사각형 14">
          <a:extLst>
            <a:ext uri="{FF2B5EF4-FFF2-40B4-BE49-F238E27FC236}">
              <a16:creationId xmlns="" xmlns:a16="http://schemas.microsoft.com/office/drawing/2014/main" id="{00000000-0008-0000-0200-00000F000000}"/>
            </a:ext>
          </a:extLst>
        </xdr:cNvPr>
        <xdr:cNvSpPr/>
      </xdr:nvSpPr>
      <xdr:spPr>
        <a:xfrm>
          <a:off x="2762250" y="1076325"/>
          <a:ext cx="3390900" cy="24479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 b="1"/>
            <a:t>void curveMaturity</a:t>
          </a:r>
        </a:p>
        <a:p>
          <a:pPr algn="l"/>
          <a:r>
            <a:rPr lang="en-US" altLang="ko-KR" sz="1100" b="1"/>
            <a:t>: Curve</a:t>
          </a:r>
          <a:r>
            <a:rPr lang="ko-KR" altLang="en-US" sz="1100" b="1"/>
            <a:t>별 </a:t>
          </a:r>
          <a:r>
            <a:rPr lang="en-US" altLang="ko-KR" sz="1100" b="1"/>
            <a:t>Maturity</a:t>
          </a:r>
          <a:r>
            <a:rPr lang="en-US" altLang="ko-KR" sz="1100" b="1" baseline="0"/>
            <a:t> Date </a:t>
          </a:r>
          <a:r>
            <a:rPr lang="ko-KR" altLang="en-US" sz="1100" b="1" baseline="0"/>
            <a:t>입력</a:t>
          </a:r>
          <a:r>
            <a:rPr lang="en-US" altLang="ko-KR" sz="1100" b="1" baseline="0"/>
            <a:t/>
          </a:r>
          <a:br>
            <a:rPr lang="en-US" altLang="ko-KR" sz="1100" b="1" baseline="0"/>
          </a:br>
          <a:r>
            <a:rPr lang="en-US" altLang="ko-KR" sz="1100" b="1" baseline="0"/>
            <a:t/>
          </a:r>
          <a:br>
            <a:rPr lang="en-US" altLang="ko-KR" sz="1100" b="1" baseline="0"/>
          </a:br>
          <a:r>
            <a:rPr lang="ko-KR" altLang="en-US" sz="1100" b="1" baseline="0"/>
            <a:t>입력값</a:t>
          </a:r>
          <a:r>
            <a:rPr lang="en-US" altLang="ko-KR" sz="1100" b="1" baseline="0"/>
            <a:t> (Curve Sheet - A</a:t>
          </a:r>
          <a:r>
            <a:rPr lang="ko-KR" altLang="en-US" sz="1100" b="1" baseline="0"/>
            <a:t>열 </a:t>
          </a:r>
          <a:r>
            <a:rPr lang="en-US" altLang="ko-KR" sz="1100" b="1" baseline="0"/>
            <a:t>~ E</a:t>
          </a:r>
          <a:r>
            <a:rPr lang="ko-KR" altLang="en-US" sz="1100" b="1" baseline="0"/>
            <a:t>열</a:t>
          </a:r>
          <a:r>
            <a:rPr lang="en-US" altLang="ko-KR" sz="1100" b="1" baseline="0"/>
            <a:t>)</a:t>
          </a:r>
          <a:br>
            <a:rPr lang="en-US" altLang="ko-KR" sz="1100" b="1" baseline="0"/>
          </a:br>
          <a:r>
            <a:rPr lang="ko-KR" altLang="en-US" sz="1100" b="1" baseline="0"/>
            <a:t>산출값</a:t>
          </a:r>
          <a:r>
            <a:rPr lang="en-US" altLang="ko-KR" sz="1100" b="1" baseline="0"/>
            <a:t> (Curve Sheet - F</a:t>
          </a:r>
          <a:r>
            <a:rPr lang="ko-KR" altLang="en-US" sz="1100" b="1" baseline="0"/>
            <a:t>열</a:t>
          </a:r>
          <a:r>
            <a:rPr lang="en-US" altLang="ko-KR" sz="1100" b="1" baseline="0"/>
            <a:t>)</a:t>
          </a:r>
          <a:r>
            <a:rPr lang="en-US" altLang="ko-KR" sz="1100" baseline="0"/>
            <a:t/>
          </a:r>
          <a:br>
            <a:rPr lang="en-US" altLang="ko-KR" sz="1100" baseline="0"/>
          </a:br>
          <a:r>
            <a:rPr lang="en-US" altLang="ko-KR" sz="1100" baseline="0"/>
            <a:t/>
          </a:r>
          <a:br>
            <a:rPr lang="en-US" altLang="ko-KR" sz="1100" baseline="0"/>
          </a:br>
          <a:r>
            <a:rPr lang="en-US" altLang="ko-KR" sz="1100" b="1" baseline="0">
              <a:solidFill>
                <a:srgbClr val="FFFF00"/>
              </a:solidFill>
            </a:rPr>
            <a:t>-param 1 : char[] bsdt</a:t>
          </a:r>
          <a:endParaRPr lang="en-US" altLang="ko-KR" sz="1100" b="1" i="0" u="none" strike="noStrike" baseline="0">
            <a:solidFill>
              <a:srgbClr val="FFFF00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en-US" altLang="ko-KR" sz="1100" b="1" i="0" u="none" strike="noStrike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-param 2 : char[] curveId</a:t>
          </a:r>
        </a:p>
        <a:p>
          <a:pPr algn="l"/>
          <a:r>
            <a:rPr lang="en-US" altLang="ko-KR" sz="1100" b="1" i="0" u="none" strike="noStrike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-param 3 : short term</a:t>
          </a:r>
        </a:p>
        <a:p>
          <a:pPr algn="l"/>
          <a:r>
            <a:rPr lang="en-US" altLang="ko-KR" sz="1100" b="1" i="0" u="none" strike="noStrike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-param 4 : char unit </a:t>
          </a:r>
          <a:endParaRPr lang="ko-KR" altLang="en-US" sz="1100">
            <a:solidFill>
              <a:srgbClr val="FFFF00"/>
            </a:solidFill>
          </a:endParaRPr>
        </a:p>
      </xdr:txBody>
    </xdr:sp>
    <xdr:clientData/>
  </xdr:twoCellAnchor>
  <xdr:twoCellAnchor>
    <xdr:from>
      <xdr:col>10</xdr:col>
      <xdr:colOff>38099</xdr:colOff>
      <xdr:row>5</xdr:row>
      <xdr:rowOff>19049</xdr:rowOff>
    </xdr:from>
    <xdr:to>
      <xdr:col>14</xdr:col>
      <xdr:colOff>657224</xdr:colOff>
      <xdr:row>21</xdr:row>
      <xdr:rowOff>104774</xdr:rowOff>
    </xdr:to>
    <xdr:sp macro="" textlink="">
      <xdr:nvSpPr>
        <xdr:cNvPr id="16" name="직사각형 15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SpPr/>
      </xdr:nvSpPr>
      <xdr:spPr>
        <a:xfrm>
          <a:off x="6896099" y="1066799"/>
          <a:ext cx="3362325" cy="3438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 b="1"/>
            <a:t>void FXF_I</a:t>
          </a:r>
        </a:p>
        <a:p>
          <a:pPr algn="l"/>
          <a:r>
            <a:rPr lang="en-US" altLang="ko-KR" sz="1100" b="1"/>
            <a:t>: FX</a:t>
          </a:r>
          <a:r>
            <a:rPr lang="en-US" altLang="ko-KR" sz="1100" b="1" baseline="0"/>
            <a:t> Forward Trade Information </a:t>
          </a:r>
          <a:r>
            <a:rPr lang="ko-KR" altLang="en-US" sz="1100" b="1" baseline="0"/>
            <a:t>데이터를 통해 </a:t>
          </a:r>
          <a:r>
            <a:rPr lang="en-US" altLang="ko-KR" sz="1100" b="1" baseline="0"/>
            <a:t>CashFlow Valuation </a:t>
          </a:r>
          <a:r>
            <a:rPr lang="ko-KR" altLang="en-US" sz="1100" b="1" baseline="0"/>
            <a:t>정보 입력</a:t>
          </a:r>
          <a:r>
            <a:rPr lang="en-US" altLang="ko-KR" sz="1100" b="1" baseline="0"/>
            <a:t/>
          </a:r>
          <a:br>
            <a:rPr lang="en-US" altLang="ko-KR" sz="1100" b="1" baseline="0"/>
          </a:br>
          <a:r>
            <a:rPr lang="en-US" altLang="ko-KR" sz="1100" b="1" baseline="0"/>
            <a:t/>
          </a:r>
          <a:br>
            <a:rPr lang="en-US" altLang="ko-KR" sz="1100" b="1" baseline="0"/>
          </a:br>
          <a:r>
            <a:rPr lang="ko-KR" altLang="en-US" sz="1100" b="1" baseline="0"/>
            <a:t>입력값 </a:t>
          </a:r>
          <a:r>
            <a:rPr lang="en-US" altLang="ko-KR" sz="1100" b="1" baseline="0"/>
            <a:t>(FX Forward Sheet - D</a:t>
          </a:r>
          <a:r>
            <a:rPr lang="ko-KR" altLang="en-US" sz="1100" b="1" baseline="0"/>
            <a:t>열</a:t>
          </a:r>
          <a:r>
            <a:rPr lang="en-US" altLang="ko-KR" sz="1100" b="1" baseline="0"/>
            <a:t>)</a:t>
          </a:r>
          <a:br>
            <a:rPr lang="en-US" altLang="ko-KR" sz="1100" b="1" baseline="0"/>
          </a:br>
          <a:r>
            <a:rPr lang="ko-KR" altLang="en-US" sz="1100" b="1" baseline="0"/>
            <a:t>산출값 </a:t>
          </a:r>
          <a:r>
            <a:rPr lang="en-US" altLang="ko-KR" sz="1100" b="1" baseline="0"/>
            <a:t>(FX Forward Sheet - F</a:t>
          </a:r>
          <a:r>
            <a:rPr lang="ko-KR" altLang="en-US" sz="1100" b="1" baseline="0"/>
            <a:t>열 </a:t>
          </a:r>
          <a:r>
            <a:rPr lang="en-US" altLang="ko-KR" sz="1100" b="1" baseline="0"/>
            <a:t>~ J</a:t>
          </a:r>
          <a:r>
            <a:rPr lang="ko-KR" altLang="en-US" sz="1100" b="1" baseline="0"/>
            <a:t>열</a:t>
          </a:r>
          <a:r>
            <a:rPr lang="en-US" altLang="ko-KR" sz="1100" b="1" baseline="0"/>
            <a:t>)</a:t>
          </a:r>
          <a:r>
            <a:rPr lang="en-US" altLang="ko-KR" sz="1100" baseline="0"/>
            <a:t/>
          </a:r>
          <a:br>
            <a:rPr lang="en-US" altLang="ko-KR" sz="1100" baseline="0"/>
          </a:br>
          <a:r>
            <a:rPr lang="en-US" altLang="ko-KR" sz="1100" baseline="0"/>
            <a:t/>
          </a:r>
          <a:br>
            <a:rPr lang="en-US" altLang="ko-KR" sz="1100" baseline="0"/>
          </a:br>
          <a:r>
            <a:rPr lang="en-US" altLang="ko-KR" sz="1100" b="1" baseline="0">
              <a:solidFill>
                <a:srgbClr val="FFFF00"/>
              </a:solidFill>
            </a:rPr>
            <a:t>-param 1 : char[] maturityDate</a:t>
          </a:r>
          <a:endParaRPr lang="en-US" altLang="ko-KR" sz="1100" b="1" i="0" u="none" strike="noStrike" baseline="0">
            <a:solidFill>
              <a:srgbClr val="FFFF00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en-US" altLang="ko-KR" sz="1100" b="1" i="0" u="none" strike="noStrike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-param 2 : char[] revaluationDate</a:t>
          </a:r>
        </a:p>
        <a:p>
          <a:pPr algn="l"/>
          <a:r>
            <a:rPr lang="en-US" altLang="ko-KR" sz="1100" b="1" i="0" u="none" strike="noStrike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-param 3 : char[] buySideCurrency</a:t>
          </a:r>
        </a:p>
        <a:p>
          <a:pPr algn="l"/>
          <a:r>
            <a:rPr lang="en-US" altLang="ko-KR" sz="1100" b="1" i="0" u="none" strike="noStrike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-param 4 : int buySideAmtNoti</a:t>
          </a:r>
        </a:p>
        <a:p>
          <a:pPr algn="l"/>
          <a:r>
            <a:rPr lang="en-US" altLang="ko-KR" sz="1100" b="1" i="0" u="none" strike="noStrike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-param 5 : </a:t>
          </a:r>
          <a:r>
            <a:rPr lang="en-US" altLang="ko-KR" sz="1100" b="1" i="0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char[]</a:t>
          </a:r>
          <a:r>
            <a:rPr lang="en-US" altLang="ko-KR" sz="1100" b="1" i="0" u="none" strike="noStrike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buySideDcb</a:t>
          </a:r>
        </a:p>
        <a:p>
          <a:pPr algn="l"/>
          <a:r>
            <a:rPr lang="en-US" altLang="ko-KR" sz="1100" b="1" i="0" u="none" strike="noStrike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-param 6 : char[] buySideDcCurve</a:t>
          </a:r>
        </a:p>
        <a:p>
          <a:pPr algn="l"/>
          <a:r>
            <a:rPr lang="en-US" altLang="ko-KR" sz="1100" b="1" i="0" u="none" strike="noStrike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-param 7 : char[] sellSideCurrency</a:t>
          </a:r>
        </a:p>
        <a:p>
          <a:pPr algn="l"/>
          <a:r>
            <a:rPr lang="en-US" altLang="ko-KR" sz="1100" b="1" i="0" u="none" strike="noStrike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-param 8 : int sellSideAmtNoti</a:t>
          </a:r>
        </a:p>
        <a:p>
          <a:pPr algn="l"/>
          <a:r>
            <a:rPr lang="en-US" altLang="ko-KR" sz="1100" b="1" i="0" u="none" strike="noStrike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-param 9 : char[] sellSideDcb</a:t>
          </a:r>
        </a:p>
        <a:p>
          <a:pPr algn="l"/>
          <a:r>
            <a:rPr lang="en-US" altLang="ko-KR" sz="1100" b="1" i="0" u="none" strike="noStrike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-param 10 : char[] sellSideDcCurve</a:t>
          </a:r>
        </a:p>
      </xdr:txBody>
    </xdr:sp>
    <xdr:clientData/>
  </xdr:twoCellAnchor>
  <xdr:twoCellAnchor>
    <xdr:from>
      <xdr:col>17</xdr:col>
      <xdr:colOff>19049</xdr:colOff>
      <xdr:row>5</xdr:row>
      <xdr:rowOff>9525</xdr:rowOff>
    </xdr:from>
    <xdr:to>
      <xdr:col>20</xdr:col>
      <xdr:colOff>676275</xdr:colOff>
      <xdr:row>12</xdr:row>
      <xdr:rowOff>0</xdr:rowOff>
    </xdr:to>
    <xdr:sp macro="" textlink="">
      <xdr:nvSpPr>
        <xdr:cNvPr id="23" name="직사각형 22">
          <a:extLst>
            <a:ext uri="{FF2B5EF4-FFF2-40B4-BE49-F238E27FC236}">
              <a16:creationId xmlns="" xmlns:a16="http://schemas.microsoft.com/office/drawing/2014/main" id="{00000000-0008-0000-0200-000017000000}"/>
            </a:ext>
          </a:extLst>
        </xdr:cNvPr>
        <xdr:cNvSpPr/>
      </xdr:nvSpPr>
      <xdr:spPr>
        <a:xfrm>
          <a:off x="11677649" y="1057275"/>
          <a:ext cx="2714626" cy="1457325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vert="horz" rtlCol="0" anchor="t" anchorCtr="0"/>
        <a:lstStyle/>
        <a:p>
          <a:pPr algn="l"/>
          <a:r>
            <a:rPr lang="en-US" altLang="ko-KR" sz="1100" b="1">
              <a:solidFill>
                <a:sysClr val="windowText" lastClr="000000"/>
              </a:solidFill>
            </a:rPr>
            <a:t>double yearFrac</a:t>
          </a:r>
        </a:p>
        <a:p>
          <a:pPr algn="l"/>
          <a:r>
            <a:rPr lang="en-US" altLang="ko-KR" sz="1100" b="1">
              <a:solidFill>
                <a:sysClr val="windowText" lastClr="000000"/>
              </a:solidFill>
            </a:rPr>
            <a:t>: </a:t>
          </a:r>
          <a:r>
            <a:rPr lang="ko-KR" altLang="en-US" sz="1100" b="1">
              <a:solidFill>
                <a:sysClr val="windowText" lastClr="000000"/>
              </a:solidFill>
            </a:rPr>
            <a:t>입력받은 날짜 기반 연도 분수를 리턴</a:t>
          </a:r>
          <a:endParaRPr lang="en-US" altLang="ko-KR" sz="1100" b="1">
            <a:solidFill>
              <a:sysClr val="windowText" lastClr="000000"/>
            </a:solidFill>
          </a:endParaRPr>
        </a:p>
        <a:p>
          <a:pPr algn="l"/>
          <a:endParaRPr lang="en-US" altLang="ko-KR" sz="1100" b="1" baseline="0">
            <a:solidFill>
              <a:srgbClr val="FFFF00"/>
            </a:solidFill>
          </a:endParaRPr>
        </a:p>
        <a:p>
          <a:pPr algn="l"/>
          <a:r>
            <a:rPr lang="en-US" altLang="ko-KR" sz="1100" b="1" baseline="0">
              <a:solidFill>
                <a:sysClr val="windowText" lastClr="000000"/>
              </a:solidFill>
            </a:rPr>
            <a:t>-param 1 : char[] maturityDate</a:t>
          </a:r>
        </a:p>
        <a:p>
          <a:pPr algn="l"/>
          <a:r>
            <a:rPr lang="en-US" altLang="ko-KR" sz="1100" b="1" baseline="0">
              <a:solidFill>
                <a:sysClr val="windowText" lastClr="000000"/>
              </a:solidFill>
            </a:rPr>
            <a:t>-param 2 : char[] revaluationDate</a:t>
          </a:r>
        </a:p>
        <a:p>
          <a:pPr algn="l"/>
          <a:r>
            <a:rPr lang="en-US" altLang="ko-KR" sz="1100" b="1" baseline="0">
              <a:solidFill>
                <a:sysClr val="windowText" lastClr="000000"/>
              </a:solidFill>
            </a:rPr>
            <a:t>-param 3 : char[] dayCountBasis</a:t>
          </a:r>
        </a:p>
      </xdr:txBody>
    </xdr:sp>
    <xdr:clientData/>
  </xdr:twoCellAnchor>
  <xdr:oneCellAnchor>
    <xdr:from>
      <xdr:col>15</xdr:col>
      <xdr:colOff>219075</xdr:colOff>
      <xdr:row>12</xdr:row>
      <xdr:rowOff>95250</xdr:rowOff>
    </xdr:from>
    <xdr:ext cx="184731" cy="264560"/>
    <xdr:sp macro="" textlink="">
      <xdr:nvSpPr>
        <xdr:cNvPr id="25" name="TextBox 24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SpPr txBox="1"/>
      </xdr:nvSpPr>
      <xdr:spPr>
        <a:xfrm>
          <a:off x="10506075" y="2609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ko-KR" altLang="en-US" sz="1100"/>
        </a:p>
      </xdr:txBody>
    </xdr:sp>
    <xdr:clientData/>
  </xdr:oneCellAnchor>
  <xdr:twoCellAnchor>
    <xdr:from>
      <xdr:col>14</xdr:col>
      <xdr:colOff>657225</xdr:colOff>
      <xdr:row>6</xdr:row>
      <xdr:rowOff>180975</xdr:rowOff>
    </xdr:from>
    <xdr:to>
      <xdr:col>17</xdr:col>
      <xdr:colOff>19050</xdr:colOff>
      <xdr:row>6</xdr:row>
      <xdr:rowOff>180975</xdr:rowOff>
    </xdr:to>
    <xdr:cxnSp macro="">
      <xdr:nvCxnSpPr>
        <xdr:cNvPr id="27" name="직선 화살표 연결선 26">
          <a:extLst>
            <a:ext uri="{FF2B5EF4-FFF2-40B4-BE49-F238E27FC236}">
              <a16:creationId xmlns="" xmlns:a16="http://schemas.microsoft.com/office/drawing/2014/main" id="{00000000-0008-0000-0200-00001B000000}"/>
            </a:ext>
          </a:extLst>
        </xdr:cNvPr>
        <xdr:cNvCxnSpPr/>
      </xdr:nvCxnSpPr>
      <xdr:spPr>
        <a:xfrm>
          <a:off x="10258425" y="1438275"/>
          <a:ext cx="1419225" cy="0"/>
        </a:xfrm>
        <a:prstGeom prst="straightConnector1">
          <a:avLst/>
        </a:prstGeom>
        <a:ln w="254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15</xdr:col>
      <xdr:colOff>104775</xdr:colOff>
      <xdr:row>4</xdr:row>
      <xdr:rowOff>76200</xdr:rowOff>
    </xdr:from>
    <xdr:ext cx="1021818" cy="436786"/>
    <xdr:sp macro="" textlink="">
      <xdr:nvSpPr>
        <xdr:cNvPr id="29" name="TextBox 28">
          <a:extLst>
            <a:ext uri="{FF2B5EF4-FFF2-40B4-BE49-F238E27FC236}">
              <a16:creationId xmlns="" xmlns:a16="http://schemas.microsoft.com/office/drawing/2014/main" id="{00000000-0008-0000-0200-00001D000000}"/>
            </a:ext>
          </a:extLst>
        </xdr:cNvPr>
        <xdr:cNvSpPr txBox="1"/>
      </xdr:nvSpPr>
      <xdr:spPr>
        <a:xfrm>
          <a:off x="10391775" y="914400"/>
          <a:ext cx="1021818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/>
            <a:t>param</a:t>
          </a:r>
          <a:r>
            <a:rPr lang="en-US" altLang="ko-KR" sz="1100" baseline="0"/>
            <a:t> (1, 2, 5)</a:t>
          </a:r>
          <a:br>
            <a:rPr lang="en-US" altLang="ko-KR" sz="1100" baseline="0"/>
          </a:br>
          <a:r>
            <a:rPr lang="en-US" altLang="ko-KR" sz="1100" baseline="0"/>
            <a:t>param (1, 2, 9)</a:t>
          </a:r>
          <a:endParaRPr lang="ko-KR" altLang="en-US" sz="1100"/>
        </a:p>
      </xdr:txBody>
    </xdr:sp>
    <xdr:clientData/>
  </xdr:oneCellAnchor>
  <xdr:oneCellAnchor>
    <xdr:from>
      <xdr:col>14</xdr:col>
      <xdr:colOff>619125</xdr:colOff>
      <xdr:row>9</xdr:row>
      <xdr:rowOff>19050</xdr:rowOff>
    </xdr:from>
    <xdr:ext cx="1535741" cy="264560"/>
    <xdr:sp macro="" textlink="">
      <xdr:nvSpPr>
        <xdr:cNvPr id="30" name="TextBox 29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SpPr txBox="1"/>
      </xdr:nvSpPr>
      <xdr:spPr>
        <a:xfrm>
          <a:off x="10220325" y="1905000"/>
          <a:ext cx="153574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/>
            <a:t>return double </a:t>
          </a:r>
          <a:r>
            <a:rPr lang="en-US" altLang="ko-KR" sz="1100" baseline="0"/>
            <a:t>yearFrac</a:t>
          </a:r>
          <a:endParaRPr lang="ko-KR" altLang="en-US" sz="1100"/>
        </a:p>
      </xdr:txBody>
    </xdr:sp>
    <xdr:clientData/>
  </xdr:oneCellAnchor>
  <xdr:twoCellAnchor>
    <xdr:from>
      <xdr:col>14</xdr:col>
      <xdr:colOff>647700</xdr:colOff>
      <xdr:row>8</xdr:row>
      <xdr:rowOff>109538</xdr:rowOff>
    </xdr:from>
    <xdr:to>
      <xdr:col>17</xdr:col>
      <xdr:colOff>19049</xdr:colOff>
      <xdr:row>8</xdr:row>
      <xdr:rowOff>114300</xdr:rowOff>
    </xdr:to>
    <xdr:cxnSp macro="">
      <xdr:nvCxnSpPr>
        <xdr:cNvPr id="31" name="직선 화살표 연결선 30">
          <a:extLst>
            <a:ext uri="{FF2B5EF4-FFF2-40B4-BE49-F238E27FC236}">
              <a16:creationId xmlns="" xmlns:a16="http://schemas.microsoft.com/office/drawing/2014/main" id="{00000000-0008-0000-0200-00001F000000}"/>
            </a:ext>
          </a:extLst>
        </xdr:cNvPr>
        <xdr:cNvCxnSpPr>
          <a:stCxn id="23" idx="1"/>
        </xdr:cNvCxnSpPr>
      </xdr:nvCxnSpPr>
      <xdr:spPr>
        <a:xfrm flipH="1">
          <a:off x="10248900" y="1785938"/>
          <a:ext cx="1428749" cy="4762"/>
        </a:xfrm>
        <a:prstGeom prst="straightConnector1">
          <a:avLst/>
        </a:prstGeom>
        <a:ln w="254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19050</xdr:colOff>
      <xdr:row>14</xdr:row>
      <xdr:rowOff>142875</xdr:rowOff>
    </xdr:from>
    <xdr:to>
      <xdr:col>20</xdr:col>
      <xdr:colOff>676276</xdr:colOff>
      <xdr:row>21</xdr:row>
      <xdr:rowOff>133350</xdr:rowOff>
    </xdr:to>
    <xdr:sp macro="" textlink="">
      <xdr:nvSpPr>
        <xdr:cNvPr id="38" name="직사각형 37">
          <a:extLst>
            <a:ext uri="{FF2B5EF4-FFF2-40B4-BE49-F238E27FC236}">
              <a16:creationId xmlns="" xmlns:a16="http://schemas.microsoft.com/office/drawing/2014/main" id="{00000000-0008-0000-0200-000026000000}"/>
            </a:ext>
          </a:extLst>
        </xdr:cNvPr>
        <xdr:cNvSpPr/>
      </xdr:nvSpPr>
      <xdr:spPr>
        <a:xfrm>
          <a:off x="11677650" y="3076575"/>
          <a:ext cx="2714626" cy="1457325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vert="horz" rtlCol="0" anchor="t" anchorCtr="0"/>
        <a:lstStyle/>
        <a:p>
          <a:pPr algn="l"/>
          <a:r>
            <a:rPr lang="en-US" altLang="ko-KR" sz="1100" b="1">
              <a:solidFill>
                <a:sysClr val="windowText" lastClr="000000"/>
              </a:solidFill>
            </a:rPr>
            <a:t>short convYRF</a:t>
          </a:r>
          <a:br>
            <a:rPr lang="en-US" altLang="ko-KR" sz="1100" b="1">
              <a:solidFill>
                <a:sysClr val="windowText" lastClr="000000"/>
              </a:solidFill>
            </a:rPr>
          </a:br>
          <a:r>
            <a:rPr lang="en-US" altLang="ko-KR" sz="1100" b="1">
              <a:solidFill>
                <a:sysClr val="windowText" lastClr="000000"/>
              </a:solidFill>
            </a:rPr>
            <a:t>:</a:t>
          </a:r>
          <a:r>
            <a:rPr lang="ko-KR" altLang="en-US" sz="1100" b="1">
              <a:solidFill>
                <a:sysClr val="windowText" lastClr="000000"/>
              </a:solidFill>
            </a:rPr>
            <a:t>입력받은 </a:t>
          </a:r>
          <a:r>
            <a:rPr lang="en-US" altLang="ko-KR" sz="1100" b="1">
              <a:solidFill>
                <a:sysClr val="windowText" lastClr="000000"/>
              </a:solidFill>
            </a:rPr>
            <a:t>DayCountBasis</a:t>
          </a:r>
          <a:r>
            <a:rPr lang="ko-KR" altLang="en-US" sz="1100" b="1">
              <a:solidFill>
                <a:sysClr val="windowText" lastClr="000000"/>
              </a:solidFill>
            </a:rPr>
            <a:t>를 코드로 리턴 </a:t>
          </a:r>
          <a:endParaRPr lang="en-US" altLang="ko-KR" sz="1100" b="1">
            <a:solidFill>
              <a:sysClr val="windowText" lastClr="000000"/>
            </a:solidFill>
          </a:endParaRPr>
        </a:p>
        <a:p>
          <a:pPr algn="l"/>
          <a:endParaRPr lang="en-US" altLang="ko-KR" sz="1100" b="1" baseline="0"/>
        </a:p>
        <a:p>
          <a:pPr algn="l"/>
          <a:r>
            <a:rPr lang="en-US" altLang="ko-KR" sz="1100" b="1" baseline="0">
              <a:solidFill>
                <a:sysClr val="windowText" lastClr="000000"/>
              </a:solidFill>
            </a:rPr>
            <a:t>-param 1 : char[] dayCountBasis</a:t>
          </a:r>
          <a:br>
            <a:rPr lang="en-US" altLang="ko-KR" sz="1100" b="1" baseline="0">
              <a:solidFill>
                <a:sysClr val="windowText" lastClr="000000"/>
              </a:solidFill>
            </a:rPr>
          </a:br>
          <a:r>
            <a:rPr lang="en-US" altLang="ko-KR" sz="1100" b="1" baseline="0">
              <a:solidFill>
                <a:sysClr val="windowText" lastClr="000000"/>
              </a:solidFill>
            </a:rPr>
            <a:t>[30U/360|Act/Act|Act/365|30E/360]</a:t>
          </a:r>
        </a:p>
        <a:p>
          <a:pPr algn="l"/>
          <a:endParaRPr lang="en-US" altLang="ko-KR" sz="1100" b="1" baseline="0"/>
        </a:p>
      </xdr:txBody>
    </xdr:sp>
    <xdr:clientData/>
  </xdr:twoCellAnchor>
  <xdr:twoCellAnchor>
    <xdr:from>
      <xdr:col>17</xdr:col>
      <xdr:colOff>657226</xdr:colOff>
      <xdr:row>12</xdr:row>
      <xdr:rowOff>9526</xdr:rowOff>
    </xdr:from>
    <xdr:to>
      <xdr:col>17</xdr:col>
      <xdr:colOff>666750</xdr:colOff>
      <xdr:row>14</xdr:row>
      <xdr:rowOff>142875</xdr:rowOff>
    </xdr:to>
    <xdr:cxnSp macro="">
      <xdr:nvCxnSpPr>
        <xdr:cNvPr id="39" name="직선 화살표 연결선 38">
          <a:extLst>
            <a:ext uri="{FF2B5EF4-FFF2-40B4-BE49-F238E27FC236}">
              <a16:creationId xmlns="" xmlns:a16="http://schemas.microsoft.com/office/drawing/2014/main" id="{00000000-0008-0000-0200-000027000000}"/>
            </a:ext>
          </a:extLst>
        </xdr:cNvPr>
        <xdr:cNvCxnSpPr/>
      </xdr:nvCxnSpPr>
      <xdr:spPr>
        <a:xfrm>
          <a:off x="12315826" y="2524126"/>
          <a:ext cx="9524" cy="552449"/>
        </a:xfrm>
        <a:prstGeom prst="straightConnector1">
          <a:avLst/>
        </a:prstGeom>
        <a:ln w="254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16</xdr:col>
      <xdr:colOff>590550</xdr:colOff>
      <xdr:row>12</xdr:row>
      <xdr:rowOff>142875</xdr:rowOff>
    </xdr:from>
    <xdr:ext cx="755784" cy="264560"/>
    <xdr:sp macro="" textlink="">
      <xdr:nvSpPr>
        <xdr:cNvPr id="43" name="TextBox 42">
          <a:extLst>
            <a:ext uri="{FF2B5EF4-FFF2-40B4-BE49-F238E27FC236}">
              <a16:creationId xmlns=""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1563350" y="2867025"/>
          <a:ext cx="75578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/>
            <a:t>param</a:t>
          </a:r>
          <a:r>
            <a:rPr lang="en-US" altLang="ko-KR" sz="1100" b="1" baseline="0"/>
            <a:t> (3)</a:t>
          </a:r>
          <a:endParaRPr lang="ko-KR" altLang="en-US" sz="1100" b="1"/>
        </a:p>
      </xdr:txBody>
    </xdr:sp>
    <xdr:clientData/>
  </xdr:oneCellAnchor>
  <xdr:oneCellAnchor>
    <xdr:from>
      <xdr:col>18</xdr:col>
      <xdr:colOff>476250</xdr:colOff>
      <xdr:row>12</xdr:row>
      <xdr:rowOff>85725</xdr:rowOff>
    </xdr:from>
    <xdr:ext cx="899221" cy="609013"/>
    <xdr:sp macro="" textlink="">
      <xdr:nvSpPr>
        <xdr:cNvPr id="44" name="TextBox 43">
          <a:extLst>
            <a:ext uri="{FF2B5EF4-FFF2-40B4-BE49-F238E27FC236}">
              <a16:creationId xmlns=""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2820650" y="2809875"/>
          <a:ext cx="899221" cy="609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 baseline="0"/>
            <a:t>return</a:t>
          </a:r>
          <a:br>
            <a:rPr lang="en-US" altLang="ko-KR" sz="1100" b="1" baseline="0"/>
          </a:br>
          <a:r>
            <a:rPr lang="en-US" altLang="ko-KR" sz="1100" b="1" baseline="0"/>
            <a:t>[0|1|2|3|4</a:t>
          </a:r>
          <a:r>
            <a:rPr lang="en-US" altLang="ko-KR" sz="1100" baseline="0"/>
            <a:t>]</a:t>
          </a:r>
        </a:p>
        <a:p>
          <a:endParaRPr lang="ko-KR" altLang="en-US" sz="1100"/>
        </a:p>
      </xdr:txBody>
    </xdr:sp>
    <xdr:clientData/>
  </xdr:oneCellAnchor>
  <xdr:twoCellAnchor>
    <xdr:from>
      <xdr:col>19</xdr:col>
      <xdr:colOff>676276</xdr:colOff>
      <xdr:row>12</xdr:row>
      <xdr:rowOff>9526</xdr:rowOff>
    </xdr:from>
    <xdr:to>
      <xdr:col>20</xdr:col>
      <xdr:colOff>0</xdr:colOff>
      <xdr:row>14</xdr:row>
      <xdr:rowOff>104775</xdr:rowOff>
    </xdr:to>
    <xdr:cxnSp macro="">
      <xdr:nvCxnSpPr>
        <xdr:cNvPr id="45" name="직선 화살표 연결선 44">
          <a:extLst>
            <a:ext uri="{FF2B5EF4-FFF2-40B4-BE49-F238E27FC236}">
              <a16:creationId xmlns="" xmlns:a16="http://schemas.microsoft.com/office/drawing/2014/main" id="{00000000-0008-0000-0200-00002D000000}"/>
            </a:ext>
          </a:extLst>
        </xdr:cNvPr>
        <xdr:cNvCxnSpPr/>
      </xdr:nvCxnSpPr>
      <xdr:spPr>
        <a:xfrm flipH="1" flipV="1">
          <a:off x="13706476" y="2524126"/>
          <a:ext cx="9524" cy="514349"/>
        </a:xfrm>
        <a:prstGeom prst="straightConnector1">
          <a:avLst/>
        </a:prstGeom>
        <a:ln w="254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38100</xdr:colOff>
      <xdr:row>24</xdr:row>
      <xdr:rowOff>19049</xdr:rowOff>
    </xdr:from>
    <xdr:to>
      <xdr:col>14</xdr:col>
      <xdr:colOff>666750</xdr:colOff>
      <xdr:row>36</xdr:row>
      <xdr:rowOff>85725</xdr:rowOff>
    </xdr:to>
    <xdr:sp macro="" textlink="">
      <xdr:nvSpPr>
        <xdr:cNvPr id="52" name="순서도: 판단 51">
          <a:extLst>
            <a:ext uri="{FF2B5EF4-FFF2-40B4-BE49-F238E27FC236}">
              <a16:creationId xmlns="" xmlns:a16="http://schemas.microsoft.com/office/drawing/2014/main" id="{00000000-0008-0000-0200-000034000000}"/>
            </a:ext>
          </a:extLst>
        </xdr:cNvPr>
        <xdr:cNvSpPr/>
      </xdr:nvSpPr>
      <xdr:spPr>
        <a:xfrm>
          <a:off x="6896100" y="5257799"/>
          <a:ext cx="3371850" cy="2581276"/>
        </a:xfrm>
        <a:prstGeom prst="flowChartDecision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vert="horz" rtlCol="0" anchor="t" anchorCtr="0"/>
        <a:lstStyle/>
        <a:p>
          <a:pPr algn="l"/>
          <a:r>
            <a:rPr lang="en-US" altLang="ko-KR" sz="1000" b="1">
              <a:solidFill>
                <a:sysClr val="windowText" lastClr="000000"/>
              </a:solidFill>
            </a:rPr>
            <a:t>short</a:t>
          </a:r>
          <a:r>
            <a:rPr lang="en-US" altLang="ko-KR" sz="1000" b="1" baseline="0">
              <a:solidFill>
                <a:sysClr val="windowText" lastClr="000000"/>
              </a:solidFill>
            </a:rPr>
            <a:t> calType</a:t>
          </a:r>
          <a:r>
            <a:rPr lang="en-US" altLang="ko-KR" sz="1000" b="1">
              <a:solidFill>
                <a:sysClr val="windowText" lastClr="000000"/>
              </a:solidFill>
            </a:rPr>
            <a:t/>
          </a:r>
          <a:br>
            <a:rPr lang="en-US" altLang="ko-KR" sz="1000" b="1">
              <a:solidFill>
                <a:sysClr val="windowText" lastClr="000000"/>
              </a:solidFill>
            </a:rPr>
          </a:br>
          <a:r>
            <a:rPr lang="en-US" altLang="ko-KR" sz="1000" b="1">
              <a:solidFill>
                <a:sysClr val="windowText" lastClr="000000"/>
              </a:solidFill>
            </a:rPr>
            <a:t>:</a:t>
          </a:r>
          <a:r>
            <a:rPr lang="ko-KR" altLang="en-US" sz="1000" b="1">
              <a:solidFill>
                <a:sysClr val="windowText" lastClr="000000"/>
              </a:solidFill>
            </a:rPr>
            <a:t> </a:t>
          </a:r>
          <a:r>
            <a:rPr lang="en-US" altLang="ko-KR" sz="1000" b="1">
              <a:solidFill>
                <a:sysClr val="windowText" lastClr="000000"/>
              </a:solidFill>
            </a:rPr>
            <a:t>Select</a:t>
          </a:r>
          <a:r>
            <a:rPr lang="en-US" altLang="ko-KR" sz="1000" b="1" baseline="0">
              <a:solidFill>
                <a:sysClr val="windowText" lastClr="000000"/>
              </a:solidFill>
            </a:rPr>
            <a:t> Type</a:t>
          </a:r>
          <a:r>
            <a:rPr lang="ko-KR" altLang="en-US" sz="1000" b="1">
              <a:solidFill>
                <a:sysClr val="windowText" lastClr="000000"/>
              </a:solidFill>
            </a:rPr>
            <a:t>를 코드로 리턴</a:t>
          </a:r>
          <a:endParaRPr lang="en-US" altLang="ko-KR" sz="1000" b="1">
            <a:solidFill>
              <a:sysClr val="windowText" lastClr="000000"/>
            </a:solidFill>
          </a:endParaRPr>
        </a:p>
        <a:p>
          <a:pPr algn="l"/>
          <a:endParaRPr lang="en-US" altLang="ko-KR" sz="1000" b="1" baseline="0"/>
        </a:p>
        <a:p>
          <a:pPr algn="l"/>
          <a:r>
            <a:rPr lang="en-US" altLang="ko-KR" sz="1000" b="1" baseline="0">
              <a:solidFill>
                <a:srgbClr val="FFFF00"/>
              </a:solidFill>
            </a:rPr>
            <a:t>-param 1 : char [] selectType</a:t>
          </a:r>
          <a:br>
            <a:rPr lang="en-US" altLang="ko-KR" sz="1000" b="1" baseline="0">
              <a:solidFill>
                <a:srgbClr val="FFFF00"/>
              </a:solidFill>
            </a:rPr>
          </a:br>
          <a:r>
            <a:rPr lang="en-US" altLang="ko-KR" sz="10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(FX Forward Sheet C36)</a:t>
          </a:r>
          <a:br>
            <a:rPr lang="en-US" altLang="ko-KR" sz="10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</a:br>
          <a:r>
            <a:rPr lang="en-US" altLang="ko-KR" sz="10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[Net Present Value</a:t>
          </a:r>
          <a:r>
            <a:rPr lang="en-US" altLang="ko-KR" sz="10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| GIRR Delta | PV01]</a:t>
          </a:r>
          <a:endParaRPr lang="en-US" altLang="ko-KR" sz="1000" b="1" baseline="0">
            <a:solidFill>
              <a:srgbClr val="FFFF00"/>
            </a:solidFill>
          </a:endParaRPr>
        </a:p>
      </xdr:txBody>
    </xdr:sp>
    <xdr:clientData/>
  </xdr:twoCellAnchor>
  <xdr:twoCellAnchor>
    <xdr:from>
      <xdr:col>7</xdr:col>
      <xdr:colOff>371475</xdr:colOff>
      <xdr:row>1</xdr:row>
      <xdr:rowOff>66675</xdr:rowOff>
    </xdr:from>
    <xdr:to>
      <xdr:col>8</xdr:col>
      <xdr:colOff>361950</xdr:colOff>
      <xdr:row>1</xdr:row>
      <xdr:rowOff>66675</xdr:rowOff>
    </xdr:to>
    <xdr:cxnSp macro="">
      <xdr:nvCxnSpPr>
        <xdr:cNvPr id="63" name="직선 화살표 연결선 62">
          <a:extLst>
            <a:ext uri="{FF2B5EF4-FFF2-40B4-BE49-F238E27FC236}">
              <a16:creationId xmlns="" xmlns:a16="http://schemas.microsoft.com/office/drawing/2014/main" id="{00000000-0008-0000-0200-00003F000000}"/>
            </a:ext>
          </a:extLst>
        </xdr:cNvPr>
        <xdr:cNvCxnSpPr/>
      </xdr:nvCxnSpPr>
      <xdr:spPr>
        <a:xfrm>
          <a:off x="5172075" y="276225"/>
          <a:ext cx="676275" cy="0"/>
        </a:xfrm>
        <a:prstGeom prst="straightConnector1">
          <a:avLst/>
        </a:prstGeom>
        <a:ln w="254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333375</xdr:colOff>
      <xdr:row>1</xdr:row>
      <xdr:rowOff>76200</xdr:rowOff>
    </xdr:from>
    <xdr:to>
      <xdr:col>10</xdr:col>
      <xdr:colOff>323850</xdr:colOff>
      <xdr:row>1</xdr:row>
      <xdr:rowOff>76200</xdr:rowOff>
    </xdr:to>
    <xdr:cxnSp macro="">
      <xdr:nvCxnSpPr>
        <xdr:cNvPr id="66" name="직선 화살표 연결선 65">
          <a:extLst>
            <a:ext uri="{FF2B5EF4-FFF2-40B4-BE49-F238E27FC236}">
              <a16:creationId xmlns="" xmlns:a16="http://schemas.microsoft.com/office/drawing/2014/main" id="{00000000-0008-0000-0200-000042000000}"/>
            </a:ext>
          </a:extLst>
        </xdr:cNvPr>
        <xdr:cNvCxnSpPr/>
      </xdr:nvCxnSpPr>
      <xdr:spPr>
        <a:xfrm>
          <a:off x="6505575" y="285750"/>
          <a:ext cx="676275" cy="0"/>
        </a:xfrm>
        <a:prstGeom prst="straightConnector1">
          <a:avLst/>
        </a:prstGeom>
        <a:ln w="63500">
          <a:solidFill>
            <a:schemeClr val="accent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19050</xdr:colOff>
      <xdr:row>9</xdr:row>
      <xdr:rowOff>95250</xdr:rowOff>
    </xdr:from>
    <xdr:to>
      <xdr:col>10</xdr:col>
      <xdr:colOff>9525</xdr:colOff>
      <xdr:row>9</xdr:row>
      <xdr:rowOff>95250</xdr:rowOff>
    </xdr:to>
    <xdr:cxnSp macro="">
      <xdr:nvCxnSpPr>
        <xdr:cNvPr id="70" name="직선 화살표 연결선 69">
          <a:extLst>
            <a:ext uri="{FF2B5EF4-FFF2-40B4-BE49-F238E27FC236}">
              <a16:creationId xmlns="" xmlns:a16="http://schemas.microsoft.com/office/drawing/2014/main" id="{00000000-0008-0000-0200-000046000000}"/>
            </a:ext>
          </a:extLst>
        </xdr:cNvPr>
        <xdr:cNvCxnSpPr/>
      </xdr:nvCxnSpPr>
      <xdr:spPr>
        <a:xfrm>
          <a:off x="6191250" y="2190750"/>
          <a:ext cx="676275" cy="0"/>
        </a:xfrm>
        <a:prstGeom prst="straightConnector1">
          <a:avLst/>
        </a:prstGeom>
        <a:ln w="63500">
          <a:solidFill>
            <a:schemeClr val="accent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333375</xdr:colOff>
      <xdr:row>21</xdr:row>
      <xdr:rowOff>200025</xdr:rowOff>
    </xdr:from>
    <xdr:to>
      <xdr:col>12</xdr:col>
      <xdr:colOff>333375</xdr:colOff>
      <xdr:row>23</xdr:row>
      <xdr:rowOff>171450</xdr:rowOff>
    </xdr:to>
    <xdr:cxnSp macro="">
      <xdr:nvCxnSpPr>
        <xdr:cNvPr id="71" name="직선 화살표 연결선 70">
          <a:extLst>
            <a:ext uri="{FF2B5EF4-FFF2-40B4-BE49-F238E27FC236}">
              <a16:creationId xmlns="" xmlns:a16="http://schemas.microsoft.com/office/drawing/2014/main" id="{00000000-0008-0000-0200-000047000000}"/>
            </a:ext>
          </a:extLst>
        </xdr:cNvPr>
        <xdr:cNvCxnSpPr/>
      </xdr:nvCxnSpPr>
      <xdr:spPr>
        <a:xfrm>
          <a:off x="8562975" y="4810125"/>
          <a:ext cx="0" cy="390525"/>
        </a:xfrm>
        <a:prstGeom prst="straightConnector1">
          <a:avLst/>
        </a:prstGeom>
        <a:ln w="63500">
          <a:solidFill>
            <a:schemeClr val="accent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619127</xdr:colOff>
      <xdr:row>31</xdr:row>
      <xdr:rowOff>0</xdr:rowOff>
    </xdr:from>
    <xdr:to>
      <xdr:col>10</xdr:col>
      <xdr:colOff>552450</xdr:colOff>
      <xdr:row>33</xdr:row>
      <xdr:rowOff>76200</xdr:rowOff>
    </xdr:to>
    <xdr:cxnSp macro="">
      <xdr:nvCxnSpPr>
        <xdr:cNvPr id="76" name="직선 화살표 연결선 75">
          <a:extLst>
            <a:ext uri="{FF2B5EF4-FFF2-40B4-BE49-F238E27FC236}">
              <a16:creationId xmlns="" xmlns:a16="http://schemas.microsoft.com/office/drawing/2014/main" id="{00000000-0008-0000-0200-00004C000000}"/>
            </a:ext>
          </a:extLst>
        </xdr:cNvPr>
        <xdr:cNvCxnSpPr/>
      </xdr:nvCxnSpPr>
      <xdr:spPr>
        <a:xfrm flipH="1">
          <a:off x="6791327" y="6705600"/>
          <a:ext cx="619123" cy="495300"/>
        </a:xfrm>
        <a:prstGeom prst="straightConnector1">
          <a:avLst/>
        </a:prstGeom>
        <a:ln w="63500">
          <a:solidFill>
            <a:schemeClr val="accent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209550</xdr:colOff>
      <xdr:row>31</xdr:row>
      <xdr:rowOff>9525</xdr:rowOff>
    </xdr:from>
    <xdr:to>
      <xdr:col>15</xdr:col>
      <xdr:colOff>161925</xdr:colOff>
      <xdr:row>33</xdr:row>
      <xdr:rowOff>57150</xdr:rowOff>
    </xdr:to>
    <xdr:cxnSp macro="">
      <xdr:nvCxnSpPr>
        <xdr:cNvPr id="80" name="직선 화살표 연결선 79">
          <a:extLst>
            <a:ext uri="{FF2B5EF4-FFF2-40B4-BE49-F238E27FC236}">
              <a16:creationId xmlns="" xmlns:a16="http://schemas.microsoft.com/office/drawing/2014/main" id="{00000000-0008-0000-0200-000050000000}"/>
            </a:ext>
          </a:extLst>
        </xdr:cNvPr>
        <xdr:cNvCxnSpPr/>
      </xdr:nvCxnSpPr>
      <xdr:spPr>
        <a:xfrm>
          <a:off x="9810750" y="6715125"/>
          <a:ext cx="638175" cy="466725"/>
        </a:xfrm>
        <a:prstGeom prst="straightConnector1">
          <a:avLst/>
        </a:prstGeom>
        <a:ln w="63500">
          <a:solidFill>
            <a:schemeClr val="accent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583406</xdr:colOff>
      <xdr:row>29</xdr:row>
      <xdr:rowOff>46944</xdr:rowOff>
    </xdr:from>
    <xdr:ext cx="1498039" cy="508473"/>
    <xdr:sp macro="" textlink="">
      <xdr:nvSpPr>
        <xdr:cNvPr id="85" name="TextBox 84">
          <a:extLst>
            <a:ext uri="{FF2B5EF4-FFF2-40B4-BE49-F238E27FC236}">
              <a16:creationId xmlns="" xmlns:a16="http://schemas.microsoft.com/office/drawing/2014/main" id="{00000000-0008-0000-0200-000055000000}"/>
            </a:ext>
          </a:extLst>
        </xdr:cNvPr>
        <xdr:cNvSpPr txBox="1"/>
      </xdr:nvSpPr>
      <xdr:spPr>
        <a:xfrm>
          <a:off x="5384006" y="6333444"/>
          <a:ext cx="1498039" cy="5084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/>
            <a:t>if</a:t>
          </a:r>
          <a:r>
            <a:rPr lang="en-US" altLang="ko-KR" sz="1100" b="1" baseline="0"/>
            <a:t> calType == 0</a:t>
          </a:r>
          <a:br>
            <a:rPr lang="en-US" altLang="ko-KR" sz="1100" b="1" baseline="0"/>
          </a:br>
          <a:r>
            <a:rPr lang="en-US" altLang="ko-KR" sz="1100" b="1" baseline="0"/>
            <a:t>Net PV </a:t>
          </a:r>
          <a:r>
            <a:rPr lang="ko-KR" altLang="en-US" sz="1100" b="1" baseline="0"/>
            <a:t>산출 프로세스</a:t>
          </a:r>
          <a:endParaRPr lang="ko-KR" altLang="en-US" sz="1100" b="1"/>
        </a:p>
      </xdr:txBody>
    </xdr:sp>
    <xdr:clientData/>
  </xdr:oneCellAnchor>
  <xdr:oneCellAnchor>
    <xdr:from>
      <xdr:col>15</xdr:col>
      <xdr:colOff>97631</xdr:colOff>
      <xdr:row>29</xdr:row>
      <xdr:rowOff>94569</xdr:rowOff>
    </xdr:from>
    <xdr:ext cx="2450992" cy="508473"/>
    <xdr:sp macro="" textlink="">
      <xdr:nvSpPr>
        <xdr:cNvPr id="86" name="TextBox 85">
          <a:extLst>
            <a:ext uri="{FF2B5EF4-FFF2-40B4-BE49-F238E27FC236}">
              <a16:creationId xmlns="" xmlns:a16="http://schemas.microsoft.com/office/drawing/2014/main" id="{00000000-0008-0000-0200-000056000000}"/>
            </a:ext>
          </a:extLst>
        </xdr:cNvPr>
        <xdr:cNvSpPr txBox="1"/>
      </xdr:nvSpPr>
      <xdr:spPr>
        <a:xfrm>
          <a:off x="10351013" y="6470716"/>
          <a:ext cx="2450992" cy="5084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/>
            <a:t>if</a:t>
          </a:r>
          <a:r>
            <a:rPr lang="en-US" altLang="ko-KR" sz="1100" b="1" baseline="0"/>
            <a:t> calType == 1</a:t>
          </a:r>
        </a:p>
        <a:p>
          <a:r>
            <a:rPr lang="en-US" altLang="ko-KR" sz="1100" b="1" baseline="0"/>
            <a:t>GIRR Delta (Sensitivity) </a:t>
          </a:r>
          <a:r>
            <a:rPr lang="ko-KR" altLang="en-US" sz="1100" b="1" baseline="0"/>
            <a:t>산출 프로세스</a:t>
          </a:r>
          <a:endParaRPr lang="ko-KR" altLang="en-US" sz="1100" b="1"/>
        </a:p>
      </xdr:txBody>
    </xdr:sp>
    <xdr:clientData/>
  </xdr:oneCellAnchor>
  <xdr:twoCellAnchor>
    <xdr:from>
      <xdr:col>4</xdr:col>
      <xdr:colOff>212913</xdr:colOff>
      <xdr:row>32</xdr:row>
      <xdr:rowOff>161244</xdr:rowOff>
    </xdr:from>
    <xdr:to>
      <xdr:col>9</xdr:col>
      <xdr:colOff>431007</xdr:colOff>
      <xdr:row>49</xdr:row>
      <xdr:rowOff>37419</xdr:rowOff>
    </xdr:to>
    <xdr:sp macro="" textlink="">
      <xdr:nvSpPr>
        <xdr:cNvPr id="99" name="직사각형 98">
          <a:extLst>
            <a:ext uri="{FF2B5EF4-FFF2-40B4-BE49-F238E27FC236}">
              <a16:creationId xmlns="" xmlns:a16="http://schemas.microsoft.com/office/drawing/2014/main" id="{00000000-0008-0000-0200-000063000000}"/>
            </a:ext>
          </a:extLst>
        </xdr:cNvPr>
        <xdr:cNvSpPr/>
      </xdr:nvSpPr>
      <xdr:spPr>
        <a:xfrm>
          <a:off x="2947148" y="7176126"/>
          <a:ext cx="3635888" cy="3495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US" altLang="ko-KR" sz="1100" b="1"/>
            <a:t>void</a:t>
          </a:r>
          <a:r>
            <a:rPr lang="en-US" altLang="ko-KR" sz="1100" b="1" baseline="0"/>
            <a:t> setDcRate (char[] 0, char[] 0)</a:t>
          </a:r>
          <a:br>
            <a:rPr lang="en-US" altLang="ko-KR" sz="1100" b="1" baseline="0"/>
          </a:br>
          <a:r>
            <a:rPr lang="en-US" altLang="ko-KR" sz="1100" b="1"/>
            <a:t>: </a:t>
          </a:r>
          <a:r>
            <a:rPr lang="ko-KR" altLang="en-US" sz="1100" b="1"/>
            <a:t>입력 </a:t>
          </a:r>
          <a:r>
            <a:rPr lang="en-US" altLang="ko-KR" sz="1100" b="1"/>
            <a:t>Risk Factor</a:t>
          </a:r>
          <a:r>
            <a:rPr lang="ko-KR" altLang="en-US" sz="1100" b="1"/>
            <a:t>와 </a:t>
          </a:r>
          <a:r>
            <a:rPr lang="en-US" altLang="ko-KR" sz="1100" b="1"/>
            <a:t>Tenor</a:t>
          </a:r>
          <a:r>
            <a:rPr lang="ko-KR" altLang="en-US" sz="1100" b="1"/>
            <a:t>에 의해 할인 커브 정보 입력</a:t>
          </a:r>
          <a:r>
            <a:rPr lang="en-US" altLang="ko-KR" sz="1100" b="1" baseline="0"/>
            <a:t/>
          </a:r>
          <a:br>
            <a:rPr lang="en-US" altLang="ko-KR" sz="1100" b="1" baseline="0"/>
          </a:br>
          <a:r>
            <a:rPr lang="ko-KR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입력값 </a:t>
          </a:r>
          <a:r>
            <a:rPr lang="en-US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(Curve WorkSheet - A</a:t>
          </a:r>
          <a:r>
            <a:rPr lang="ko-KR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열 </a:t>
          </a:r>
          <a:r>
            <a:rPr lang="en-US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~ E</a:t>
          </a:r>
          <a:r>
            <a:rPr lang="ko-KR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열</a:t>
          </a:r>
          <a:r>
            <a:rPr lang="en-US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), RiskFactor, Tenor</a:t>
          </a:r>
          <a:endParaRPr lang="ko-KR" altLang="ko-KR">
            <a:effectLst/>
          </a:endParaRPr>
        </a:p>
        <a:p>
          <a:pPr algn="l"/>
          <a:r>
            <a:rPr lang="ko-KR" altLang="en-US" sz="1100" b="1" baseline="0"/>
            <a:t>산출값 </a:t>
          </a:r>
          <a:r>
            <a:rPr lang="en-US" altLang="ko-KR" sz="1100" b="1" baseline="0"/>
            <a:t>(Curve WorkSheet - H</a:t>
          </a:r>
          <a:r>
            <a:rPr lang="ko-KR" altLang="en-US" sz="1100" b="1" baseline="0"/>
            <a:t>열 </a:t>
          </a:r>
          <a:r>
            <a:rPr lang="en-US" altLang="ko-KR" sz="1100" b="1" baseline="0"/>
            <a:t>~ L</a:t>
          </a:r>
          <a:r>
            <a:rPr lang="ko-KR" altLang="en-US" sz="1100" b="1" baseline="0"/>
            <a:t>열</a:t>
          </a:r>
          <a:r>
            <a:rPr lang="en-US" altLang="ko-KR" sz="1100" b="1" baseline="0"/>
            <a:t>)</a:t>
          </a:r>
          <a:endParaRPr lang="en-US" altLang="ko-KR" sz="1100" baseline="0"/>
        </a:p>
        <a:p>
          <a:pPr algn="l"/>
          <a:r>
            <a:rPr lang="en-US" altLang="ko-KR" sz="1100" baseline="0"/>
            <a:t/>
          </a:r>
          <a:br>
            <a:rPr lang="en-US" altLang="ko-KR" sz="1100" baseline="0"/>
          </a:br>
          <a:r>
            <a:rPr lang="en-US" altLang="ko-KR" sz="1100" b="1" baseline="0">
              <a:solidFill>
                <a:schemeClr val="bg1"/>
              </a:solidFill>
            </a:rPr>
            <a:t>-param 1 : char[] riskFactor (0</a:t>
          </a:r>
          <a:r>
            <a:rPr lang="ko-KR" altLang="en-US" sz="1100" b="1" baseline="0">
              <a:solidFill>
                <a:schemeClr val="bg1"/>
              </a:solidFill>
            </a:rPr>
            <a:t>으로 고정</a:t>
          </a:r>
          <a:r>
            <a:rPr lang="en-US" altLang="ko-KR" sz="1100" b="1" baseline="0">
              <a:solidFill>
                <a:schemeClr val="bg1"/>
              </a:solidFill>
            </a:rPr>
            <a:t>)</a:t>
          </a:r>
        </a:p>
        <a:p>
          <a:pPr algn="l"/>
          <a:r>
            <a:rPr lang="en-US" altLang="ko-KR" sz="1100" b="1" i="0" u="none" strike="noStrik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-param 2 : char[] revaluationDate (0</a:t>
          </a:r>
          <a:r>
            <a:rPr lang="ko-KR" altLang="en-US" sz="1100" b="1" i="0" u="none" strike="noStrik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으로 고정</a:t>
          </a:r>
          <a:r>
            <a:rPr lang="en-US" altLang="ko-KR" sz="1100" b="1" i="0" u="none" strike="noStrik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pPr algn="l"/>
          <a:r>
            <a:rPr lang="en-US" altLang="ko-KR" sz="1100" b="1" i="0" u="none" strike="noStrik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-param 4 : char[] curveId</a:t>
          </a:r>
        </a:p>
        <a:p>
          <a:pPr algn="l"/>
          <a:r>
            <a:rPr lang="en-US" altLang="ko-KR" sz="1100" b="1" i="0" u="none" strike="noStrik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-param 5 : short term</a:t>
          </a:r>
        </a:p>
        <a:p>
          <a:pPr algn="l"/>
          <a:r>
            <a:rPr lang="en-US" altLang="ko-KR" sz="1100" b="1" i="0" u="none" strike="noStrik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-param 6 : char[] unit</a:t>
          </a:r>
        </a:p>
        <a:p>
          <a:pPr algn="l"/>
          <a:r>
            <a:rPr lang="en-US" altLang="ko-KR" sz="1100" b="1" i="0" u="none" strike="noStrike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-param 7 : double marketData</a:t>
          </a:r>
        </a:p>
        <a:p>
          <a:pPr algn="l"/>
          <a:r>
            <a:rPr lang="en-US" altLang="ko-KR" sz="1100" b="1" i="0" u="none" strike="noStrik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-param 8 : char[] maturityDate</a:t>
          </a:r>
        </a:p>
      </xdr:txBody>
    </xdr:sp>
    <xdr:clientData/>
  </xdr:twoCellAnchor>
  <xdr:oneCellAnchor>
    <xdr:from>
      <xdr:col>4</xdr:col>
      <xdr:colOff>450056</xdr:colOff>
      <xdr:row>31</xdr:row>
      <xdr:rowOff>46944</xdr:rowOff>
    </xdr:from>
    <xdr:ext cx="1999650" cy="336246"/>
    <xdr:sp macro="" textlink="">
      <xdr:nvSpPr>
        <xdr:cNvPr id="101" name="TextBox 100">
          <a:extLst>
            <a:ext uri="{FF2B5EF4-FFF2-40B4-BE49-F238E27FC236}">
              <a16:creationId xmlns="" xmlns:a16="http://schemas.microsoft.com/office/drawing/2014/main" id="{00000000-0008-0000-0200-000065000000}"/>
            </a:ext>
          </a:extLst>
        </xdr:cNvPr>
        <xdr:cNvSpPr txBox="1"/>
      </xdr:nvSpPr>
      <xdr:spPr>
        <a:xfrm>
          <a:off x="3193256" y="6752544"/>
          <a:ext cx="1999650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/>
            <a:t>net</a:t>
          </a:r>
          <a:r>
            <a:rPr lang="en-US" altLang="ko-KR" sz="1100" b="1" baseline="0"/>
            <a:t> PV </a:t>
          </a:r>
          <a:r>
            <a:rPr lang="ko-KR" altLang="en-US" sz="1100" b="1" baseline="0"/>
            <a:t>산출 간 커브 할인 없음</a:t>
          </a:r>
          <a:endParaRPr lang="ko-KR" altLang="en-US" sz="1100" b="1"/>
        </a:p>
      </xdr:txBody>
    </xdr:sp>
    <xdr:clientData/>
  </xdr:oneCellAnchor>
  <xdr:twoCellAnchor>
    <xdr:from>
      <xdr:col>10</xdr:col>
      <xdr:colOff>280147</xdr:colOff>
      <xdr:row>37</xdr:row>
      <xdr:rowOff>135391</xdr:rowOff>
    </xdr:from>
    <xdr:to>
      <xdr:col>14</xdr:col>
      <xdr:colOff>156882</xdr:colOff>
      <xdr:row>43</xdr:row>
      <xdr:rowOff>95251</xdr:rowOff>
    </xdr:to>
    <xdr:sp macro="" textlink="">
      <xdr:nvSpPr>
        <xdr:cNvPr id="112" name="직사각형 111">
          <a:extLst>
            <a:ext uri="{FF2B5EF4-FFF2-40B4-BE49-F238E27FC236}">
              <a16:creationId xmlns="" xmlns:a16="http://schemas.microsoft.com/office/drawing/2014/main" id="{00000000-0008-0000-0200-000070000000}"/>
            </a:ext>
          </a:extLst>
        </xdr:cNvPr>
        <xdr:cNvSpPr/>
      </xdr:nvSpPr>
      <xdr:spPr>
        <a:xfrm>
          <a:off x="7115735" y="8214832"/>
          <a:ext cx="2610971" cy="1237331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vert="horz" rtlCol="0" anchor="t" anchorCtr="0"/>
        <a:lstStyle/>
        <a:p>
          <a:pPr algn="l"/>
          <a:r>
            <a:rPr lang="en-US" altLang="ko-KR" sz="1100" b="1">
              <a:solidFill>
                <a:sysClr val="windowText" lastClr="000000"/>
              </a:solidFill>
            </a:rPr>
            <a:t>double yearFrac</a:t>
          </a:r>
        </a:p>
        <a:p>
          <a:pPr algn="l"/>
          <a:r>
            <a:rPr lang="en-US" altLang="ko-KR" sz="1100" b="1">
              <a:solidFill>
                <a:sysClr val="windowText" lastClr="000000"/>
              </a:solidFill>
            </a:rPr>
            <a:t>: </a:t>
          </a:r>
          <a:r>
            <a:rPr lang="ko-KR" altLang="en-US" sz="1100" b="1">
              <a:solidFill>
                <a:sysClr val="windowText" lastClr="000000"/>
              </a:solidFill>
            </a:rPr>
            <a:t>입력받은 날짜 기반 연도 분수를 리턴</a:t>
          </a:r>
          <a:endParaRPr lang="en-US" altLang="ko-KR" sz="1100" b="1">
            <a:solidFill>
              <a:sysClr val="windowText" lastClr="000000"/>
            </a:solidFill>
          </a:endParaRPr>
        </a:p>
        <a:p>
          <a:pPr algn="l"/>
          <a:endParaRPr lang="en-US" altLang="ko-KR" sz="1100" b="1" baseline="0">
            <a:solidFill>
              <a:srgbClr val="FFFF00"/>
            </a:solidFill>
          </a:endParaRPr>
        </a:p>
        <a:p>
          <a:pPr algn="l"/>
          <a:r>
            <a:rPr lang="en-US" altLang="ko-KR" sz="1100" b="1" baseline="0">
              <a:solidFill>
                <a:sysClr val="windowText" lastClr="000000"/>
              </a:solidFill>
            </a:rPr>
            <a:t>-param 1 : char[] maturityDate</a:t>
          </a:r>
        </a:p>
        <a:p>
          <a:pPr algn="l"/>
          <a:r>
            <a:rPr lang="en-US" altLang="ko-KR" sz="1100" b="1" baseline="0">
              <a:solidFill>
                <a:sysClr val="windowText" lastClr="000000"/>
              </a:solidFill>
            </a:rPr>
            <a:t>-param 2 : char[] revaluationDate</a:t>
          </a:r>
        </a:p>
        <a:p>
          <a:pPr algn="l"/>
          <a:r>
            <a:rPr lang="en-US" altLang="ko-KR" sz="1100" b="1" baseline="0">
              <a:solidFill>
                <a:sysClr val="windowText" lastClr="000000"/>
              </a:solidFill>
            </a:rPr>
            <a:t>-param 3 : char[] dayCountBasis</a:t>
          </a:r>
        </a:p>
      </xdr:txBody>
    </xdr:sp>
    <xdr:clientData/>
  </xdr:twoCellAnchor>
  <xdr:twoCellAnchor>
    <xdr:from>
      <xdr:col>10</xdr:col>
      <xdr:colOff>282389</xdr:colOff>
      <xdr:row>44</xdr:row>
      <xdr:rowOff>139872</xdr:rowOff>
    </xdr:from>
    <xdr:to>
      <xdr:col>14</xdr:col>
      <xdr:colOff>136711</xdr:colOff>
      <xdr:row>50</xdr:row>
      <xdr:rowOff>197223</xdr:rowOff>
    </xdr:to>
    <xdr:sp macro="" textlink="">
      <xdr:nvSpPr>
        <xdr:cNvPr id="117" name="직사각형 116">
          <a:extLst>
            <a:ext uri="{FF2B5EF4-FFF2-40B4-BE49-F238E27FC236}">
              <a16:creationId xmlns="" xmlns:a16="http://schemas.microsoft.com/office/drawing/2014/main" id="{00000000-0008-0000-0200-000075000000}"/>
            </a:ext>
          </a:extLst>
        </xdr:cNvPr>
        <xdr:cNvSpPr/>
      </xdr:nvSpPr>
      <xdr:spPr>
        <a:xfrm>
          <a:off x="7005918" y="10198272"/>
          <a:ext cx="2543734" cy="1402057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vert="horz" rtlCol="0" anchor="t" anchorCtr="0"/>
        <a:lstStyle/>
        <a:p>
          <a:pPr algn="l"/>
          <a:r>
            <a:rPr lang="en-US" altLang="ko-KR" sz="1100" b="1">
              <a:solidFill>
                <a:sysClr val="windowText" lastClr="000000"/>
              </a:solidFill>
            </a:rPr>
            <a:t>short convYRF</a:t>
          </a:r>
          <a:br>
            <a:rPr lang="en-US" altLang="ko-KR" sz="1100" b="1">
              <a:solidFill>
                <a:sysClr val="windowText" lastClr="000000"/>
              </a:solidFill>
            </a:rPr>
          </a:br>
          <a:r>
            <a:rPr lang="en-US" altLang="ko-KR" sz="1100" b="1">
              <a:solidFill>
                <a:sysClr val="windowText" lastClr="000000"/>
              </a:solidFill>
            </a:rPr>
            <a:t>:</a:t>
          </a:r>
          <a:r>
            <a:rPr lang="ko-KR" altLang="en-US" sz="1100" b="1">
              <a:solidFill>
                <a:sysClr val="windowText" lastClr="000000"/>
              </a:solidFill>
            </a:rPr>
            <a:t>입력받은 </a:t>
          </a:r>
          <a:r>
            <a:rPr lang="en-US" altLang="ko-KR" sz="1100" b="1">
              <a:solidFill>
                <a:sysClr val="windowText" lastClr="000000"/>
              </a:solidFill>
            </a:rPr>
            <a:t>DayCountBasis</a:t>
          </a:r>
          <a:r>
            <a:rPr lang="ko-KR" altLang="en-US" sz="1100" b="1">
              <a:solidFill>
                <a:sysClr val="windowText" lastClr="000000"/>
              </a:solidFill>
            </a:rPr>
            <a:t>를 코드로 리턴 </a:t>
          </a:r>
          <a:endParaRPr lang="en-US" altLang="ko-KR" sz="1100" b="1">
            <a:solidFill>
              <a:sysClr val="windowText" lastClr="000000"/>
            </a:solidFill>
          </a:endParaRPr>
        </a:p>
        <a:p>
          <a:pPr algn="l"/>
          <a:endParaRPr lang="en-US" altLang="ko-KR" sz="1100" b="1" baseline="0"/>
        </a:p>
        <a:p>
          <a:pPr algn="l"/>
          <a:r>
            <a:rPr lang="en-US" altLang="ko-KR" sz="1100" b="1" baseline="0">
              <a:solidFill>
                <a:sysClr val="windowText" lastClr="000000"/>
              </a:solidFill>
            </a:rPr>
            <a:t>-param 1 : char[] dayCountBasis</a:t>
          </a:r>
          <a:br>
            <a:rPr lang="en-US" altLang="ko-KR" sz="1100" b="1" baseline="0">
              <a:solidFill>
                <a:sysClr val="windowText" lastClr="000000"/>
              </a:solidFill>
            </a:rPr>
          </a:br>
          <a:r>
            <a:rPr lang="en-US" altLang="ko-KR" sz="1100" b="1" baseline="0">
              <a:solidFill>
                <a:sysClr val="windowText" lastClr="000000"/>
              </a:solidFill>
            </a:rPr>
            <a:t>[30U/360|Act/Act|Act/365|30E/360]</a:t>
          </a:r>
        </a:p>
        <a:p>
          <a:pPr algn="l"/>
          <a:endParaRPr lang="en-US" altLang="ko-KR" sz="1100" b="1" baseline="0"/>
        </a:p>
      </xdr:txBody>
    </xdr:sp>
    <xdr:clientData/>
  </xdr:twoCellAnchor>
  <xdr:twoCellAnchor>
    <xdr:from>
      <xdr:col>10</xdr:col>
      <xdr:colOff>280147</xdr:colOff>
      <xdr:row>52</xdr:row>
      <xdr:rowOff>22409</xdr:rowOff>
    </xdr:from>
    <xdr:to>
      <xdr:col>14</xdr:col>
      <xdr:colOff>156882</xdr:colOff>
      <xdr:row>59</xdr:row>
      <xdr:rowOff>145676</xdr:rowOff>
    </xdr:to>
    <xdr:sp macro="" textlink="">
      <xdr:nvSpPr>
        <xdr:cNvPr id="136" name="직사각형 135">
          <a:extLst>
            <a:ext uri="{FF2B5EF4-FFF2-40B4-BE49-F238E27FC236}">
              <a16:creationId xmlns="" xmlns:a16="http://schemas.microsoft.com/office/drawing/2014/main" id="{00000000-0008-0000-0200-000088000000}"/>
            </a:ext>
          </a:extLst>
        </xdr:cNvPr>
        <xdr:cNvSpPr/>
      </xdr:nvSpPr>
      <xdr:spPr>
        <a:xfrm>
          <a:off x="7115735" y="11295527"/>
          <a:ext cx="2610971" cy="1613649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vert="horz" rtlCol="0" anchor="t" anchorCtr="0"/>
        <a:lstStyle/>
        <a:p>
          <a:pPr algn="l"/>
          <a:r>
            <a:rPr lang="en-US" altLang="ko-KR" sz="1100" b="1">
              <a:solidFill>
                <a:sysClr val="windowText" lastClr="000000"/>
              </a:solidFill>
            </a:rPr>
            <a:t>char[]</a:t>
          </a:r>
          <a:r>
            <a:rPr lang="en-US" altLang="ko-KR" sz="1100" b="1" baseline="0">
              <a:solidFill>
                <a:sysClr val="windowText" lastClr="000000"/>
              </a:solidFill>
            </a:rPr>
            <a:t> LookupDCB</a:t>
          </a:r>
          <a:r>
            <a:rPr lang="en-US" altLang="ko-KR" sz="1100" b="1">
              <a:solidFill>
                <a:sysClr val="windowText" lastClr="000000"/>
              </a:solidFill>
            </a:rPr>
            <a:t/>
          </a:r>
          <a:br>
            <a:rPr lang="en-US" altLang="ko-KR" sz="1100" b="1">
              <a:solidFill>
                <a:sysClr val="windowText" lastClr="000000"/>
              </a:solidFill>
            </a:rPr>
          </a:br>
          <a:r>
            <a:rPr lang="en-US" altLang="ko-KR" sz="1100" b="1">
              <a:solidFill>
                <a:sysClr val="windowText" lastClr="000000"/>
              </a:solidFill>
            </a:rPr>
            <a:t>:</a:t>
          </a:r>
          <a:r>
            <a:rPr lang="en-US" altLang="ko-KR" sz="1100" b="1" baseline="0">
              <a:solidFill>
                <a:sysClr val="windowText" lastClr="000000"/>
              </a:solidFill>
            </a:rPr>
            <a:t> curve </a:t>
          </a:r>
          <a:r>
            <a:rPr lang="ko-KR" altLang="en-US" sz="1100" b="1" baseline="0">
              <a:solidFill>
                <a:sysClr val="windowText" lastClr="000000"/>
              </a:solidFill>
            </a:rPr>
            <a:t>별</a:t>
          </a:r>
          <a:r>
            <a:rPr lang="en-US" altLang="ko-KR" sz="1100" b="1" baseline="0">
              <a:solidFill>
                <a:sysClr val="windowText" lastClr="000000"/>
              </a:solidFill>
            </a:rPr>
            <a:t> </a:t>
          </a:r>
          <a:r>
            <a:rPr lang="en-US" altLang="ko-KR" sz="1100" b="1">
              <a:solidFill>
                <a:sysClr val="windowText" lastClr="000000"/>
              </a:solidFill>
            </a:rPr>
            <a:t>DayCountBasis</a:t>
          </a:r>
          <a:r>
            <a:rPr lang="ko-KR" altLang="en-US" sz="1100" b="1">
              <a:solidFill>
                <a:sysClr val="windowText" lastClr="000000"/>
              </a:solidFill>
            </a:rPr>
            <a:t>를 리턴</a:t>
          </a:r>
          <a:endParaRPr lang="en-US" altLang="ko-KR" sz="1100" b="1">
            <a:solidFill>
              <a:sysClr val="windowText" lastClr="000000"/>
            </a:solidFill>
          </a:endParaRPr>
        </a:p>
        <a:p>
          <a:pPr algn="l"/>
          <a:endParaRPr lang="en-US" altLang="ko-KR" sz="1100" b="1" baseline="0"/>
        </a:p>
        <a:p>
          <a:pPr algn="l"/>
          <a:r>
            <a:rPr lang="en-US" altLang="ko-KR" sz="1100" b="1" baseline="0">
              <a:solidFill>
                <a:srgbClr val="FFFF00"/>
              </a:solidFill>
            </a:rPr>
            <a:t>-param 1 : char[] curveId</a:t>
          </a:r>
          <a:br>
            <a:rPr lang="en-US" altLang="ko-KR" sz="1100" b="1" baseline="0">
              <a:solidFill>
                <a:srgbClr val="FFFF00"/>
              </a:solidFill>
            </a:rPr>
          </a:br>
          <a:r>
            <a:rPr lang="ko-KR" altLang="en-US" sz="1100" b="1" baseline="0">
              <a:solidFill>
                <a:srgbClr val="FFFF00"/>
              </a:solidFill>
            </a:rPr>
            <a:t>입력값 </a:t>
          </a:r>
          <a:r>
            <a:rPr lang="en-US" altLang="ko-KR" sz="1100" b="1" baseline="0">
              <a:solidFill>
                <a:srgbClr val="FFFF00"/>
              </a:solidFill>
            </a:rPr>
            <a:t>(Curve Setting WorkSheet </a:t>
          </a:r>
          <a:br>
            <a:rPr lang="en-US" altLang="ko-KR" sz="1100" b="1" baseline="0">
              <a:solidFill>
                <a:srgbClr val="FFFF00"/>
              </a:solidFill>
            </a:rPr>
          </a:br>
          <a:r>
            <a:rPr lang="en-US" altLang="ko-KR" sz="1100" b="1" baseline="0">
              <a:solidFill>
                <a:srgbClr val="FFFF00"/>
              </a:solidFill>
            </a:rPr>
            <a:t>- A</a:t>
          </a:r>
          <a:r>
            <a:rPr lang="ko-KR" altLang="en-US" sz="1100" b="1" baseline="0">
              <a:solidFill>
                <a:srgbClr val="FFFF00"/>
              </a:solidFill>
            </a:rPr>
            <a:t>열 </a:t>
          </a:r>
          <a:r>
            <a:rPr lang="en-US" altLang="ko-KR" sz="1100" b="1" baseline="0">
              <a:solidFill>
                <a:srgbClr val="FFFF00"/>
              </a:solidFill>
            </a:rPr>
            <a:t>~ B</a:t>
          </a:r>
          <a:r>
            <a:rPr lang="ko-KR" altLang="en-US" sz="1100" b="1" baseline="0">
              <a:solidFill>
                <a:srgbClr val="FFFF00"/>
              </a:solidFill>
            </a:rPr>
            <a:t>열</a:t>
          </a:r>
          <a:r>
            <a:rPr lang="en-US" altLang="ko-KR" sz="1100" b="1" baseline="0">
              <a:solidFill>
                <a:srgbClr val="FFFF00"/>
              </a:solidFill>
            </a:rPr>
            <a:t>)</a:t>
          </a:r>
        </a:p>
      </xdr:txBody>
    </xdr:sp>
    <xdr:clientData/>
  </xdr:twoCellAnchor>
  <xdr:twoCellAnchor>
    <xdr:from>
      <xdr:col>15</xdr:col>
      <xdr:colOff>198485</xdr:colOff>
      <xdr:row>46</xdr:row>
      <xdr:rowOff>60310</xdr:rowOff>
    </xdr:from>
    <xdr:to>
      <xdr:col>20</xdr:col>
      <xdr:colOff>504266</xdr:colOff>
      <xdr:row>62</xdr:row>
      <xdr:rowOff>146036</xdr:rowOff>
    </xdr:to>
    <xdr:sp macro="" textlink="">
      <xdr:nvSpPr>
        <xdr:cNvPr id="138" name="직사각형 137">
          <a:extLst>
            <a:ext uri="{FF2B5EF4-FFF2-40B4-BE49-F238E27FC236}">
              <a16:creationId xmlns="" xmlns:a16="http://schemas.microsoft.com/office/drawing/2014/main" id="{00000000-0008-0000-0200-00008A000000}"/>
            </a:ext>
          </a:extLst>
        </xdr:cNvPr>
        <xdr:cNvSpPr/>
      </xdr:nvSpPr>
      <xdr:spPr>
        <a:xfrm>
          <a:off x="10451867" y="10055957"/>
          <a:ext cx="3723575" cy="349231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US" altLang="ko-KR" sz="1100" b="1"/>
            <a:t>void</a:t>
          </a:r>
          <a:r>
            <a:rPr lang="en-US" altLang="ko-KR" sz="1100" b="1" baseline="0"/>
            <a:t> setDcRate (char[] RiskFactor, char[] Tenor)</a:t>
          </a:r>
          <a:br>
            <a:rPr lang="en-US" altLang="ko-KR" sz="1100" b="1" baseline="0"/>
          </a:br>
          <a:r>
            <a:rPr lang="en-US" altLang="ko-KR" sz="1100" b="1"/>
            <a:t>: </a:t>
          </a:r>
          <a:r>
            <a:rPr lang="ko-KR" altLang="en-US" sz="1100" b="1"/>
            <a:t>입력 </a:t>
          </a:r>
          <a:r>
            <a:rPr lang="en-US" altLang="ko-KR" sz="1100" b="1"/>
            <a:t>Risk Factor</a:t>
          </a:r>
          <a:r>
            <a:rPr lang="ko-KR" altLang="en-US" sz="1100" b="1"/>
            <a:t>와 </a:t>
          </a:r>
          <a:r>
            <a:rPr lang="en-US" altLang="ko-KR" sz="1100" b="1"/>
            <a:t>Tenor</a:t>
          </a:r>
          <a:r>
            <a:rPr lang="ko-KR" altLang="en-US" sz="1100" b="1"/>
            <a:t>에 의해 할인 커브 입력</a:t>
          </a:r>
          <a:r>
            <a:rPr lang="en-US" altLang="ko-KR" sz="1100" b="1" baseline="0"/>
            <a:t/>
          </a:r>
          <a:br>
            <a:rPr lang="en-US" altLang="ko-KR" sz="1100" b="1" baseline="0"/>
          </a:br>
          <a:r>
            <a:rPr lang="ko-KR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입력값 </a:t>
          </a:r>
          <a:r>
            <a:rPr lang="en-US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(Curve WorkSheet - A</a:t>
          </a:r>
          <a:r>
            <a:rPr lang="ko-KR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열 </a:t>
          </a:r>
          <a:r>
            <a:rPr lang="en-US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~ E</a:t>
          </a:r>
          <a:r>
            <a:rPr lang="ko-KR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열</a:t>
          </a:r>
          <a:r>
            <a:rPr lang="en-US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), RiskFactor, Tenor</a:t>
          </a:r>
          <a:endParaRPr lang="en-US" altLang="ko-KR" sz="1100" b="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ko-KR" altLang="en-US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산출값 </a:t>
          </a:r>
          <a:r>
            <a:rPr lang="en-US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(Curve WorkSheet -  H</a:t>
          </a:r>
          <a:r>
            <a:rPr lang="ko-KR" altLang="en-US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열 </a:t>
          </a:r>
          <a:r>
            <a:rPr lang="en-US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~ L</a:t>
          </a:r>
          <a:r>
            <a:rPr lang="ko-KR" altLang="en-US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열</a:t>
          </a:r>
          <a:r>
            <a:rPr lang="en-US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)</a:t>
          </a:r>
          <a:endParaRPr lang="en-US" altLang="ko-KR" sz="1100" b="1" baseline="0"/>
        </a:p>
        <a:p>
          <a:pPr algn="l"/>
          <a:r>
            <a:rPr lang="en-US" altLang="ko-KR" sz="1100" baseline="0"/>
            <a:t/>
          </a:r>
          <a:br>
            <a:rPr lang="en-US" altLang="ko-KR" sz="1100" baseline="0"/>
          </a:br>
          <a:r>
            <a:rPr lang="en-US" altLang="ko-KR" sz="1100" b="1" baseline="0">
              <a:solidFill>
                <a:schemeClr val="bg1"/>
              </a:solidFill>
            </a:rPr>
            <a:t>-param 1 : char[] riskFactor (0</a:t>
          </a:r>
          <a:r>
            <a:rPr lang="ko-KR" altLang="en-US" sz="1100" b="1" baseline="0">
              <a:solidFill>
                <a:schemeClr val="bg1"/>
              </a:solidFill>
            </a:rPr>
            <a:t>으로 고정</a:t>
          </a:r>
          <a:r>
            <a:rPr lang="en-US" altLang="ko-KR" sz="1100" b="1" baseline="0">
              <a:solidFill>
                <a:schemeClr val="bg1"/>
              </a:solidFill>
            </a:rPr>
            <a:t>)</a:t>
          </a:r>
        </a:p>
        <a:p>
          <a:pPr algn="l"/>
          <a:r>
            <a:rPr lang="en-US" altLang="ko-KR" sz="1100" b="1" i="0" u="none" strike="noStrik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-param 2 : char[] revaluationDate (0</a:t>
          </a:r>
          <a:r>
            <a:rPr lang="ko-KR" altLang="en-US" sz="1100" b="1" i="0" u="none" strike="noStrik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으로 고정</a:t>
          </a:r>
          <a:r>
            <a:rPr lang="en-US" altLang="ko-KR" sz="1100" b="1" i="0" u="none" strike="noStrik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pPr algn="l"/>
          <a:r>
            <a:rPr lang="en-US" altLang="ko-KR" sz="1100" b="1" i="0" u="none" strike="noStrik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-param 4 : char[] curveId</a:t>
          </a:r>
        </a:p>
        <a:p>
          <a:pPr algn="l"/>
          <a:r>
            <a:rPr lang="en-US" altLang="ko-KR" sz="1100" b="1" i="0" u="none" strike="noStrik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-param 5 : short term</a:t>
          </a:r>
        </a:p>
        <a:p>
          <a:pPr algn="l"/>
          <a:r>
            <a:rPr lang="en-US" altLang="ko-KR" sz="1100" b="1" i="0" u="none" strike="noStrik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-param 6 : char[] unit</a:t>
          </a:r>
        </a:p>
        <a:p>
          <a:pPr algn="l"/>
          <a:r>
            <a:rPr lang="en-US" altLang="ko-KR" sz="1100" b="1" i="0" u="none" strike="noStrike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-param 7 : double marketData</a:t>
          </a:r>
        </a:p>
        <a:p>
          <a:pPr algn="l"/>
          <a:r>
            <a:rPr lang="en-US" altLang="ko-KR" sz="1100" b="1" i="0" u="none" strike="noStrik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-param 8 : char[] maturityDate</a:t>
          </a:r>
        </a:p>
      </xdr:txBody>
    </xdr:sp>
    <xdr:clientData/>
  </xdr:twoCellAnchor>
  <xdr:oneCellAnchor>
    <xdr:from>
      <xdr:col>18</xdr:col>
      <xdr:colOff>94269</xdr:colOff>
      <xdr:row>44</xdr:row>
      <xdr:rowOff>130347</xdr:rowOff>
    </xdr:from>
    <xdr:ext cx="1854610" cy="336246"/>
    <xdr:sp macro="" textlink="">
      <xdr:nvSpPr>
        <xdr:cNvPr id="139" name="TextBox 138">
          <a:extLst>
            <a:ext uri="{FF2B5EF4-FFF2-40B4-BE49-F238E27FC236}">
              <a16:creationId xmlns="" xmlns:a16="http://schemas.microsoft.com/office/drawing/2014/main" id="{00000000-0008-0000-0200-00008B000000}"/>
            </a:ext>
          </a:extLst>
        </xdr:cNvPr>
        <xdr:cNvSpPr txBox="1"/>
      </xdr:nvSpPr>
      <xdr:spPr>
        <a:xfrm>
          <a:off x="12398328" y="9700171"/>
          <a:ext cx="1854610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 baseline="0"/>
            <a:t>GIRR </a:t>
          </a:r>
          <a:r>
            <a:rPr lang="ko-KR" altLang="en-US" sz="1100" b="1" baseline="0"/>
            <a:t>산출 간 커브 </a:t>
          </a:r>
          <a:r>
            <a:rPr lang="en-US" altLang="ko-KR" sz="1100" b="1" baseline="0"/>
            <a:t>0.01 </a:t>
          </a:r>
          <a:r>
            <a:rPr lang="ko-KR" altLang="en-US" sz="1100" b="1" baseline="0"/>
            <a:t>할인</a:t>
          </a:r>
          <a:endParaRPr lang="ko-KR" altLang="en-US" sz="1100" b="1"/>
        </a:p>
      </xdr:txBody>
    </xdr:sp>
    <xdr:clientData/>
  </xdr:oneCellAnchor>
  <xdr:twoCellAnchor>
    <xdr:from>
      <xdr:col>9</xdr:col>
      <xdr:colOff>481853</xdr:colOff>
      <xdr:row>39</xdr:row>
      <xdr:rowOff>89647</xdr:rowOff>
    </xdr:from>
    <xdr:to>
      <xdr:col>10</xdr:col>
      <xdr:colOff>235324</xdr:colOff>
      <xdr:row>39</xdr:row>
      <xdr:rowOff>89647</xdr:rowOff>
    </xdr:to>
    <xdr:cxnSp macro="">
      <xdr:nvCxnSpPr>
        <xdr:cNvPr id="140" name="직선 화살표 연결선 139">
          <a:extLst>
            <a:ext uri="{FF2B5EF4-FFF2-40B4-BE49-F238E27FC236}">
              <a16:creationId xmlns="" xmlns:a16="http://schemas.microsoft.com/office/drawing/2014/main" id="{00000000-0008-0000-0200-00008C000000}"/>
            </a:ext>
          </a:extLst>
        </xdr:cNvPr>
        <xdr:cNvCxnSpPr/>
      </xdr:nvCxnSpPr>
      <xdr:spPr>
        <a:xfrm flipH="1">
          <a:off x="6633882" y="8594912"/>
          <a:ext cx="437030" cy="0"/>
        </a:xfrm>
        <a:prstGeom prst="straightConnector1">
          <a:avLst/>
        </a:prstGeom>
        <a:ln w="254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663739</xdr:colOff>
      <xdr:row>49</xdr:row>
      <xdr:rowOff>37419</xdr:rowOff>
    </xdr:from>
    <xdr:to>
      <xdr:col>10</xdr:col>
      <xdr:colOff>280147</xdr:colOff>
      <xdr:row>55</xdr:row>
      <xdr:rowOff>190499</xdr:rowOff>
    </xdr:to>
    <xdr:cxnSp macro="">
      <xdr:nvCxnSpPr>
        <xdr:cNvPr id="149" name="직선 화살표 연결선 148">
          <a:extLst>
            <a:ext uri="{FF2B5EF4-FFF2-40B4-BE49-F238E27FC236}">
              <a16:creationId xmlns="" xmlns:a16="http://schemas.microsoft.com/office/drawing/2014/main" id="{00000000-0008-0000-0200-000095000000}"/>
            </a:ext>
          </a:extLst>
        </xdr:cNvPr>
        <xdr:cNvCxnSpPr>
          <a:stCxn id="99" idx="2"/>
          <a:endCxn id="136" idx="1"/>
        </xdr:cNvCxnSpPr>
      </xdr:nvCxnSpPr>
      <xdr:spPr>
        <a:xfrm>
          <a:off x="4765092" y="10671801"/>
          <a:ext cx="2350643" cy="1430551"/>
        </a:xfrm>
        <a:prstGeom prst="straightConnector1">
          <a:avLst/>
        </a:prstGeom>
        <a:ln w="254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209550</xdr:colOff>
      <xdr:row>50</xdr:row>
      <xdr:rowOff>197223</xdr:rowOff>
    </xdr:from>
    <xdr:to>
      <xdr:col>12</xdr:col>
      <xdr:colOff>218515</xdr:colOff>
      <xdr:row>52</xdr:row>
      <xdr:rowOff>22409</xdr:rowOff>
    </xdr:to>
    <xdr:cxnSp macro="">
      <xdr:nvCxnSpPr>
        <xdr:cNvPr id="150" name="직선 화살표 연결선 149">
          <a:extLst>
            <a:ext uri="{FF2B5EF4-FFF2-40B4-BE49-F238E27FC236}">
              <a16:creationId xmlns="" xmlns:a16="http://schemas.microsoft.com/office/drawing/2014/main" id="{00000000-0008-0000-0200-000096000000}"/>
            </a:ext>
          </a:extLst>
        </xdr:cNvPr>
        <xdr:cNvCxnSpPr>
          <a:stCxn id="136" idx="0"/>
          <a:endCxn id="117" idx="2"/>
        </xdr:cNvCxnSpPr>
      </xdr:nvCxnSpPr>
      <xdr:spPr>
        <a:xfrm flipH="1" flipV="1">
          <a:off x="8277785" y="11600329"/>
          <a:ext cx="8965" cy="273421"/>
        </a:xfrm>
        <a:prstGeom prst="straightConnector1">
          <a:avLst/>
        </a:prstGeom>
        <a:ln w="254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209550</xdr:colOff>
      <xdr:row>43</xdr:row>
      <xdr:rowOff>95251</xdr:rowOff>
    </xdr:from>
    <xdr:to>
      <xdr:col>12</xdr:col>
      <xdr:colOff>218515</xdr:colOff>
      <xdr:row>44</xdr:row>
      <xdr:rowOff>139872</xdr:rowOff>
    </xdr:to>
    <xdr:cxnSp macro="">
      <xdr:nvCxnSpPr>
        <xdr:cNvPr id="151" name="직선 화살표 연결선 150">
          <a:extLst>
            <a:ext uri="{FF2B5EF4-FFF2-40B4-BE49-F238E27FC236}">
              <a16:creationId xmlns="" xmlns:a16="http://schemas.microsoft.com/office/drawing/2014/main" id="{00000000-0008-0000-0200-000097000000}"/>
            </a:ext>
          </a:extLst>
        </xdr:cNvPr>
        <xdr:cNvCxnSpPr>
          <a:stCxn id="117" idx="0"/>
          <a:endCxn id="112" idx="2"/>
        </xdr:cNvCxnSpPr>
      </xdr:nvCxnSpPr>
      <xdr:spPr>
        <a:xfrm flipV="1">
          <a:off x="8277785" y="9929533"/>
          <a:ext cx="8965" cy="268739"/>
        </a:xfrm>
        <a:prstGeom prst="straightConnector1">
          <a:avLst/>
        </a:prstGeom>
        <a:ln w="254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493059</xdr:colOff>
      <xdr:row>40</xdr:row>
      <xdr:rowOff>112059</xdr:rowOff>
    </xdr:from>
    <xdr:to>
      <xdr:col>10</xdr:col>
      <xdr:colOff>246530</xdr:colOff>
      <xdr:row>40</xdr:row>
      <xdr:rowOff>112059</xdr:rowOff>
    </xdr:to>
    <xdr:cxnSp macro="">
      <xdr:nvCxnSpPr>
        <xdr:cNvPr id="162" name="직선 화살표 연결선 161">
          <a:extLst>
            <a:ext uri="{FF2B5EF4-FFF2-40B4-BE49-F238E27FC236}">
              <a16:creationId xmlns="" xmlns:a16="http://schemas.microsoft.com/office/drawing/2014/main" id="{00000000-0008-0000-0200-0000A2000000}"/>
            </a:ext>
          </a:extLst>
        </xdr:cNvPr>
        <xdr:cNvCxnSpPr/>
      </xdr:nvCxnSpPr>
      <xdr:spPr>
        <a:xfrm>
          <a:off x="6645088" y="8830235"/>
          <a:ext cx="437030" cy="0"/>
        </a:xfrm>
        <a:prstGeom prst="straightConnector1">
          <a:avLst/>
        </a:prstGeom>
        <a:ln w="254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682999</xdr:colOff>
      <xdr:row>49</xdr:row>
      <xdr:rowOff>169008</xdr:rowOff>
    </xdr:from>
    <xdr:to>
      <xdr:col>7</xdr:col>
      <xdr:colOff>11206</xdr:colOff>
      <xdr:row>55</xdr:row>
      <xdr:rowOff>168088</xdr:rowOff>
    </xdr:to>
    <xdr:cxnSp macro="">
      <xdr:nvCxnSpPr>
        <xdr:cNvPr id="172" name="직선 화살표 연결선 171">
          <a:extLst>
            <a:ext uri="{FF2B5EF4-FFF2-40B4-BE49-F238E27FC236}">
              <a16:creationId xmlns="" xmlns:a16="http://schemas.microsoft.com/office/drawing/2014/main" id="{00000000-0008-0000-0200-0000AC000000}"/>
            </a:ext>
          </a:extLst>
        </xdr:cNvPr>
        <xdr:cNvCxnSpPr/>
      </xdr:nvCxnSpPr>
      <xdr:spPr>
        <a:xfrm>
          <a:off x="4784352" y="10803390"/>
          <a:ext cx="11766" cy="1276551"/>
        </a:xfrm>
        <a:prstGeom prst="straightConnector1">
          <a:avLst/>
        </a:prstGeom>
        <a:ln w="63500">
          <a:solidFill>
            <a:schemeClr val="accent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11206</xdr:colOff>
      <xdr:row>63</xdr:row>
      <xdr:rowOff>50786</xdr:rowOff>
    </xdr:from>
    <xdr:to>
      <xdr:col>18</xdr:col>
      <xdr:colOff>19050</xdr:colOff>
      <xdr:row>65</xdr:row>
      <xdr:rowOff>67235</xdr:rowOff>
    </xdr:to>
    <xdr:cxnSp macro="">
      <xdr:nvCxnSpPr>
        <xdr:cNvPr id="174" name="직선 화살표 연결선 173">
          <a:extLst>
            <a:ext uri="{FF2B5EF4-FFF2-40B4-BE49-F238E27FC236}">
              <a16:creationId xmlns="" xmlns:a16="http://schemas.microsoft.com/office/drawing/2014/main" id="{00000000-0008-0000-0200-0000AE000000}"/>
            </a:ext>
          </a:extLst>
        </xdr:cNvPr>
        <xdr:cNvCxnSpPr/>
      </xdr:nvCxnSpPr>
      <xdr:spPr>
        <a:xfrm flipH="1">
          <a:off x="12315265" y="13665933"/>
          <a:ext cx="7844" cy="442273"/>
        </a:xfrm>
        <a:prstGeom prst="straightConnector1">
          <a:avLst/>
        </a:prstGeom>
        <a:ln w="63500">
          <a:solidFill>
            <a:schemeClr val="accent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212911</xdr:colOff>
      <xdr:row>56</xdr:row>
      <xdr:rowOff>79761</xdr:rowOff>
    </xdr:from>
    <xdr:to>
      <xdr:col>9</xdr:col>
      <xdr:colOff>425824</xdr:colOff>
      <xdr:row>64</xdr:row>
      <xdr:rowOff>112059</xdr:rowOff>
    </xdr:to>
    <xdr:sp macro="" textlink="">
      <xdr:nvSpPr>
        <xdr:cNvPr id="222" name="직사각형 221">
          <a:extLst>
            <a:ext uri="{FF2B5EF4-FFF2-40B4-BE49-F238E27FC236}">
              <a16:creationId xmlns="" xmlns:a16="http://schemas.microsoft.com/office/drawing/2014/main" id="{00000000-0008-0000-0200-0000DE000000}"/>
            </a:ext>
          </a:extLst>
        </xdr:cNvPr>
        <xdr:cNvSpPr/>
      </xdr:nvSpPr>
      <xdr:spPr>
        <a:xfrm>
          <a:off x="2947146" y="12204526"/>
          <a:ext cx="3630707" cy="173559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US" altLang="ko-KR" sz="1100" b="1"/>
            <a:t>void</a:t>
          </a:r>
          <a:r>
            <a:rPr lang="en-US" altLang="ko-KR" sz="1100" b="1" baseline="0"/>
            <a:t> bootStrapZeroCurveContinuous </a:t>
          </a:r>
          <a:br>
            <a:rPr lang="en-US" altLang="ko-KR" sz="1100" b="1" baseline="0"/>
          </a:br>
          <a:r>
            <a:rPr lang="en-US" altLang="ko-KR" sz="1100" b="1"/>
            <a:t>: </a:t>
          </a:r>
          <a:r>
            <a:rPr lang="ko-KR" altLang="en-US" sz="1100" b="1"/>
            <a:t>할인 커브 정보를 통해 </a:t>
          </a:r>
          <a:r>
            <a:rPr lang="en-US" altLang="ko-KR" sz="1100" b="1"/>
            <a:t>Discount</a:t>
          </a:r>
          <a:r>
            <a:rPr lang="en-US" altLang="ko-KR" sz="1100" b="1" baseline="0"/>
            <a:t> Factor, Zero rate </a:t>
          </a:r>
          <a:r>
            <a:rPr lang="ko-KR" altLang="en-US" sz="1100" b="1" baseline="0"/>
            <a:t>산출</a:t>
          </a:r>
          <a:endParaRPr lang="en-US" altLang="ko-KR" sz="1100" b="1" baseline="0"/>
        </a:p>
        <a:p>
          <a:r>
            <a:rPr lang="ko-KR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입력값 </a:t>
          </a:r>
          <a:r>
            <a:rPr lang="en-US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(Curve WorkSheet - H</a:t>
          </a:r>
          <a:r>
            <a:rPr lang="ko-KR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열 </a:t>
          </a:r>
          <a:r>
            <a:rPr lang="en-US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~ L</a:t>
          </a:r>
          <a:r>
            <a:rPr lang="ko-KR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열</a:t>
          </a:r>
          <a:r>
            <a:rPr lang="en-US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algn="l"/>
          <a:r>
            <a:rPr lang="ko-KR" altLang="en-US" sz="1100" b="1" baseline="0"/>
            <a:t>산출값 </a:t>
          </a:r>
          <a:r>
            <a:rPr lang="en-US" altLang="ko-KR" sz="1100" b="1" baseline="0"/>
            <a:t>(Curve WorkSheet - M</a:t>
          </a:r>
          <a:r>
            <a:rPr lang="ko-KR" altLang="en-US" sz="1100" b="1" baseline="0"/>
            <a:t>열 </a:t>
          </a:r>
          <a:r>
            <a:rPr lang="en-US" altLang="ko-KR" sz="1100" b="1" baseline="0"/>
            <a:t>~ N</a:t>
          </a:r>
          <a:r>
            <a:rPr lang="ko-KR" altLang="en-US" sz="1100" b="1" baseline="0"/>
            <a:t>열</a:t>
          </a:r>
          <a:r>
            <a:rPr lang="en-US" altLang="ko-KR" sz="1100" b="1" baseline="0"/>
            <a:t>)</a:t>
          </a:r>
          <a:endParaRPr lang="en-US" altLang="ko-KR" sz="1100" baseline="0"/>
        </a:p>
        <a:p>
          <a:pPr algn="l"/>
          <a:r>
            <a:rPr lang="en-US" altLang="ko-KR" sz="1100" baseline="0"/>
            <a:t/>
          </a:r>
          <a:br>
            <a:rPr lang="en-US" altLang="ko-KR" sz="1100" baseline="0"/>
          </a:br>
          <a:r>
            <a:rPr lang="en-US" altLang="ko-KR" sz="1100" b="1" baseline="0">
              <a:solidFill>
                <a:schemeClr val="bg1"/>
              </a:solidFill>
            </a:rPr>
            <a:t>-param 1 : char[] curveId</a:t>
          </a:r>
        </a:p>
        <a:p>
          <a:pPr algn="l"/>
          <a:r>
            <a:rPr lang="en-US" altLang="ko-KR" sz="1100" b="1" baseline="0">
              <a:solidFill>
                <a:schemeClr val="bg1"/>
              </a:solidFill>
            </a:rPr>
            <a:t>-param 2 : float yearFraction</a:t>
          </a:r>
        </a:p>
        <a:p>
          <a:pPr algn="l"/>
          <a:r>
            <a:rPr lang="en-US" altLang="ko-KR" sz="1100" b="1" baseline="0">
              <a:solidFill>
                <a:schemeClr val="bg1"/>
              </a:solidFill>
            </a:rPr>
            <a:t>-param 3 : double marketData</a:t>
          </a:r>
        </a:p>
      </xdr:txBody>
    </xdr:sp>
    <xdr:clientData/>
  </xdr:twoCellAnchor>
  <xdr:twoCellAnchor>
    <xdr:from>
      <xdr:col>4</xdr:col>
      <xdr:colOff>212911</xdr:colOff>
      <xdr:row>71</xdr:row>
      <xdr:rowOff>46142</xdr:rowOff>
    </xdr:from>
    <xdr:to>
      <xdr:col>9</xdr:col>
      <xdr:colOff>431005</xdr:colOff>
      <xdr:row>81</xdr:row>
      <xdr:rowOff>201706</xdr:rowOff>
    </xdr:to>
    <xdr:sp macro="" textlink="">
      <xdr:nvSpPr>
        <xdr:cNvPr id="225" name="직사각형 224">
          <a:extLst>
            <a:ext uri="{FF2B5EF4-FFF2-40B4-BE49-F238E27FC236}">
              <a16:creationId xmlns="" xmlns:a16="http://schemas.microsoft.com/office/drawing/2014/main" id="{00000000-0008-0000-0200-0000E1000000}"/>
            </a:ext>
          </a:extLst>
        </xdr:cNvPr>
        <xdr:cNvSpPr/>
      </xdr:nvSpPr>
      <xdr:spPr>
        <a:xfrm>
          <a:off x="2947146" y="15364583"/>
          <a:ext cx="3635888" cy="228468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US" altLang="ko-KR" sz="1100" b="1"/>
            <a:t>void</a:t>
          </a:r>
          <a:r>
            <a:rPr lang="en-US" altLang="ko-KR" sz="1100" b="1" baseline="0"/>
            <a:t> FXF_V </a:t>
          </a:r>
          <a:br>
            <a:rPr lang="en-US" altLang="ko-KR" sz="1100" b="1" baseline="0"/>
          </a:br>
          <a:r>
            <a:rPr lang="en-US" altLang="ko-KR" sz="1100" b="1" baseline="0"/>
            <a:t>: CashFlow </a:t>
          </a:r>
          <a:r>
            <a:rPr lang="ko-KR" altLang="en-US" sz="1100" b="1" baseline="0"/>
            <a:t>데이터를 이용해 </a:t>
          </a:r>
          <a:r>
            <a:rPr lang="en-US" altLang="ko-KR" sz="1100" b="1" baseline="0"/>
            <a:t>Discount Rate, Discount Factor, present value </a:t>
          </a:r>
          <a:r>
            <a:rPr lang="ko-KR" altLang="en-US" sz="1100" b="1" baseline="0"/>
            <a:t>산출</a:t>
          </a:r>
          <a:endParaRPr lang="en-US" altLang="ko-KR" sz="1100" b="1" baseline="0"/>
        </a:p>
        <a:p>
          <a:r>
            <a:rPr lang="ko-KR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입력값 </a:t>
          </a:r>
          <a:r>
            <a:rPr lang="en-US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(FX Forward WorkSheet - H</a:t>
          </a:r>
          <a:r>
            <a:rPr lang="ko-KR" altLang="en-US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열</a:t>
          </a:r>
          <a:r>
            <a:rPr lang="en-US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, J</a:t>
          </a:r>
          <a:r>
            <a:rPr lang="ko-KR" altLang="en-US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열</a:t>
          </a:r>
          <a:r>
            <a:rPr lang="en-US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, K</a:t>
          </a:r>
          <a:r>
            <a:rPr lang="ko-KR" altLang="en-US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열</a:t>
          </a:r>
          <a:r>
            <a:rPr lang="en-US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algn="l"/>
          <a:r>
            <a:rPr lang="ko-KR" altLang="en-US" sz="1100" b="1" baseline="0"/>
            <a:t>산출값 </a:t>
          </a:r>
          <a:r>
            <a:rPr lang="en-US" altLang="ko-KR" sz="1100" b="1" baseline="0"/>
            <a:t>(FX Forward WorkSheet - L</a:t>
          </a:r>
          <a:r>
            <a:rPr lang="ko-KR" altLang="en-US" sz="1100" b="1" baseline="0"/>
            <a:t>열</a:t>
          </a:r>
          <a:r>
            <a:rPr lang="en-US" altLang="ko-KR" sz="1100" b="1" baseline="0"/>
            <a:t>, M</a:t>
          </a:r>
          <a:r>
            <a:rPr lang="ko-KR" altLang="en-US" sz="1100" b="1" baseline="0"/>
            <a:t>열</a:t>
          </a:r>
          <a:r>
            <a:rPr lang="en-US" altLang="ko-KR" sz="1100" b="1" baseline="0"/>
            <a:t>, N</a:t>
          </a:r>
          <a:r>
            <a:rPr lang="ko-KR" altLang="en-US" sz="1100" b="1" baseline="0"/>
            <a:t>열</a:t>
          </a:r>
          <a:r>
            <a:rPr lang="en-US" altLang="ko-KR" sz="1100" b="1" baseline="0"/>
            <a:t>)</a:t>
          </a:r>
          <a:endParaRPr lang="en-US" altLang="ko-KR" sz="1100" baseline="0"/>
        </a:p>
        <a:p>
          <a:pPr algn="l"/>
          <a:r>
            <a:rPr lang="en-US" altLang="ko-KR" sz="1100" baseline="0"/>
            <a:t/>
          </a:r>
          <a:br>
            <a:rPr lang="en-US" altLang="ko-KR" sz="1100" baseline="0"/>
          </a:br>
          <a:r>
            <a:rPr lang="en-US" altLang="ko-KR" sz="1100" b="1" baseline="0">
              <a:solidFill>
                <a:schemeClr val="bg1"/>
              </a:solidFill>
            </a:rPr>
            <a:t>-param 1 : double principalAmount</a:t>
          </a:r>
        </a:p>
        <a:p>
          <a:pPr algn="l"/>
          <a:r>
            <a:rPr lang="en-US" altLang="ko-KR" sz="1100" b="1" baseline="0">
              <a:solidFill>
                <a:schemeClr val="bg1"/>
              </a:solidFill>
            </a:rPr>
            <a:t>-param 2 : double yearFraction</a:t>
          </a:r>
        </a:p>
        <a:p>
          <a:pPr algn="l"/>
          <a:r>
            <a:rPr lang="en-US" altLang="ko-KR" sz="1100" b="1" baseline="0">
              <a:solidFill>
                <a:schemeClr val="bg1"/>
              </a:solidFill>
            </a:rPr>
            <a:t>-param 3 : char[] discountCurve</a:t>
          </a:r>
        </a:p>
        <a:p>
          <a:pPr algn="l"/>
          <a:r>
            <a:rPr lang="en-US" altLang="ko-KR" sz="1100" b="1" baseline="0">
              <a:solidFill>
                <a:schemeClr val="bg1"/>
              </a:solidFill>
            </a:rPr>
            <a:t>-param 4 : double discountRate</a:t>
          </a:r>
        </a:p>
        <a:p>
          <a:pPr algn="l"/>
          <a:r>
            <a:rPr lang="en-US" altLang="ko-KR" sz="1100" b="1" baseline="0">
              <a:solidFill>
                <a:schemeClr val="bg1"/>
              </a:solidFill>
            </a:rPr>
            <a:t>-param 5 : double discountFactor</a:t>
          </a:r>
        </a:p>
      </xdr:txBody>
    </xdr:sp>
    <xdr:clientData/>
  </xdr:twoCellAnchor>
  <xdr:twoCellAnchor>
    <xdr:from>
      <xdr:col>7</xdr:col>
      <xdr:colOff>3</xdr:colOff>
      <xdr:row>64</xdr:row>
      <xdr:rowOff>203026</xdr:rowOff>
    </xdr:from>
    <xdr:to>
      <xdr:col>7</xdr:col>
      <xdr:colOff>11769</xdr:colOff>
      <xdr:row>70</xdr:row>
      <xdr:rowOff>202107</xdr:rowOff>
    </xdr:to>
    <xdr:cxnSp macro="">
      <xdr:nvCxnSpPr>
        <xdr:cNvPr id="226" name="직선 화살표 연결선 225">
          <a:extLst>
            <a:ext uri="{FF2B5EF4-FFF2-40B4-BE49-F238E27FC236}">
              <a16:creationId xmlns="" xmlns:a16="http://schemas.microsoft.com/office/drawing/2014/main" id="{00000000-0008-0000-0200-0000E2000000}"/>
            </a:ext>
          </a:extLst>
        </xdr:cNvPr>
        <xdr:cNvCxnSpPr/>
      </xdr:nvCxnSpPr>
      <xdr:spPr>
        <a:xfrm>
          <a:off x="4784915" y="14031085"/>
          <a:ext cx="11766" cy="1276551"/>
        </a:xfrm>
        <a:prstGeom prst="straightConnector1">
          <a:avLst/>
        </a:prstGeom>
        <a:ln w="63500">
          <a:solidFill>
            <a:schemeClr val="accent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82</xdr:row>
      <xdr:rowOff>56029</xdr:rowOff>
    </xdr:from>
    <xdr:to>
      <xdr:col>7</xdr:col>
      <xdr:colOff>1</xdr:colOff>
      <xdr:row>85</xdr:row>
      <xdr:rowOff>89647</xdr:rowOff>
    </xdr:to>
    <xdr:cxnSp macro="">
      <xdr:nvCxnSpPr>
        <xdr:cNvPr id="227" name="직선 화살표 연결선 226">
          <a:extLst>
            <a:ext uri="{FF2B5EF4-FFF2-40B4-BE49-F238E27FC236}">
              <a16:creationId xmlns="" xmlns:a16="http://schemas.microsoft.com/office/drawing/2014/main" id="{00000000-0008-0000-0200-0000E3000000}"/>
            </a:ext>
          </a:extLst>
        </xdr:cNvPr>
        <xdr:cNvCxnSpPr/>
      </xdr:nvCxnSpPr>
      <xdr:spPr>
        <a:xfrm flipH="1">
          <a:off x="4784912" y="17716500"/>
          <a:ext cx="1" cy="672353"/>
        </a:xfrm>
        <a:prstGeom prst="straightConnector1">
          <a:avLst/>
        </a:prstGeom>
        <a:ln w="63500">
          <a:solidFill>
            <a:schemeClr val="accent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683558</xdr:colOff>
      <xdr:row>85</xdr:row>
      <xdr:rowOff>98972</xdr:rowOff>
    </xdr:from>
    <xdr:ext cx="2745441" cy="580159"/>
    <xdr:sp macro="" textlink="">
      <xdr:nvSpPr>
        <xdr:cNvPr id="232" name="TextBox 231">
          <a:extLst>
            <a:ext uri="{FF2B5EF4-FFF2-40B4-BE49-F238E27FC236}">
              <a16:creationId xmlns="" xmlns:a16="http://schemas.microsoft.com/office/drawing/2014/main" id="{00000000-0008-0000-0200-0000E8000000}"/>
            </a:ext>
          </a:extLst>
        </xdr:cNvPr>
        <xdr:cNvSpPr txBox="1"/>
      </xdr:nvSpPr>
      <xdr:spPr>
        <a:xfrm>
          <a:off x="3417793" y="18398178"/>
          <a:ext cx="2745441" cy="580159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ko-KR" sz="1100" b="1"/>
            <a:t>NET</a:t>
          </a:r>
          <a:r>
            <a:rPr lang="en-US" altLang="ko-KR" sz="1100" b="1" baseline="0"/>
            <a:t> PV </a:t>
          </a:r>
          <a:r>
            <a:rPr lang="ko-KR" altLang="en-US" sz="1100" b="1" baseline="0"/>
            <a:t>산출</a:t>
          </a:r>
          <a:r>
            <a:rPr lang="en-US" altLang="ko-KR" sz="1100" b="1" baseline="0"/>
            <a:t/>
          </a:r>
          <a:br>
            <a:rPr lang="en-US" altLang="ko-KR" sz="1100" b="1" baseline="0"/>
          </a:br>
          <a:r>
            <a:rPr lang="en-US" altLang="ko-KR" sz="1100" b="1" baseline="0"/>
            <a:t>(FX Forward Worksheet O19 </a:t>
          </a:r>
          <a:r>
            <a:rPr lang="ko-KR" altLang="en-US" sz="1100" b="1" baseline="0"/>
            <a:t>셀 산식 참고</a:t>
          </a:r>
          <a:r>
            <a:rPr lang="en-US" altLang="ko-KR" sz="1100" b="1" baseline="0"/>
            <a:t>) </a:t>
          </a:r>
          <a:endParaRPr lang="ko-KR" altLang="en-US" sz="1100" b="1"/>
        </a:p>
      </xdr:txBody>
    </xdr:sp>
    <xdr:clientData/>
  </xdr:oneCellAnchor>
  <xdr:twoCellAnchor>
    <xdr:from>
      <xdr:col>15</xdr:col>
      <xdr:colOff>224118</xdr:colOff>
      <xdr:row>32</xdr:row>
      <xdr:rowOff>76561</xdr:rowOff>
    </xdr:from>
    <xdr:to>
      <xdr:col>20</xdr:col>
      <xdr:colOff>442212</xdr:colOff>
      <xdr:row>39</xdr:row>
      <xdr:rowOff>100853</xdr:rowOff>
    </xdr:to>
    <xdr:sp macro="" textlink="">
      <xdr:nvSpPr>
        <xdr:cNvPr id="234" name="직사각형 233">
          <a:extLst>
            <a:ext uri="{FF2B5EF4-FFF2-40B4-BE49-F238E27FC236}">
              <a16:creationId xmlns="" xmlns:a16="http://schemas.microsoft.com/office/drawing/2014/main" id="{00000000-0008-0000-0200-0000EA000000}"/>
            </a:ext>
          </a:extLst>
        </xdr:cNvPr>
        <xdr:cNvSpPr/>
      </xdr:nvSpPr>
      <xdr:spPr>
        <a:xfrm>
          <a:off x="10477500" y="7091443"/>
          <a:ext cx="3635888" cy="1514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US" altLang="ko-KR" sz="1100" b="1"/>
            <a:t>void</a:t>
          </a:r>
          <a:r>
            <a:rPr lang="en-US" altLang="ko-KR" sz="1100" b="1" baseline="0"/>
            <a:t> girrRiskDeltaFactor</a:t>
          </a:r>
        </a:p>
        <a:p>
          <a:r>
            <a:rPr lang="en-US" altLang="ko-KR" sz="1100" b="1"/>
            <a:t>: FRTB-SA</a:t>
          </a:r>
          <a:r>
            <a:rPr lang="en-US" altLang="ko-KR" sz="1100" b="1" baseline="0"/>
            <a:t> </a:t>
          </a:r>
          <a:r>
            <a:rPr lang="en-US" altLang="ko-KR" sz="1100" b="1"/>
            <a:t>GIRR</a:t>
          </a:r>
          <a:r>
            <a:rPr lang="ko-KR" altLang="en-US" sz="1100" b="1"/>
            <a:t>의 </a:t>
          </a:r>
          <a:r>
            <a:rPr lang="en-US" altLang="ko-KR" sz="1100" b="1"/>
            <a:t>Interest Rate Curve</a:t>
          </a:r>
          <a:r>
            <a:rPr lang="ko-KR" altLang="en-US" sz="1100" b="1"/>
            <a:t>와 </a:t>
          </a:r>
          <a:r>
            <a:rPr lang="en-US" altLang="ko-KR" sz="1100" b="1"/>
            <a:t>Tenor </a:t>
          </a:r>
          <a:r>
            <a:rPr lang="ko-KR" altLang="en-US" sz="1100" b="1"/>
            <a:t>생성</a:t>
          </a:r>
          <a:r>
            <a:rPr lang="en-US" altLang="ko-KR" sz="1100" b="1" baseline="0"/>
            <a:t/>
          </a:r>
          <a:br>
            <a:rPr lang="en-US" altLang="ko-KR" sz="1100" b="1" baseline="0"/>
          </a:br>
          <a:r>
            <a:rPr lang="ko-KR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입력값 </a:t>
          </a:r>
          <a:r>
            <a:rPr lang="en-US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(Curve WorkSheet - G</a:t>
          </a:r>
          <a:r>
            <a:rPr lang="ko-KR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열</a:t>
          </a:r>
          <a:r>
            <a:rPr lang="en-US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, K</a:t>
          </a:r>
          <a:r>
            <a:rPr lang="ko-KR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열</a:t>
          </a:r>
          <a:r>
            <a:rPr lang="en-US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r>
            <a:rPr lang="ko-KR" altLang="en-US" sz="1100" b="1" baseline="0"/>
            <a:t>산출값 </a:t>
          </a:r>
          <a:r>
            <a:rPr lang="en-US" altLang="ko-KR" sz="1100" b="1" baseline="0"/>
            <a:t>(Curve WorkSheet - Q</a:t>
          </a:r>
          <a:r>
            <a:rPr lang="ko-KR" altLang="en-US" sz="1100" b="1" baseline="0"/>
            <a:t>열 </a:t>
          </a:r>
          <a:r>
            <a:rPr lang="en-US" altLang="ko-KR" sz="1100" b="1" baseline="0"/>
            <a:t>,R</a:t>
          </a:r>
          <a:r>
            <a:rPr lang="ko-KR" altLang="en-US" sz="1100" b="1" baseline="0"/>
            <a:t>열</a:t>
          </a:r>
          <a:r>
            <a:rPr lang="en-US" altLang="ko-KR" sz="1100" b="1" baseline="0"/>
            <a:t>)</a:t>
          </a:r>
          <a:endParaRPr lang="en-US" altLang="ko-KR" sz="1100" baseline="0"/>
        </a:p>
        <a:p>
          <a:pPr algn="l"/>
          <a:r>
            <a:rPr lang="en-US" altLang="ko-KR" sz="1100" baseline="0"/>
            <a:t/>
          </a:r>
          <a:br>
            <a:rPr lang="en-US" altLang="ko-KR" sz="1100" baseline="0"/>
          </a:br>
          <a:r>
            <a:rPr lang="en-US" altLang="ko-KR" sz="1100" b="1" baseline="0">
              <a:solidFill>
                <a:schemeClr val="bg1"/>
              </a:solidFill>
            </a:rPr>
            <a:t>-param 1 : char[] currncy</a:t>
          </a:r>
        </a:p>
        <a:p>
          <a:pPr algn="l"/>
          <a:r>
            <a:rPr lang="en-US" altLang="ko-KR" sz="1100" b="1" baseline="0">
              <a:solidFill>
                <a:schemeClr val="bg1"/>
              </a:solidFill>
            </a:rPr>
            <a:t>-param 2 : char[] discountCurve</a:t>
          </a:r>
        </a:p>
      </xdr:txBody>
    </xdr:sp>
    <xdr:clientData/>
  </xdr:twoCellAnchor>
  <xdr:twoCellAnchor>
    <xdr:from>
      <xdr:col>17</xdr:col>
      <xdr:colOff>672353</xdr:colOff>
      <xdr:row>40</xdr:row>
      <xdr:rowOff>67236</xdr:rowOff>
    </xdr:from>
    <xdr:to>
      <xdr:col>18</xdr:col>
      <xdr:colOff>0</xdr:colOff>
      <xdr:row>43</xdr:row>
      <xdr:rowOff>0</xdr:rowOff>
    </xdr:to>
    <xdr:cxnSp macro="">
      <xdr:nvCxnSpPr>
        <xdr:cNvPr id="235" name="직선 화살표 연결선 234">
          <a:extLst>
            <a:ext uri="{FF2B5EF4-FFF2-40B4-BE49-F238E27FC236}">
              <a16:creationId xmlns="" xmlns:a16="http://schemas.microsoft.com/office/drawing/2014/main" id="{00000000-0008-0000-0200-0000EB000000}"/>
            </a:ext>
          </a:extLst>
        </xdr:cNvPr>
        <xdr:cNvCxnSpPr/>
      </xdr:nvCxnSpPr>
      <xdr:spPr>
        <a:xfrm flipH="1">
          <a:off x="12292853" y="8785412"/>
          <a:ext cx="11206" cy="571500"/>
        </a:xfrm>
        <a:prstGeom prst="straightConnector1">
          <a:avLst/>
        </a:prstGeom>
        <a:ln w="63500">
          <a:solidFill>
            <a:schemeClr val="accent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19</xdr:col>
      <xdr:colOff>33617</xdr:colOff>
      <xdr:row>40</xdr:row>
      <xdr:rowOff>155001</xdr:rowOff>
    </xdr:from>
    <xdr:ext cx="1943481" cy="517353"/>
    <xdr:sp macro="" textlink="">
      <xdr:nvSpPr>
        <xdr:cNvPr id="237" name="TextBox 236">
          <a:extLst>
            <a:ext uri="{FF2B5EF4-FFF2-40B4-BE49-F238E27FC236}">
              <a16:creationId xmlns="" xmlns:a16="http://schemas.microsoft.com/office/drawing/2014/main" id="{00000000-0008-0000-0200-0000ED000000}"/>
            </a:ext>
          </a:extLst>
        </xdr:cNvPr>
        <xdr:cNvSpPr txBox="1"/>
      </xdr:nvSpPr>
      <xdr:spPr>
        <a:xfrm>
          <a:off x="13021235" y="8873177"/>
          <a:ext cx="1943481" cy="517353"/>
        </a:xfrm>
        <a:prstGeom prst="rect">
          <a:avLst/>
        </a:prstGeom>
        <a:noFill/>
        <a:ln w="38100">
          <a:solidFill>
            <a:schemeClr val="dk1"/>
          </a:solidFill>
          <a:prstDash val="sys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ko-KR" sz="1100" b="1" baseline="0"/>
            <a:t>for loop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산출된 </a:t>
          </a:r>
          <a:r>
            <a:rPr lang="en-US" altLang="ko-KR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Interest</a:t>
          </a:r>
          <a:r>
            <a:rPr lang="en-US" altLang="ko-KR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Rate Curve </a:t>
          </a:r>
          <a:r>
            <a:rPr lang="ko-KR" altLang="ko-KR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별</a:t>
          </a:r>
          <a:endParaRPr lang="ko-KR" altLang="ko-KR">
            <a:effectLst/>
          </a:endParaRPr>
        </a:p>
        <a:p>
          <a:endParaRPr lang="ko-KR" altLang="en-US" sz="1100" b="1"/>
        </a:p>
      </xdr:txBody>
    </xdr:sp>
    <xdr:clientData/>
  </xdr:oneCellAnchor>
  <xdr:twoCellAnchor>
    <xdr:from>
      <xdr:col>14</xdr:col>
      <xdr:colOff>156882</xdr:colOff>
      <xdr:row>42</xdr:row>
      <xdr:rowOff>11206</xdr:rowOff>
    </xdr:from>
    <xdr:to>
      <xdr:col>15</xdr:col>
      <xdr:colOff>224118</xdr:colOff>
      <xdr:row>46</xdr:row>
      <xdr:rowOff>44825</xdr:rowOff>
    </xdr:to>
    <xdr:cxnSp macro="">
      <xdr:nvCxnSpPr>
        <xdr:cNvPr id="240" name="직선 화살표 연결선 239">
          <a:extLst>
            <a:ext uri="{FF2B5EF4-FFF2-40B4-BE49-F238E27FC236}">
              <a16:creationId xmlns="" xmlns:a16="http://schemas.microsoft.com/office/drawing/2014/main" id="{00000000-0008-0000-0200-0000F0000000}"/>
            </a:ext>
          </a:extLst>
        </xdr:cNvPr>
        <xdr:cNvCxnSpPr/>
      </xdr:nvCxnSpPr>
      <xdr:spPr>
        <a:xfrm flipH="1" flipV="1">
          <a:off x="9726706" y="9155206"/>
          <a:ext cx="750794" cy="885266"/>
        </a:xfrm>
        <a:prstGeom prst="straightConnector1">
          <a:avLst/>
        </a:prstGeom>
        <a:ln w="254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156882</xdr:colOff>
      <xdr:row>40</xdr:row>
      <xdr:rowOff>115322</xdr:rowOff>
    </xdr:from>
    <xdr:to>
      <xdr:col>15</xdr:col>
      <xdr:colOff>470647</xdr:colOff>
      <xdr:row>45</xdr:row>
      <xdr:rowOff>190500</xdr:rowOff>
    </xdr:to>
    <xdr:cxnSp macro="">
      <xdr:nvCxnSpPr>
        <xdr:cNvPr id="244" name="직선 화살표 연결선 243">
          <a:extLst>
            <a:ext uri="{FF2B5EF4-FFF2-40B4-BE49-F238E27FC236}">
              <a16:creationId xmlns="" xmlns:a16="http://schemas.microsoft.com/office/drawing/2014/main" id="{00000000-0008-0000-0200-0000F4000000}"/>
            </a:ext>
          </a:extLst>
        </xdr:cNvPr>
        <xdr:cNvCxnSpPr>
          <a:stCxn id="112" idx="3"/>
        </xdr:cNvCxnSpPr>
      </xdr:nvCxnSpPr>
      <xdr:spPr>
        <a:xfrm>
          <a:off x="9726706" y="8833498"/>
          <a:ext cx="997323" cy="1139737"/>
        </a:xfrm>
        <a:prstGeom prst="straightConnector1">
          <a:avLst/>
        </a:prstGeom>
        <a:ln w="254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156882</xdr:colOff>
      <xdr:row>55</xdr:row>
      <xdr:rowOff>190499</xdr:rowOff>
    </xdr:from>
    <xdr:to>
      <xdr:col>15</xdr:col>
      <xdr:colOff>253254</xdr:colOff>
      <xdr:row>58</xdr:row>
      <xdr:rowOff>51548</xdr:rowOff>
    </xdr:to>
    <xdr:cxnSp macro="">
      <xdr:nvCxnSpPr>
        <xdr:cNvPr id="249" name="직선 화살표 연결선 248">
          <a:extLst>
            <a:ext uri="{FF2B5EF4-FFF2-40B4-BE49-F238E27FC236}">
              <a16:creationId xmlns="" xmlns:a16="http://schemas.microsoft.com/office/drawing/2014/main" id="{00000000-0008-0000-0200-0000F9000000}"/>
            </a:ext>
          </a:extLst>
        </xdr:cNvPr>
        <xdr:cNvCxnSpPr>
          <a:endCxn id="136" idx="3"/>
        </xdr:cNvCxnSpPr>
      </xdr:nvCxnSpPr>
      <xdr:spPr>
        <a:xfrm flipH="1" flipV="1">
          <a:off x="9726706" y="12102352"/>
          <a:ext cx="779930" cy="499784"/>
        </a:xfrm>
        <a:prstGeom prst="straightConnector1">
          <a:avLst/>
        </a:prstGeom>
        <a:ln w="254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230841</xdr:colOff>
      <xdr:row>65</xdr:row>
      <xdr:rowOff>153720</xdr:rowOff>
    </xdr:from>
    <xdr:to>
      <xdr:col>20</xdr:col>
      <xdr:colOff>493059</xdr:colOff>
      <xdr:row>73</xdr:row>
      <xdr:rowOff>186018</xdr:rowOff>
    </xdr:to>
    <xdr:sp macro="" textlink="">
      <xdr:nvSpPr>
        <xdr:cNvPr id="252" name="직사각형 251">
          <a:extLst>
            <a:ext uri="{FF2B5EF4-FFF2-40B4-BE49-F238E27FC236}">
              <a16:creationId xmlns="" xmlns:a16="http://schemas.microsoft.com/office/drawing/2014/main" id="{00000000-0008-0000-0200-0000FC000000}"/>
            </a:ext>
          </a:extLst>
        </xdr:cNvPr>
        <xdr:cNvSpPr/>
      </xdr:nvSpPr>
      <xdr:spPr>
        <a:xfrm>
          <a:off x="10484223" y="14194691"/>
          <a:ext cx="3680012" cy="173559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US" altLang="ko-KR" sz="1100" b="1"/>
            <a:t>void</a:t>
          </a:r>
          <a:r>
            <a:rPr lang="en-US" altLang="ko-KR" sz="1100" b="1" baseline="0"/>
            <a:t> bootStrapZeroCurveContinuous </a:t>
          </a:r>
          <a:br>
            <a:rPr lang="en-US" altLang="ko-KR" sz="1100" b="1" baseline="0"/>
          </a:br>
          <a:r>
            <a:rPr lang="en-US" altLang="ko-KR" sz="1100" b="1"/>
            <a:t>: </a:t>
          </a:r>
          <a:r>
            <a:rPr lang="ko-KR" altLang="en-US" sz="1100" b="1"/>
            <a:t>할인 커브 정보를 통해 </a:t>
          </a:r>
          <a:r>
            <a:rPr lang="en-US" altLang="ko-KR" sz="1100" b="1"/>
            <a:t>Discount</a:t>
          </a:r>
          <a:r>
            <a:rPr lang="en-US" altLang="ko-KR" sz="1100" b="1" baseline="0"/>
            <a:t> Factor, Zero rate </a:t>
          </a:r>
          <a:r>
            <a:rPr lang="ko-KR" altLang="en-US" sz="1100" b="1" baseline="0"/>
            <a:t>산출</a:t>
          </a:r>
          <a:endParaRPr lang="en-US" altLang="ko-KR" sz="1100" b="1" baseline="0"/>
        </a:p>
        <a:p>
          <a:r>
            <a:rPr lang="ko-KR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입력값 </a:t>
          </a:r>
          <a:r>
            <a:rPr lang="en-US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(Curve WorkSheet - H</a:t>
          </a:r>
          <a:r>
            <a:rPr lang="ko-KR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열 </a:t>
          </a:r>
          <a:r>
            <a:rPr lang="en-US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~ L</a:t>
          </a:r>
          <a:r>
            <a:rPr lang="ko-KR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열</a:t>
          </a:r>
          <a:r>
            <a:rPr lang="en-US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algn="l"/>
          <a:r>
            <a:rPr lang="ko-KR" altLang="en-US" sz="1100" b="1" baseline="0"/>
            <a:t>산출값 </a:t>
          </a:r>
          <a:r>
            <a:rPr lang="en-US" altLang="ko-KR" sz="1100" b="1" baseline="0"/>
            <a:t>(Curve WorkSheet - M</a:t>
          </a:r>
          <a:r>
            <a:rPr lang="ko-KR" altLang="en-US" sz="1100" b="1" baseline="0"/>
            <a:t>열 </a:t>
          </a:r>
          <a:r>
            <a:rPr lang="en-US" altLang="ko-KR" sz="1100" b="1" baseline="0"/>
            <a:t>~ N</a:t>
          </a:r>
          <a:r>
            <a:rPr lang="ko-KR" altLang="en-US" sz="1100" b="1" baseline="0"/>
            <a:t>열</a:t>
          </a:r>
          <a:r>
            <a:rPr lang="en-US" altLang="ko-KR" sz="1100" b="1" baseline="0"/>
            <a:t>)</a:t>
          </a:r>
          <a:endParaRPr lang="en-US" altLang="ko-KR" sz="1100" baseline="0"/>
        </a:p>
        <a:p>
          <a:pPr algn="l"/>
          <a:r>
            <a:rPr lang="en-US" altLang="ko-KR" sz="1100" baseline="0"/>
            <a:t/>
          </a:r>
          <a:br>
            <a:rPr lang="en-US" altLang="ko-KR" sz="1100" baseline="0"/>
          </a:br>
          <a:r>
            <a:rPr lang="en-US" altLang="ko-KR" sz="1100" b="1" baseline="0">
              <a:solidFill>
                <a:schemeClr val="bg1"/>
              </a:solidFill>
            </a:rPr>
            <a:t>-param 1 : char[] curveId</a:t>
          </a:r>
        </a:p>
        <a:p>
          <a:pPr algn="l"/>
          <a:r>
            <a:rPr lang="en-US" altLang="ko-KR" sz="1100" b="1" baseline="0">
              <a:solidFill>
                <a:schemeClr val="bg1"/>
              </a:solidFill>
            </a:rPr>
            <a:t>-param 2 : float yearFraction</a:t>
          </a:r>
        </a:p>
        <a:p>
          <a:pPr algn="l"/>
          <a:r>
            <a:rPr lang="en-US" altLang="ko-KR" sz="1100" b="1" baseline="0">
              <a:solidFill>
                <a:schemeClr val="bg1"/>
              </a:solidFill>
            </a:rPr>
            <a:t>-param 3 : double marketData</a:t>
          </a:r>
        </a:p>
      </xdr:txBody>
    </xdr:sp>
    <xdr:clientData/>
  </xdr:twoCellAnchor>
  <xdr:twoCellAnchor>
    <xdr:from>
      <xdr:col>18</xdr:col>
      <xdr:colOff>7844</xdr:colOff>
      <xdr:row>74</xdr:row>
      <xdr:rowOff>168088</xdr:rowOff>
    </xdr:from>
    <xdr:to>
      <xdr:col>18</xdr:col>
      <xdr:colOff>11206</xdr:colOff>
      <xdr:row>76</xdr:row>
      <xdr:rowOff>190500</xdr:rowOff>
    </xdr:to>
    <xdr:cxnSp macro="">
      <xdr:nvCxnSpPr>
        <xdr:cNvPr id="254" name="직선 화살표 연결선 253">
          <a:extLst>
            <a:ext uri="{FF2B5EF4-FFF2-40B4-BE49-F238E27FC236}">
              <a16:creationId xmlns="" xmlns:a16="http://schemas.microsoft.com/office/drawing/2014/main" id="{00000000-0008-0000-0200-0000FE000000}"/>
            </a:ext>
          </a:extLst>
        </xdr:cNvPr>
        <xdr:cNvCxnSpPr/>
      </xdr:nvCxnSpPr>
      <xdr:spPr>
        <a:xfrm>
          <a:off x="12311903" y="16125264"/>
          <a:ext cx="3362" cy="448236"/>
        </a:xfrm>
        <a:prstGeom prst="straightConnector1">
          <a:avLst/>
        </a:prstGeom>
        <a:ln w="63500">
          <a:solidFill>
            <a:schemeClr val="accent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264458</xdr:colOff>
      <xdr:row>77</xdr:row>
      <xdr:rowOff>131306</xdr:rowOff>
    </xdr:from>
    <xdr:to>
      <xdr:col>20</xdr:col>
      <xdr:colOff>482552</xdr:colOff>
      <xdr:row>88</xdr:row>
      <xdr:rowOff>73959</xdr:rowOff>
    </xdr:to>
    <xdr:sp macro="" textlink="">
      <xdr:nvSpPr>
        <xdr:cNvPr id="256" name="직사각형 255">
          <a:extLst>
            <a:ext uri="{FF2B5EF4-FFF2-40B4-BE49-F238E27FC236}">
              <a16:creationId xmlns="" xmlns:a16="http://schemas.microsoft.com/office/drawing/2014/main" id="{00000000-0008-0000-0200-000000010000}"/>
            </a:ext>
          </a:extLst>
        </xdr:cNvPr>
        <xdr:cNvSpPr/>
      </xdr:nvSpPr>
      <xdr:spPr>
        <a:xfrm>
          <a:off x="10517840" y="16727218"/>
          <a:ext cx="3635888" cy="228468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US" altLang="ko-KR" sz="1100" b="1"/>
            <a:t>void</a:t>
          </a:r>
          <a:r>
            <a:rPr lang="en-US" altLang="ko-KR" sz="1100" b="1" baseline="0"/>
            <a:t> FXF_V </a:t>
          </a:r>
          <a:br>
            <a:rPr lang="en-US" altLang="ko-KR" sz="1100" b="1" baseline="0"/>
          </a:br>
          <a:r>
            <a:rPr lang="en-US" altLang="ko-KR" sz="1100" b="1" baseline="0"/>
            <a:t>: CashFlow </a:t>
          </a:r>
          <a:r>
            <a:rPr lang="ko-KR" altLang="en-US" sz="1100" b="1" baseline="0"/>
            <a:t>데이터를 이용해 </a:t>
          </a:r>
          <a:r>
            <a:rPr lang="en-US" altLang="ko-KR" sz="1100" b="1" baseline="0"/>
            <a:t>Discount Rate, Discount Factor, present value </a:t>
          </a:r>
          <a:r>
            <a:rPr lang="ko-KR" altLang="en-US" sz="1100" b="1" baseline="0"/>
            <a:t>산출</a:t>
          </a:r>
          <a:endParaRPr lang="en-US" altLang="ko-KR" sz="1100" b="1" baseline="0"/>
        </a:p>
        <a:p>
          <a:r>
            <a:rPr lang="ko-KR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입력값 </a:t>
          </a:r>
          <a:r>
            <a:rPr lang="en-US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(FX Forward WorkSheet - H</a:t>
          </a:r>
          <a:r>
            <a:rPr lang="ko-KR" altLang="en-US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열</a:t>
          </a:r>
          <a:r>
            <a:rPr lang="en-US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, J</a:t>
          </a:r>
          <a:r>
            <a:rPr lang="ko-KR" altLang="en-US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열</a:t>
          </a:r>
          <a:r>
            <a:rPr lang="en-US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, K</a:t>
          </a:r>
          <a:r>
            <a:rPr lang="ko-KR" altLang="en-US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열</a:t>
          </a:r>
          <a:r>
            <a:rPr lang="en-US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algn="l"/>
          <a:r>
            <a:rPr lang="ko-KR" altLang="en-US" sz="1100" b="1" baseline="0"/>
            <a:t>산출값 </a:t>
          </a:r>
          <a:r>
            <a:rPr lang="en-US" altLang="ko-KR" sz="1100" b="1" baseline="0"/>
            <a:t>(FX Forward WorkSheet - L</a:t>
          </a:r>
          <a:r>
            <a:rPr lang="ko-KR" altLang="en-US" sz="1100" b="1" baseline="0"/>
            <a:t>열</a:t>
          </a:r>
          <a:r>
            <a:rPr lang="en-US" altLang="ko-KR" sz="1100" b="1" baseline="0"/>
            <a:t>, M</a:t>
          </a:r>
          <a:r>
            <a:rPr lang="ko-KR" altLang="en-US" sz="1100" b="1" baseline="0"/>
            <a:t>열</a:t>
          </a:r>
          <a:r>
            <a:rPr lang="en-US" altLang="ko-KR" sz="1100" b="1" baseline="0"/>
            <a:t>, N</a:t>
          </a:r>
          <a:r>
            <a:rPr lang="ko-KR" altLang="en-US" sz="1100" b="1" baseline="0"/>
            <a:t>열</a:t>
          </a:r>
          <a:r>
            <a:rPr lang="en-US" altLang="ko-KR" sz="1100" b="1" baseline="0"/>
            <a:t>)</a:t>
          </a:r>
          <a:endParaRPr lang="en-US" altLang="ko-KR" sz="1100" baseline="0"/>
        </a:p>
        <a:p>
          <a:pPr algn="l"/>
          <a:r>
            <a:rPr lang="en-US" altLang="ko-KR" sz="1100" baseline="0"/>
            <a:t/>
          </a:r>
          <a:br>
            <a:rPr lang="en-US" altLang="ko-KR" sz="1100" baseline="0"/>
          </a:br>
          <a:r>
            <a:rPr lang="en-US" altLang="ko-KR" sz="1100" b="1" baseline="0">
              <a:solidFill>
                <a:schemeClr val="bg1"/>
              </a:solidFill>
            </a:rPr>
            <a:t>-param 1 : double principalAmount</a:t>
          </a:r>
        </a:p>
        <a:p>
          <a:pPr algn="l"/>
          <a:r>
            <a:rPr lang="en-US" altLang="ko-KR" sz="1100" b="1" baseline="0">
              <a:solidFill>
                <a:schemeClr val="bg1"/>
              </a:solidFill>
            </a:rPr>
            <a:t>-param 2 : double yearFraction</a:t>
          </a:r>
        </a:p>
        <a:p>
          <a:pPr algn="l"/>
          <a:r>
            <a:rPr lang="en-US" altLang="ko-KR" sz="1100" b="1" baseline="0">
              <a:solidFill>
                <a:schemeClr val="bg1"/>
              </a:solidFill>
            </a:rPr>
            <a:t>-param 3 : char[] discountCurve</a:t>
          </a:r>
        </a:p>
        <a:p>
          <a:pPr algn="l"/>
          <a:r>
            <a:rPr lang="en-US" altLang="ko-KR" sz="1100" b="1" baseline="0">
              <a:solidFill>
                <a:schemeClr val="bg1"/>
              </a:solidFill>
            </a:rPr>
            <a:t>-param 4 : double discountRate</a:t>
          </a:r>
        </a:p>
        <a:p>
          <a:pPr algn="l"/>
          <a:r>
            <a:rPr lang="en-US" altLang="ko-KR" sz="1100" b="1" baseline="0">
              <a:solidFill>
                <a:schemeClr val="bg1"/>
              </a:solidFill>
            </a:rPr>
            <a:t>-param 5 : double discountFactor</a:t>
          </a:r>
        </a:p>
      </xdr:txBody>
    </xdr:sp>
    <xdr:clientData/>
  </xdr:twoCellAnchor>
  <xdr:twoCellAnchor>
    <xdr:from>
      <xdr:col>18</xdr:col>
      <xdr:colOff>11208</xdr:colOff>
      <xdr:row>89</xdr:row>
      <xdr:rowOff>20530</xdr:rowOff>
    </xdr:from>
    <xdr:to>
      <xdr:col>18</xdr:col>
      <xdr:colOff>22412</xdr:colOff>
      <xdr:row>91</xdr:row>
      <xdr:rowOff>56030</xdr:rowOff>
    </xdr:to>
    <xdr:cxnSp macro="">
      <xdr:nvCxnSpPr>
        <xdr:cNvPr id="258" name="직선 화살표 연결선 257">
          <a:extLst>
            <a:ext uri="{FF2B5EF4-FFF2-40B4-BE49-F238E27FC236}">
              <a16:creationId xmlns="" xmlns:a16="http://schemas.microsoft.com/office/drawing/2014/main" id="{00000000-0008-0000-0200-000002010000}"/>
            </a:ext>
          </a:extLst>
        </xdr:cNvPr>
        <xdr:cNvCxnSpPr/>
      </xdr:nvCxnSpPr>
      <xdr:spPr>
        <a:xfrm>
          <a:off x="12315267" y="19171383"/>
          <a:ext cx="11204" cy="461323"/>
        </a:xfrm>
        <a:prstGeom prst="straightConnector1">
          <a:avLst/>
        </a:prstGeom>
        <a:ln w="63500">
          <a:solidFill>
            <a:schemeClr val="accent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16</xdr:col>
      <xdr:colOff>224117</xdr:colOff>
      <xdr:row>91</xdr:row>
      <xdr:rowOff>121383</xdr:rowOff>
    </xdr:from>
    <xdr:ext cx="2745441" cy="580159"/>
    <xdr:sp macro="" textlink="">
      <xdr:nvSpPr>
        <xdr:cNvPr id="260" name="TextBox 259">
          <a:extLst>
            <a:ext uri="{FF2B5EF4-FFF2-40B4-BE49-F238E27FC236}">
              <a16:creationId xmlns=""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11161058" y="19698059"/>
          <a:ext cx="2745441" cy="580159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ko-KR" sz="1100" b="1"/>
            <a:t>Interest</a:t>
          </a:r>
          <a:r>
            <a:rPr lang="en-US" altLang="ko-KR" sz="1100" b="1" baseline="0"/>
            <a:t> Rate Curve </a:t>
          </a:r>
          <a:r>
            <a:rPr lang="ko-KR" altLang="en-US" sz="1100" b="1" baseline="0"/>
            <a:t>별 </a:t>
          </a:r>
          <a:r>
            <a:rPr lang="en-US" altLang="ko-KR" sz="1100" b="1" baseline="0"/>
            <a:t>Sensitivity </a:t>
          </a:r>
          <a:r>
            <a:rPr lang="ko-KR" altLang="en-US" sz="1100" b="1" baseline="0"/>
            <a:t>산출</a:t>
          </a:r>
          <a:r>
            <a:rPr lang="en-US" altLang="ko-KR" sz="1100" b="1" baseline="0"/>
            <a:t/>
          </a:r>
          <a:br>
            <a:rPr lang="en-US" altLang="ko-KR" sz="1100" b="1" baseline="0"/>
          </a:br>
          <a:r>
            <a:rPr lang="en-US" altLang="ko-KR" sz="1100" b="1" baseline="0"/>
            <a:t>(FX Forward Worksheet S</a:t>
          </a:r>
          <a:r>
            <a:rPr lang="ko-KR" altLang="en-US" sz="1100" b="1" baseline="0"/>
            <a:t>열</a:t>
          </a:r>
          <a:r>
            <a:rPr lang="en-US" altLang="ko-KR" sz="1100" b="1" baseline="0"/>
            <a:t>)</a:t>
          </a:r>
          <a:endParaRPr lang="ko-KR" altLang="en-US" sz="1100" b="1"/>
        </a:p>
      </xdr:txBody>
    </xdr:sp>
    <xdr:clientData/>
  </xdr:oneCellAnchor>
  <xdr:twoCellAnchor>
    <xdr:from>
      <xdr:col>10</xdr:col>
      <xdr:colOff>247463</xdr:colOff>
      <xdr:row>71</xdr:row>
      <xdr:rowOff>82162</xdr:rowOff>
    </xdr:from>
    <xdr:to>
      <xdr:col>14</xdr:col>
      <xdr:colOff>114860</xdr:colOff>
      <xdr:row>84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="" xmlns:a16="http://schemas.microsoft.com/office/drawing/2014/main" id="{5FCB38E8-A85D-4812-A1E5-B5C4F93336C2}"/>
            </a:ext>
          </a:extLst>
        </xdr:cNvPr>
        <xdr:cNvSpPr/>
      </xdr:nvSpPr>
      <xdr:spPr>
        <a:xfrm>
          <a:off x="7083051" y="15400603"/>
          <a:ext cx="2601633" cy="2685691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vert="horz" rtlCol="0" anchor="t" anchorCtr="0"/>
        <a:lstStyle/>
        <a:p>
          <a:pPr algn="l"/>
          <a:r>
            <a:rPr lang="en-US" altLang="ko-KR" sz="1100" b="1" baseline="0">
              <a:solidFill>
                <a:sysClr val="windowText" lastClr="000000"/>
              </a:solidFill>
            </a:rPr>
            <a:t>double linterp</a:t>
          </a:r>
          <a:br>
            <a:rPr lang="en-US" altLang="ko-KR" sz="1100" b="1" baseline="0">
              <a:solidFill>
                <a:sysClr val="windowText" lastClr="000000"/>
              </a:solidFill>
            </a:rPr>
          </a:br>
          <a:r>
            <a:rPr lang="en-US" altLang="ko-KR" sz="1100" b="1" baseline="0">
              <a:solidFill>
                <a:sysClr val="windowText" lastClr="000000"/>
              </a:solidFill>
            </a:rPr>
            <a:t>(yearFractions, zeroRates, buy Side yearFraction)</a:t>
          </a:r>
        </a:p>
        <a:p>
          <a:pPr algn="l"/>
          <a:r>
            <a:rPr lang="en-US" altLang="ko-KR" sz="1100" b="1">
              <a:solidFill>
                <a:sysClr val="windowText" lastClr="000000"/>
              </a:solidFill>
            </a:rPr>
            <a:t>:</a:t>
          </a:r>
          <a:r>
            <a:rPr lang="en-US" altLang="ko-KR" sz="1100" b="1" baseline="0">
              <a:solidFill>
                <a:sysClr val="windowText" lastClr="000000"/>
              </a:solidFill>
            </a:rPr>
            <a:t> </a:t>
          </a:r>
          <a:r>
            <a:rPr lang="ko-KR" altLang="en-US" sz="1100" b="1" baseline="0">
              <a:solidFill>
                <a:sysClr val="windowText" lastClr="000000"/>
              </a:solidFill>
            </a:rPr>
            <a:t>특정 </a:t>
          </a:r>
          <a:r>
            <a:rPr lang="en-US" altLang="ko-KR" sz="1100" b="1" baseline="0">
              <a:solidFill>
                <a:sysClr val="windowText" lastClr="000000"/>
              </a:solidFill>
            </a:rPr>
            <a:t>yearFraction</a:t>
          </a:r>
          <a:r>
            <a:rPr lang="ko-KR" altLang="en-US" sz="1100" b="1" baseline="0">
              <a:solidFill>
                <a:sysClr val="windowText" lastClr="000000"/>
              </a:solidFill>
            </a:rPr>
            <a:t>에 해당하는 </a:t>
          </a:r>
          <a:r>
            <a:rPr lang="en-US" altLang="ko-KR" sz="1100" b="1" baseline="0">
              <a:solidFill>
                <a:sysClr val="windowText" lastClr="000000"/>
              </a:solidFill>
            </a:rPr>
            <a:t>Zero Rate</a:t>
          </a:r>
          <a:r>
            <a:rPr lang="ko-KR" altLang="en-US" sz="1100" b="1" baseline="0">
              <a:solidFill>
                <a:sysClr val="windowText" lastClr="000000"/>
              </a:solidFill>
            </a:rPr>
            <a:t>를 보간해 리턴</a:t>
          </a:r>
          <a:r>
            <a:rPr lang="en-US" altLang="ko-KR" sz="1100" b="1" baseline="0">
              <a:solidFill>
                <a:sysClr val="windowText" lastClr="000000"/>
              </a:solidFill>
            </a:rPr>
            <a:t/>
          </a:r>
          <a:br>
            <a:rPr lang="en-US" altLang="ko-KR" sz="1100" b="1" baseline="0">
              <a:solidFill>
                <a:sysClr val="windowText" lastClr="000000"/>
              </a:solidFill>
            </a:rPr>
          </a:br>
          <a:r>
            <a:rPr lang="en-US" altLang="ko-KR" sz="1100" b="1" baseline="0">
              <a:solidFill>
                <a:sysClr val="windowText" lastClr="000000"/>
              </a:solidFill>
            </a:rPr>
            <a:t/>
          </a:r>
          <a:br>
            <a:rPr lang="en-US" altLang="ko-KR" sz="1100" b="1" baseline="0">
              <a:solidFill>
                <a:sysClr val="windowText" lastClr="000000"/>
              </a:solidFill>
            </a:rPr>
          </a:br>
          <a:r>
            <a:rPr lang="ko-KR" altLang="en-US" sz="1100" b="1" baseline="0">
              <a:solidFill>
                <a:sysClr val="windowText" lastClr="000000"/>
              </a:solidFill>
            </a:rPr>
            <a:t>입력값 </a:t>
          </a:r>
          <a:r>
            <a:rPr lang="en-US" altLang="ko-KR" sz="1100" b="1" baseline="0">
              <a:solidFill>
                <a:sysClr val="windowText" lastClr="000000"/>
              </a:solidFill>
            </a:rPr>
            <a:t>(Curve WorkSheet - K</a:t>
          </a:r>
          <a:r>
            <a:rPr lang="ko-KR" altLang="en-US" sz="1100" b="1" baseline="0">
              <a:solidFill>
                <a:sysClr val="windowText" lastClr="000000"/>
              </a:solidFill>
            </a:rPr>
            <a:t>열</a:t>
          </a:r>
          <a:r>
            <a:rPr lang="en-US" altLang="ko-KR" sz="1100" b="1" baseline="0">
              <a:solidFill>
                <a:sysClr val="windowText" lastClr="000000"/>
              </a:solidFill>
            </a:rPr>
            <a:t>, N</a:t>
          </a:r>
          <a:r>
            <a:rPr lang="ko-KR" altLang="en-US" sz="1100" b="1" baseline="0">
              <a:solidFill>
                <a:sysClr val="windowText" lastClr="000000"/>
              </a:solidFill>
            </a:rPr>
            <a:t>열</a:t>
          </a:r>
          <a:r>
            <a:rPr lang="en-US" altLang="ko-KR" sz="1100" b="1" baseline="0">
              <a:solidFill>
                <a:sysClr val="windowText" lastClr="000000"/>
              </a:solidFill>
            </a:rPr>
            <a:t>,</a:t>
          </a:r>
          <a:br>
            <a:rPr lang="en-US" altLang="ko-KR" sz="1100" b="1" baseline="0">
              <a:solidFill>
                <a:sysClr val="windowText" lastClr="000000"/>
              </a:solidFill>
            </a:rPr>
          </a:br>
          <a:r>
            <a:rPr lang="en-US" altLang="ko-KR" sz="1100" b="1" baseline="0">
              <a:solidFill>
                <a:sysClr val="windowText" lastClr="000000"/>
              </a:solidFill>
            </a:rPr>
            <a:t>FX Forward WorkSheet - J</a:t>
          </a:r>
          <a:r>
            <a:rPr lang="ko-KR" altLang="en-US" sz="1100" b="1" baseline="0">
              <a:solidFill>
                <a:sysClr val="windowText" lastClr="000000"/>
              </a:solidFill>
            </a:rPr>
            <a:t>열</a:t>
          </a:r>
          <a:r>
            <a:rPr lang="en-US" altLang="ko-KR" sz="1100" b="1" baseline="0">
              <a:solidFill>
                <a:sysClr val="windowText" lastClr="000000"/>
              </a:solidFill>
            </a:rPr>
            <a:t>)</a:t>
          </a:r>
          <a:endParaRPr lang="en-US" altLang="ko-KR" sz="1100" b="1">
            <a:solidFill>
              <a:sysClr val="windowText" lastClr="000000"/>
            </a:solidFill>
          </a:endParaRPr>
        </a:p>
        <a:p>
          <a:pPr algn="l"/>
          <a:endParaRPr lang="en-US" altLang="ko-KR" sz="1100" b="1" baseline="0"/>
        </a:p>
        <a:p>
          <a:pPr algn="l"/>
          <a:r>
            <a:rPr lang="en-US" altLang="ko-KR" sz="1100" b="1" baseline="0">
              <a:solidFill>
                <a:schemeClr val="tx1"/>
              </a:solidFill>
            </a:rPr>
            <a:t>-param 1 : double* yearFractions</a:t>
          </a:r>
          <a:br>
            <a:rPr lang="en-US" altLang="ko-KR" sz="1100" b="1" baseline="0">
              <a:solidFill>
                <a:schemeClr val="tx1"/>
              </a:solidFill>
            </a:rPr>
          </a:br>
          <a:r>
            <a:rPr lang="en-US" altLang="ko-KR" sz="1100" b="1" baseline="0">
              <a:solidFill>
                <a:schemeClr val="tx1"/>
              </a:solidFill>
            </a:rPr>
            <a:t>-param 2 : double* zeroRates</a:t>
          </a:r>
          <a:br>
            <a:rPr lang="en-US" altLang="ko-KR" sz="1100" b="1" baseline="0">
              <a:solidFill>
                <a:schemeClr val="tx1"/>
              </a:solidFill>
            </a:rPr>
          </a:br>
          <a:r>
            <a:rPr lang="en-US" altLang="ko-KR" sz="1100" b="1" baseline="0">
              <a:solidFill>
                <a:schemeClr val="tx1"/>
              </a:solidFill>
            </a:rPr>
            <a:t>-param 3 : double yearFraction</a:t>
          </a:r>
          <a:endParaRPr lang="en-US" altLang="ko-KR" sz="1100" b="1" baseline="0">
            <a:solidFill>
              <a:srgbClr val="FFFF00"/>
            </a:solidFill>
          </a:endParaRPr>
        </a:p>
      </xdr:txBody>
    </xdr:sp>
    <xdr:clientData/>
  </xdr:twoCellAnchor>
  <xdr:twoCellAnchor>
    <xdr:from>
      <xdr:col>11</xdr:col>
      <xdr:colOff>52481</xdr:colOff>
      <xdr:row>90</xdr:row>
      <xdr:rowOff>145676</xdr:rowOff>
    </xdr:from>
    <xdr:to>
      <xdr:col>14</xdr:col>
      <xdr:colOff>448235</xdr:colOff>
      <xdr:row>100</xdr:row>
      <xdr:rowOff>11206</xdr:rowOff>
    </xdr:to>
    <xdr:sp macro="" textlink="">
      <xdr:nvSpPr>
        <xdr:cNvPr id="59" name="직사각형 58">
          <a:extLst>
            <a:ext uri="{FF2B5EF4-FFF2-40B4-BE49-F238E27FC236}">
              <a16:creationId xmlns="" xmlns:a16="http://schemas.microsoft.com/office/drawing/2014/main" id="{5FCB38E8-A85D-4812-A1E5-B5C4F93336C2}"/>
            </a:ext>
          </a:extLst>
        </xdr:cNvPr>
        <xdr:cNvSpPr/>
      </xdr:nvSpPr>
      <xdr:spPr>
        <a:xfrm>
          <a:off x="7571628" y="19509441"/>
          <a:ext cx="2446431" cy="1994647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vert="horz" rtlCol="0" anchor="t" anchorCtr="0"/>
        <a:lstStyle/>
        <a:p>
          <a:r>
            <a:rPr lang="en-US" altLang="ko-KR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double* rangec_md(curveid) </a:t>
          </a:r>
          <a:br>
            <a:rPr lang="en-US" altLang="ko-KR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altLang="ko-KR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:</a:t>
          </a:r>
          <a:r>
            <a:rPr lang="en-US" altLang="ko-KR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특정 </a:t>
          </a:r>
          <a:r>
            <a:rPr lang="en-US" altLang="ko-KR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curveId</a:t>
          </a:r>
          <a:r>
            <a:rPr lang="ko-KR" altLang="ko-KR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와 일치하는 </a:t>
          </a:r>
          <a:r>
            <a:rPr lang="en-US" altLang="ko-KR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en-US" altLang="ko-KR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altLang="ko-KR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Zero Rate </a:t>
          </a:r>
          <a:r>
            <a:rPr lang="ko-KR" altLang="ko-KR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의 집합 리턴</a:t>
          </a:r>
          <a:r>
            <a:rPr lang="en-US" altLang="ko-KR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en-US" altLang="ko-KR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en-US" altLang="ko-KR" sz="1100" b="1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ko-KR" altLang="ko-KR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입력값 </a:t>
          </a:r>
          <a:r>
            <a:rPr lang="en-US" altLang="ko-KR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(Fx Forward WorkSheet - K</a:t>
          </a:r>
          <a:r>
            <a:rPr lang="ko-KR" altLang="ko-KR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열 </a:t>
          </a:r>
          <a:r>
            <a:rPr lang="en-US" altLang="ko-KR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(Buy Side))</a:t>
          </a:r>
          <a:br>
            <a:rPr lang="en-US" altLang="ko-KR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ko-KR" altLang="ko-KR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산출값 </a:t>
          </a:r>
          <a:r>
            <a:rPr lang="en-US" altLang="ko-KR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(Curve WorkSheet </a:t>
          </a:r>
          <a:r>
            <a:rPr lang="ko-KR" altLang="ko-KR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ko-KR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- N</a:t>
          </a:r>
          <a:r>
            <a:rPr lang="ko-KR" altLang="ko-KR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열</a:t>
          </a:r>
          <a:r>
            <a:rPr lang="en-US" altLang="ko-KR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)</a:t>
          </a:r>
          <a:br>
            <a:rPr lang="en-US" altLang="ko-KR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ko-KR" altLang="ko-KR">
            <a:solidFill>
              <a:schemeClr val="tx1"/>
            </a:solidFill>
            <a:effectLst/>
          </a:endParaRPr>
        </a:p>
        <a:p>
          <a:r>
            <a:rPr lang="en-US" altLang="ko-KR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-param 1 : double curveId</a:t>
          </a:r>
          <a:endParaRPr lang="ko-KR" altLang="ko-KR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7</xdr:col>
      <xdr:colOff>126439</xdr:colOff>
      <xdr:row>90</xdr:row>
      <xdr:rowOff>140432</xdr:rowOff>
    </xdr:from>
    <xdr:to>
      <xdr:col>10</xdr:col>
      <xdr:colOff>582706</xdr:colOff>
      <xdr:row>100</xdr:row>
      <xdr:rowOff>0</xdr:rowOff>
    </xdr:to>
    <xdr:sp macro="" textlink="">
      <xdr:nvSpPr>
        <xdr:cNvPr id="60" name="직사각형 59">
          <a:extLst>
            <a:ext uri="{FF2B5EF4-FFF2-40B4-BE49-F238E27FC236}">
              <a16:creationId xmlns="" xmlns:a16="http://schemas.microsoft.com/office/drawing/2014/main" id="{5FCB38E8-A85D-4812-A1E5-B5C4F93336C2}"/>
            </a:ext>
          </a:extLst>
        </xdr:cNvPr>
        <xdr:cNvSpPr/>
      </xdr:nvSpPr>
      <xdr:spPr>
        <a:xfrm>
          <a:off x="4911351" y="19504197"/>
          <a:ext cx="2506943" cy="1988685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vert="horz" rtlCol="0" anchor="t" anchorCtr="0"/>
        <a:lstStyle/>
        <a:p>
          <a:pPr algn="l"/>
          <a:r>
            <a:rPr lang="en-US" altLang="ko-KR" sz="1100" b="1" baseline="0">
              <a:solidFill>
                <a:sysClr val="windowText" lastClr="000000"/>
              </a:solidFill>
            </a:rPr>
            <a:t>double* rangec_yf(curveid) </a:t>
          </a:r>
          <a:br>
            <a:rPr lang="en-US" altLang="ko-KR" sz="1100" b="1" baseline="0">
              <a:solidFill>
                <a:sysClr val="windowText" lastClr="000000"/>
              </a:solidFill>
            </a:rPr>
          </a:br>
          <a:r>
            <a:rPr lang="en-US" altLang="ko-KR" sz="1100" b="1">
              <a:solidFill>
                <a:sysClr val="windowText" lastClr="000000"/>
              </a:solidFill>
            </a:rPr>
            <a:t>:</a:t>
          </a:r>
          <a:r>
            <a:rPr lang="en-US" altLang="ko-KR" sz="1100" b="1" baseline="0">
              <a:solidFill>
                <a:sysClr val="windowText" lastClr="000000"/>
              </a:solidFill>
            </a:rPr>
            <a:t> </a:t>
          </a:r>
          <a:r>
            <a:rPr lang="ko-KR" altLang="en-US" sz="1100" b="1" baseline="0">
              <a:solidFill>
                <a:sysClr val="windowText" lastClr="000000"/>
              </a:solidFill>
            </a:rPr>
            <a:t>특정 </a:t>
          </a:r>
          <a:r>
            <a:rPr lang="en-US" altLang="ko-KR" sz="1100" b="1" baseline="0">
              <a:solidFill>
                <a:sysClr val="windowText" lastClr="000000"/>
              </a:solidFill>
            </a:rPr>
            <a:t>curveId</a:t>
          </a:r>
          <a:r>
            <a:rPr lang="ko-KR" altLang="en-US" sz="1100" b="1" baseline="0">
              <a:solidFill>
                <a:sysClr val="windowText" lastClr="000000"/>
              </a:solidFill>
            </a:rPr>
            <a:t>와 일치하는 </a:t>
          </a:r>
          <a:r>
            <a:rPr lang="en-US" altLang="ko-KR" sz="1100" b="1" baseline="0">
              <a:solidFill>
                <a:sysClr val="windowText" lastClr="000000"/>
              </a:solidFill>
            </a:rPr>
            <a:t>yearFraction</a:t>
          </a:r>
          <a:r>
            <a:rPr lang="ko-KR" altLang="en-US" sz="1100" b="1" baseline="0">
              <a:solidFill>
                <a:sysClr val="windowText" lastClr="000000"/>
              </a:solidFill>
            </a:rPr>
            <a:t>의 집합 리턴</a:t>
          </a:r>
          <a:r>
            <a:rPr lang="en-US" altLang="ko-KR" sz="1100" b="1" baseline="0">
              <a:solidFill>
                <a:sysClr val="windowText" lastClr="000000"/>
              </a:solidFill>
            </a:rPr>
            <a:t/>
          </a:r>
          <a:br>
            <a:rPr lang="en-US" altLang="ko-KR" sz="1100" b="1" baseline="0">
              <a:solidFill>
                <a:sysClr val="windowText" lastClr="000000"/>
              </a:solidFill>
            </a:rPr>
          </a:br>
          <a:r>
            <a:rPr lang="en-US" altLang="ko-KR" sz="1100" b="1" baseline="0">
              <a:solidFill>
                <a:sysClr val="windowText" lastClr="000000"/>
              </a:solidFill>
            </a:rPr>
            <a:t/>
          </a:r>
          <a:br>
            <a:rPr lang="en-US" altLang="ko-KR" sz="1100" b="1" baseline="0">
              <a:solidFill>
                <a:sysClr val="windowText" lastClr="000000"/>
              </a:solidFill>
            </a:rPr>
          </a:br>
          <a:r>
            <a:rPr lang="ko-KR" altLang="en-US" sz="1100" b="1" baseline="0">
              <a:solidFill>
                <a:sysClr val="windowText" lastClr="000000"/>
              </a:solidFill>
            </a:rPr>
            <a:t>입력값 </a:t>
          </a:r>
          <a:r>
            <a:rPr lang="en-US" altLang="ko-KR" sz="1100" b="1" baseline="0">
              <a:solidFill>
                <a:sysClr val="windowText" lastClr="000000"/>
              </a:solidFill>
            </a:rPr>
            <a:t>(Fx Forward WorkSheet K</a:t>
          </a:r>
          <a:r>
            <a:rPr lang="ko-KR" altLang="en-US" sz="1100" b="1" baseline="0">
              <a:solidFill>
                <a:sysClr val="windowText" lastClr="000000"/>
              </a:solidFill>
            </a:rPr>
            <a:t>열 </a:t>
          </a:r>
          <a:r>
            <a:rPr lang="en-US" altLang="ko-KR" sz="1100" b="1" baseline="0">
              <a:solidFill>
                <a:sysClr val="windowText" lastClr="000000"/>
              </a:solidFill>
            </a:rPr>
            <a:t>(Buy Side))</a:t>
          </a:r>
          <a:br>
            <a:rPr lang="en-US" altLang="ko-KR" sz="1100" b="1" baseline="0">
              <a:solidFill>
                <a:sysClr val="windowText" lastClr="000000"/>
              </a:solidFill>
            </a:rPr>
          </a:br>
          <a:r>
            <a:rPr lang="ko-KR" altLang="en-US" sz="1100" b="1" baseline="0">
              <a:solidFill>
                <a:sysClr val="windowText" lastClr="000000"/>
              </a:solidFill>
            </a:rPr>
            <a:t>산출값 </a:t>
          </a:r>
          <a:r>
            <a:rPr lang="en-US" altLang="ko-KR" sz="1100" b="1" baseline="0">
              <a:solidFill>
                <a:sysClr val="windowText" lastClr="000000"/>
              </a:solidFill>
            </a:rPr>
            <a:t>(Curve WorkSheet - </a:t>
          </a:r>
          <a:r>
            <a:rPr lang="ko-KR" altLang="en-US" sz="1100" b="1" baseline="0">
              <a:solidFill>
                <a:sysClr val="windowText" lastClr="000000"/>
              </a:solidFill>
            </a:rPr>
            <a:t> </a:t>
          </a:r>
          <a:r>
            <a:rPr lang="en-US" altLang="ko-KR" sz="1100" b="1" baseline="0">
              <a:solidFill>
                <a:sysClr val="windowText" lastClr="000000"/>
              </a:solidFill>
            </a:rPr>
            <a:t>K</a:t>
          </a:r>
          <a:r>
            <a:rPr lang="ko-KR" altLang="en-US" sz="1100" b="1" baseline="0">
              <a:solidFill>
                <a:sysClr val="windowText" lastClr="000000"/>
              </a:solidFill>
            </a:rPr>
            <a:t>열</a:t>
          </a:r>
          <a:r>
            <a:rPr lang="en-US" altLang="ko-KR" sz="1100" b="1" baseline="0">
              <a:solidFill>
                <a:sysClr val="windowText" lastClr="000000"/>
              </a:solidFill>
            </a:rPr>
            <a:t>)</a:t>
          </a:r>
          <a:br>
            <a:rPr lang="en-US" altLang="ko-KR" sz="1100" b="1" baseline="0">
              <a:solidFill>
                <a:sysClr val="windowText" lastClr="000000"/>
              </a:solidFill>
            </a:rPr>
          </a:br>
          <a:endParaRPr lang="en-US" altLang="ko-KR" sz="1100" b="1" baseline="0"/>
        </a:p>
        <a:p>
          <a:pPr algn="l"/>
          <a:r>
            <a:rPr lang="en-US" altLang="ko-KR" sz="1100" b="1" baseline="0">
              <a:solidFill>
                <a:schemeClr val="tx1"/>
              </a:solidFill>
            </a:rPr>
            <a:t>-param 1 : double curveId</a:t>
          </a:r>
          <a:endParaRPr lang="en-US" altLang="ko-KR" sz="1100" b="1" baseline="0">
            <a:solidFill>
              <a:srgbClr val="FFFF00"/>
            </a:solidFill>
          </a:endParaRPr>
        </a:p>
      </xdr:txBody>
    </xdr:sp>
    <xdr:clientData/>
  </xdr:twoCellAnchor>
  <xdr:twoCellAnchor>
    <xdr:from>
      <xdr:col>9</xdr:col>
      <xdr:colOff>100853</xdr:colOff>
      <xdr:row>84</xdr:row>
      <xdr:rowOff>0</xdr:rowOff>
    </xdr:from>
    <xdr:to>
      <xdr:col>11</xdr:col>
      <xdr:colOff>571500</xdr:colOff>
      <xdr:row>90</xdr:row>
      <xdr:rowOff>134471</xdr:rowOff>
    </xdr:to>
    <xdr:cxnSp macro="">
      <xdr:nvCxnSpPr>
        <xdr:cNvPr id="61" name="직선 화살표 연결선 60">
          <a:extLst>
            <a:ext uri="{FF2B5EF4-FFF2-40B4-BE49-F238E27FC236}">
              <a16:creationId xmlns="" xmlns:a16="http://schemas.microsoft.com/office/drawing/2014/main" id="{00000000-0008-0000-0200-0000F9000000}"/>
            </a:ext>
          </a:extLst>
        </xdr:cNvPr>
        <xdr:cNvCxnSpPr/>
      </xdr:nvCxnSpPr>
      <xdr:spPr>
        <a:xfrm flipV="1">
          <a:off x="6252882" y="18086294"/>
          <a:ext cx="1837765" cy="1411942"/>
        </a:xfrm>
        <a:prstGeom prst="straightConnector1">
          <a:avLst/>
        </a:prstGeom>
        <a:ln w="254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181162</xdr:colOff>
      <xdr:row>84</xdr:row>
      <xdr:rowOff>0</xdr:rowOff>
    </xdr:from>
    <xdr:to>
      <xdr:col>12</xdr:col>
      <xdr:colOff>592138</xdr:colOff>
      <xdr:row>90</xdr:row>
      <xdr:rowOff>145676</xdr:rowOff>
    </xdr:to>
    <xdr:cxnSp macro="">
      <xdr:nvCxnSpPr>
        <xdr:cNvPr id="64" name="직선 화살표 연결선 63">
          <a:extLst>
            <a:ext uri="{FF2B5EF4-FFF2-40B4-BE49-F238E27FC236}">
              <a16:creationId xmlns="" xmlns:a16="http://schemas.microsoft.com/office/drawing/2014/main" id="{00000000-0008-0000-0200-0000F9000000}"/>
            </a:ext>
          </a:extLst>
        </xdr:cNvPr>
        <xdr:cNvCxnSpPr>
          <a:stCxn id="59" idx="0"/>
          <a:endCxn id="2" idx="2"/>
        </xdr:cNvCxnSpPr>
      </xdr:nvCxnSpPr>
      <xdr:spPr>
        <a:xfrm flipH="1" flipV="1">
          <a:off x="8383868" y="18086294"/>
          <a:ext cx="410976" cy="1423147"/>
        </a:xfrm>
        <a:prstGeom prst="straightConnector1">
          <a:avLst/>
        </a:prstGeom>
        <a:ln w="254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431005</xdr:colOff>
      <xdr:row>76</xdr:row>
      <xdr:rowOff>123265</xdr:rowOff>
    </xdr:from>
    <xdr:to>
      <xdr:col>10</xdr:col>
      <xdr:colOff>246530</xdr:colOff>
      <xdr:row>76</xdr:row>
      <xdr:rowOff>123924</xdr:rowOff>
    </xdr:to>
    <xdr:cxnSp macro="">
      <xdr:nvCxnSpPr>
        <xdr:cNvPr id="67" name="직선 화살표 연결선 66">
          <a:extLst>
            <a:ext uri="{FF2B5EF4-FFF2-40B4-BE49-F238E27FC236}">
              <a16:creationId xmlns="" xmlns:a16="http://schemas.microsoft.com/office/drawing/2014/main" id="{00000000-0008-0000-0200-0000F0000000}"/>
            </a:ext>
          </a:extLst>
        </xdr:cNvPr>
        <xdr:cNvCxnSpPr>
          <a:endCxn id="225" idx="3"/>
        </xdr:cNvCxnSpPr>
      </xdr:nvCxnSpPr>
      <xdr:spPr>
        <a:xfrm flipH="1">
          <a:off x="6583034" y="16506265"/>
          <a:ext cx="499084" cy="659"/>
        </a:xfrm>
        <a:prstGeom prst="straightConnector1">
          <a:avLst/>
        </a:prstGeom>
        <a:ln w="254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112058</xdr:colOff>
      <xdr:row>78</xdr:row>
      <xdr:rowOff>89647</xdr:rowOff>
    </xdr:from>
    <xdr:to>
      <xdr:col>15</xdr:col>
      <xdr:colOff>264458</xdr:colOff>
      <xdr:row>82</xdr:row>
      <xdr:rowOff>209088</xdr:rowOff>
    </xdr:to>
    <xdr:cxnSp macro="">
      <xdr:nvCxnSpPr>
        <xdr:cNvPr id="69" name="직선 화살표 연결선 68">
          <a:extLst>
            <a:ext uri="{FF2B5EF4-FFF2-40B4-BE49-F238E27FC236}">
              <a16:creationId xmlns="" xmlns:a16="http://schemas.microsoft.com/office/drawing/2014/main" id="{00000000-0008-0000-0200-0000F0000000}"/>
            </a:ext>
          </a:extLst>
        </xdr:cNvPr>
        <xdr:cNvCxnSpPr>
          <a:endCxn id="256" idx="1"/>
        </xdr:cNvCxnSpPr>
      </xdr:nvCxnSpPr>
      <xdr:spPr>
        <a:xfrm>
          <a:off x="9681882" y="16898471"/>
          <a:ext cx="835958" cy="971088"/>
        </a:xfrm>
        <a:prstGeom prst="straightConnector1">
          <a:avLst/>
        </a:prstGeom>
        <a:ln w="254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112058</xdr:colOff>
      <xdr:row>76</xdr:row>
      <xdr:rowOff>89647</xdr:rowOff>
    </xdr:from>
    <xdr:to>
      <xdr:col>15</xdr:col>
      <xdr:colOff>268943</xdr:colOff>
      <xdr:row>80</xdr:row>
      <xdr:rowOff>145678</xdr:rowOff>
    </xdr:to>
    <xdr:cxnSp macro="">
      <xdr:nvCxnSpPr>
        <xdr:cNvPr id="72" name="직선 화살표 연결선 71">
          <a:extLst>
            <a:ext uri="{FF2B5EF4-FFF2-40B4-BE49-F238E27FC236}">
              <a16:creationId xmlns="" xmlns:a16="http://schemas.microsoft.com/office/drawing/2014/main" id="{00000000-0008-0000-0200-0000F0000000}"/>
            </a:ext>
          </a:extLst>
        </xdr:cNvPr>
        <xdr:cNvCxnSpPr/>
      </xdr:nvCxnSpPr>
      <xdr:spPr>
        <a:xfrm flipH="1" flipV="1">
          <a:off x="9681882" y="16472647"/>
          <a:ext cx="840443" cy="907678"/>
        </a:xfrm>
        <a:prstGeom prst="straightConnector1">
          <a:avLst/>
        </a:prstGeom>
        <a:ln w="254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414621</xdr:colOff>
      <xdr:row>75</xdr:row>
      <xdr:rowOff>67236</xdr:rowOff>
    </xdr:from>
    <xdr:to>
      <xdr:col>10</xdr:col>
      <xdr:colOff>280147</xdr:colOff>
      <xdr:row>75</xdr:row>
      <xdr:rowOff>67237</xdr:rowOff>
    </xdr:to>
    <xdr:cxnSp macro="">
      <xdr:nvCxnSpPr>
        <xdr:cNvPr id="78" name="직선 화살표 연결선 77">
          <a:extLst>
            <a:ext uri="{FF2B5EF4-FFF2-40B4-BE49-F238E27FC236}">
              <a16:creationId xmlns="" xmlns:a16="http://schemas.microsoft.com/office/drawing/2014/main" id="{00000000-0008-0000-0200-0000F0000000}"/>
            </a:ext>
          </a:extLst>
        </xdr:cNvPr>
        <xdr:cNvCxnSpPr/>
      </xdr:nvCxnSpPr>
      <xdr:spPr>
        <a:xfrm flipV="1">
          <a:off x="6566650" y="16237324"/>
          <a:ext cx="549085" cy="1"/>
        </a:xfrm>
        <a:prstGeom prst="straightConnector1">
          <a:avLst/>
        </a:prstGeom>
        <a:ln w="254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268942</xdr:colOff>
      <xdr:row>76</xdr:row>
      <xdr:rowOff>0</xdr:rowOff>
    </xdr:from>
    <xdr:ext cx="1535206" cy="264560"/>
    <xdr:sp macro="" textlink="">
      <xdr:nvSpPr>
        <xdr:cNvPr id="87" name="TextBox 86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SpPr txBox="1"/>
      </xdr:nvSpPr>
      <xdr:spPr>
        <a:xfrm>
          <a:off x="9838766" y="16383000"/>
          <a:ext cx="153520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ko-KR" sz="1100"/>
            <a:t>return double </a:t>
          </a:r>
          <a:r>
            <a:rPr lang="en-US" altLang="ko-KR" sz="1100" baseline="0"/>
            <a:t>yearFrac</a:t>
          </a:r>
          <a:endParaRPr lang="ko-KR" altLang="en-US" sz="1100"/>
        </a:p>
      </xdr:txBody>
    </xdr:sp>
    <xdr:clientData/>
  </xdr:oneCellAnchor>
  <xdr:oneCellAnchor>
    <xdr:from>
      <xdr:col>8</xdr:col>
      <xdr:colOff>242047</xdr:colOff>
      <xdr:row>77</xdr:row>
      <xdr:rowOff>29134</xdr:rowOff>
    </xdr:from>
    <xdr:ext cx="1535741" cy="264560"/>
    <xdr:sp macro="" textlink="">
      <xdr:nvSpPr>
        <xdr:cNvPr id="88" name="TextBox 87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SpPr txBox="1"/>
      </xdr:nvSpPr>
      <xdr:spPr>
        <a:xfrm>
          <a:off x="5710518" y="16625046"/>
          <a:ext cx="153574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/>
            <a:t>return double </a:t>
          </a:r>
          <a:r>
            <a:rPr lang="en-US" altLang="ko-KR" sz="1100" baseline="0"/>
            <a:t>yearFrac</a:t>
          </a:r>
          <a:endParaRPr lang="ko-KR" alt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53"/>
  <sheetViews>
    <sheetView zoomScale="85" zoomScaleNormal="85" workbookViewId="0">
      <pane ySplit="14" topLeftCell="A15" activePane="bottomLeft" state="frozen"/>
      <selection pane="bottomLeft" activeCell="Y27" sqref="Y27"/>
    </sheetView>
  </sheetViews>
  <sheetFormatPr defaultColWidth="9" defaultRowHeight="16.5"/>
  <cols>
    <col min="1" max="1" width="4.625" style="1" customWidth="1"/>
    <col min="2" max="2" width="16.125" style="1" customWidth="1"/>
    <col min="3" max="3" width="22.25" style="1" customWidth="1"/>
    <col min="4" max="4" width="17.625" style="1" customWidth="1"/>
    <col min="5" max="5" width="5.625" style="1" customWidth="1"/>
    <col min="6" max="15" width="20.625" style="1" customWidth="1"/>
    <col min="16" max="16" width="5.625" style="1" customWidth="1"/>
    <col min="17" max="19" width="20.625" style="1" customWidth="1"/>
    <col min="20" max="20" width="5.625" style="1" customWidth="1"/>
    <col min="21" max="23" width="20.625" style="1" customWidth="1"/>
    <col min="24" max="24" width="5.625" style="1" customWidth="1"/>
    <col min="25" max="27" width="20.625" style="1" customWidth="1"/>
    <col min="28" max="28" width="5.625" style="1" customWidth="1"/>
    <col min="29" max="16384" width="9" style="1"/>
  </cols>
  <sheetData>
    <row r="1" spans="2:24" s="4" customFormat="1"/>
    <row r="2" spans="2:24" s="5" customFormat="1"/>
    <row r="3" spans="2:24" ht="8.1" customHeight="1"/>
    <row r="4" spans="2:24">
      <c r="B4" s="7" t="s">
        <v>591</v>
      </c>
      <c r="C4" s="7"/>
    </row>
    <row r="5" spans="2:24" ht="8.1" customHeight="1"/>
    <row r="6" spans="2:24">
      <c r="B6" s="1" t="s">
        <v>592</v>
      </c>
    </row>
    <row r="8" spans="2:24">
      <c r="B8" s="7" t="s">
        <v>593</v>
      </c>
      <c r="C8" s="7"/>
    </row>
    <row r="9" spans="2:24" ht="8.1" customHeight="1"/>
    <row r="10" spans="2:24">
      <c r="B10" s="1" t="s">
        <v>599</v>
      </c>
    </row>
    <row r="11" spans="2:24">
      <c r="B11" s="1" t="s">
        <v>600</v>
      </c>
    </row>
    <row r="14" spans="2:24" s="49" customFormat="1" ht="8.1" customHeight="1"/>
    <row r="16" spans="2:24">
      <c r="B16" s="29" t="s">
        <v>496</v>
      </c>
      <c r="C16" s="29"/>
      <c r="D16" s="5"/>
      <c r="F16" s="29" t="s">
        <v>549</v>
      </c>
      <c r="G16" s="5"/>
      <c r="H16" s="5"/>
      <c r="Q16" s="29" t="s">
        <v>505</v>
      </c>
      <c r="R16" s="5"/>
      <c r="S16" s="5"/>
      <c r="X16" s="38"/>
    </row>
    <row r="17" spans="1:28">
      <c r="Q17" s="7" t="s">
        <v>517</v>
      </c>
      <c r="U17" s="7" t="s">
        <v>613</v>
      </c>
      <c r="Y17" s="7" t="s">
        <v>557</v>
      </c>
    </row>
    <row r="18" spans="1:28">
      <c r="A18" s="1">
        <v>1</v>
      </c>
      <c r="B18" s="93" t="s">
        <v>519</v>
      </c>
      <c r="C18" s="94"/>
      <c r="D18" s="14" t="s">
        <v>603</v>
      </c>
      <c r="F18" s="46"/>
      <c r="G18" s="37" t="s">
        <v>489</v>
      </c>
      <c r="H18" s="37" t="s">
        <v>524</v>
      </c>
      <c r="I18" s="37" t="s">
        <v>628</v>
      </c>
      <c r="J18" s="37" t="s">
        <v>499</v>
      </c>
      <c r="K18" s="37" t="s">
        <v>486</v>
      </c>
      <c r="L18" s="37" t="s">
        <v>536</v>
      </c>
      <c r="M18" s="37" t="s">
        <v>497</v>
      </c>
      <c r="N18" s="37" t="s">
        <v>498</v>
      </c>
      <c r="O18" s="37" t="s">
        <v>534</v>
      </c>
      <c r="Q18" s="41" t="s">
        <v>514</v>
      </c>
      <c r="R18" s="41" t="s">
        <v>515</v>
      </c>
      <c r="S18" s="41" t="s">
        <v>516</v>
      </c>
      <c r="U18" s="41" t="s">
        <v>514</v>
      </c>
      <c r="V18" s="41" t="s">
        <v>515</v>
      </c>
      <c r="W18" s="41" t="s">
        <v>516</v>
      </c>
      <c r="Y18" s="35" t="s">
        <v>518</v>
      </c>
      <c r="Z18" s="35" t="s">
        <v>495</v>
      </c>
      <c r="AA18" s="35" t="s">
        <v>516</v>
      </c>
    </row>
    <row r="19" spans="1:28">
      <c r="A19" s="1">
        <v>2</v>
      </c>
      <c r="B19" s="93" t="s">
        <v>521</v>
      </c>
      <c r="C19" s="94"/>
      <c r="D19" s="14" t="s">
        <v>601</v>
      </c>
      <c r="E19" s="1">
        <v>1</v>
      </c>
      <c r="F19" s="56" t="s">
        <v>611</v>
      </c>
      <c r="G19" s="34" t="s">
        <v>526</v>
      </c>
      <c r="H19" s="57">
        <v>4576279.99</v>
      </c>
      <c r="I19" s="10">
        <v>46164</v>
      </c>
      <c r="J19" s="1">
        <v>1.3890410958904109</v>
      </c>
      <c r="K19" s="34" t="s">
        <v>525</v>
      </c>
      <c r="L19" s="1">
        <v>2.0384859476500274</v>
      </c>
      <c r="M19" s="58">
        <v>0.97235854621923035</v>
      </c>
      <c r="N19" s="38">
        <v>4449784.9581685541</v>
      </c>
      <c r="O19" s="38">
        <f>IF($G$19="KRW",N19-N20*$D$25,N19*$D$25-N20)</f>
        <v>-6613265376.5629969</v>
      </c>
      <c r="P19" s="1">
        <v>1</v>
      </c>
      <c r="Q19" s="1" t="s">
        <v>550</v>
      </c>
      <c r="R19" s="1" t="s">
        <v>559</v>
      </c>
      <c r="S19" s="59"/>
      <c r="T19" s="1">
        <v>1</v>
      </c>
      <c r="U19" s="1" t="s">
        <v>525</v>
      </c>
      <c r="V19" s="1" t="s">
        <v>585</v>
      </c>
      <c r="W19" s="59">
        <v>0</v>
      </c>
      <c r="Y19" s="13" t="s">
        <v>588</v>
      </c>
      <c r="Z19" s="13">
        <f>D25*1.01</f>
        <v>0</v>
      </c>
      <c r="AA19" s="36">
        <f>(IF($G$19="KRW",N19-N20*$Z$19,N19*$Z$19-N20)-$O$19)*100</f>
        <v>0</v>
      </c>
    </row>
    <row r="20" spans="1:28">
      <c r="A20" s="1">
        <v>3</v>
      </c>
      <c r="B20" s="93" t="s">
        <v>522</v>
      </c>
      <c r="C20" s="94"/>
      <c r="D20" s="14" t="s">
        <v>523</v>
      </c>
      <c r="E20" s="1">
        <v>2</v>
      </c>
      <c r="F20" s="56" t="s">
        <v>611</v>
      </c>
      <c r="G20" s="34" t="s">
        <v>485</v>
      </c>
      <c r="H20" s="57">
        <v>6820853799.5</v>
      </c>
      <c r="I20" s="10">
        <v>46164</v>
      </c>
      <c r="J20" s="1">
        <v>1.3890410958904109</v>
      </c>
      <c r="K20" s="34" t="s">
        <v>527</v>
      </c>
      <c r="L20" s="1">
        <v>2.2500078712256091</v>
      </c>
      <c r="M20" s="58">
        <v>0.96956562491454945</v>
      </c>
      <c r="N20" s="38">
        <v>6613265376.5629969</v>
      </c>
      <c r="O20" s="49"/>
      <c r="P20" s="1">
        <v>2</v>
      </c>
      <c r="Q20" s="1" t="s">
        <v>550</v>
      </c>
      <c r="R20" s="1" t="s">
        <v>572</v>
      </c>
      <c r="S20" s="59"/>
      <c r="T20" s="1">
        <v>2</v>
      </c>
      <c r="U20" s="1" t="s">
        <v>525</v>
      </c>
      <c r="V20" s="1" t="s">
        <v>586</v>
      </c>
      <c r="W20" s="59">
        <v>0</v>
      </c>
    </row>
    <row r="21" spans="1:28">
      <c r="A21" s="1">
        <v>4</v>
      </c>
      <c r="B21" s="93" t="s">
        <v>605</v>
      </c>
      <c r="C21" s="94"/>
      <c r="D21" s="14" t="s">
        <v>615</v>
      </c>
      <c r="F21" s="1" t="s">
        <v>612</v>
      </c>
      <c r="L21" s="65"/>
      <c r="M21" s="65"/>
      <c r="P21" s="1">
        <v>3</v>
      </c>
      <c r="Q21" s="1" t="s">
        <v>550</v>
      </c>
      <c r="R21" s="1" t="s">
        <v>573</v>
      </c>
      <c r="S21" s="59"/>
      <c r="T21" s="1">
        <v>3</v>
      </c>
      <c r="U21" s="1" t="s">
        <v>525</v>
      </c>
      <c r="V21" s="1" t="s">
        <v>506</v>
      </c>
      <c r="W21" s="59">
        <v>-5553985472.240448</v>
      </c>
    </row>
    <row r="22" spans="1:28">
      <c r="A22" s="1">
        <v>5</v>
      </c>
      <c r="B22" s="93" t="s">
        <v>606</v>
      </c>
      <c r="C22" s="94"/>
      <c r="D22" s="14" t="s">
        <v>616</v>
      </c>
      <c r="P22" s="1">
        <v>4</v>
      </c>
      <c r="Q22" s="1" t="s">
        <v>550</v>
      </c>
      <c r="R22" s="1" t="s">
        <v>574</v>
      </c>
      <c r="S22" s="59"/>
      <c r="T22" s="1">
        <v>4</v>
      </c>
      <c r="U22" s="1" t="s">
        <v>525</v>
      </c>
      <c r="V22" s="1" t="s">
        <v>507</v>
      </c>
      <c r="W22" s="59">
        <v>-3541216554.441452</v>
      </c>
    </row>
    <row r="23" spans="1:28">
      <c r="A23" s="1">
        <v>6</v>
      </c>
      <c r="B23" s="93" t="s">
        <v>489</v>
      </c>
      <c r="C23" s="94"/>
      <c r="D23" s="14" t="s">
        <v>485</v>
      </c>
      <c r="P23" s="1">
        <v>5</v>
      </c>
      <c r="Q23" s="1" t="s">
        <v>550</v>
      </c>
      <c r="R23" s="1" t="s">
        <v>575</v>
      </c>
      <c r="S23" s="59"/>
      <c r="T23" s="1">
        <v>5</v>
      </c>
      <c r="U23" s="1" t="s">
        <v>525</v>
      </c>
      <c r="V23" s="1" t="s">
        <v>508</v>
      </c>
      <c r="W23" s="59">
        <v>0</v>
      </c>
    </row>
    <row r="24" spans="1:28">
      <c r="A24" s="1">
        <v>7</v>
      </c>
      <c r="B24" s="93" t="s">
        <v>495</v>
      </c>
      <c r="C24" s="94"/>
      <c r="D24" s="42">
        <v>1</v>
      </c>
      <c r="P24" s="1">
        <v>6</v>
      </c>
      <c r="Q24" s="1" t="s">
        <v>550</v>
      </c>
      <c r="R24" s="1" t="s">
        <v>576</v>
      </c>
      <c r="S24" s="59"/>
      <c r="T24" s="1">
        <v>6</v>
      </c>
      <c r="U24" s="1" t="s">
        <v>525</v>
      </c>
      <c r="V24" s="1" t="s">
        <v>509</v>
      </c>
      <c r="W24" s="59">
        <v>0</v>
      </c>
    </row>
    <row r="25" spans="1:28">
      <c r="A25" s="1">
        <v>8</v>
      </c>
      <c r="B25" s="93" t="s">
        <v>607</v>
      </c>
      <c r="C25" s="94"/>
      <c r="D25" s="13"/>
      <c r="P25" s="1">
        <v>7</v>
      </c>
      <c r="Q25" s="1" t="s">
        <v>550</v>
      </c>
      <c r="R25" s="1" t="s">
        <v>577</v>
      </c>
      <c r="S25" s="59"/>
      <c r="T25" s="1">
        <v>7</v>
      </c>
      <c r="U25" s="1" t="s">
        <v>525</v>
      </c>
      <c r="V25" s="1" t="s">
        <v>510</v>
      </c>
      <c r="W25" s="59">
        <v>0</v>
      </c>
    </row>
    <row r="26" spans="1:28">
      <c r="A26" s="1">
        <v>9</v>
      </c>
      <c r="B26" s="93" t="s">
        <v>608</v>
      </c>
      <c r="C26" s="94"/>
      <c r="D26" s="42"/>
      <c r="P26" s="1">
        <v>8</v>
      </c>
      <c r="Q26" s="1" t="s">
        <v>550</v>
      </c>
      <c r="R26" s="1" t="s">
        <v>578</v>
      </c>
      <c r="S26" s="59"/>
      <c r="T26" s="1">
        <v>8</v>
      </c>
      <c r="U26" s="1" t="s">
        <v>525</v>
      </c>
      <c r="V26" s="1" t="s">
        <v>511</v>
      </c>
      <c r="W26" s="59">
        <v>0</v>
      </c>
      <c r="AB26" s="1" t="s">
        <v>589</v>
      </c>
    </row>
    <row r="27" spans="1:28">
      <c r="A27" s="1">
        <v>10</v>
      </c>
      <c r="B27" s="93" t="s">
        <v>604</v>
      </c>
      <c r="C27" s="94"/>
      <c r="D27" s="42"/>
      <c r="P27" s="1">
        <v>9</v>
      </c>
      <c r="Q27" s="1" t="s">
        <v>550</v>
      </c>
      <c r="R27" s="1" t="s">
        <v>579</v>
      </c>
      <c r="S27" s="59"/>
      <c r="T27" s="1">
        <v>9</v>
      </c>
      <c r="U27" s="1" t="s">
        <v>525</v>
      </c>
      <c r="V27" s="1" t="s">
        <v>512</v>
      </c>
      <c r="W27" s="59">
        <v>0</v>
      </c>
      <c r="Y27" s="40">
        <v>4447411.6227000002</v>
      </c>
      <c r="Z27" s="40">
        <f>N19</f>
        <v>4449784.9581685541</v>
      </c>
      <c r="AA27" s="40">
        <f>Z27-Y27</f>
        <v>2373.335468553938</v>
      </c>
      <c r="AB27" s="39">
        <f>AA27/Y27</f>
        <v>5.3364421148701735E-4</v>
      </c>
    </row>
    <row r="28" spans="1:28">
      <c r="A28" s="1">
        <v>11</v>
      </c>
      <c r="B28" s="93" t="s">
        <v>482</v>
      </c>
      <c r="C28" s="94"/>
      <c r="D28" s="33"/>
      <c r="P28" s="1">
        <v>10</v>
      </c>
      <c r="Q28" s="1" t="s">
        <v>550</v>
      </c>
      <c r="R28" s="1" t="s">
        <v>580</v>
      </c>
      <c r="S28" s="59"/>
      <c r="T28" s="1">
        <v>10</v>
      </c>
      <c r="U28" s="1" t="s">
        <v>525</v>
      </c>
      <c r="V28" s="1" t="s">
        <v>513</v>
      </c>
      <c r="W28" s="59">
        <v>0</v>
      </c>
      <c r="Y28" s="40">
        <v>6608377374.5215998</v>
      </c>
      <c r="Z28" s="40">
        <f>N20</f>
        <v>6613265376.5629969</v>
      </c>
      <c r="AA28" s="40">
        <f>Z28-Y28</f>
        <v>4888002.0413970947</v>
      </c>
      <c r="AB28" s="39">
        <f>AA28/Y28</f>
        <v>7.3966751055147659E-4</v>
      </c>
    </row>
    <row r="29" spans="1:28">
      <c r="A29" s="1">
        <v>12</v>
      </c>
      <c r="B29" s="93" t="s">
        <v>483</v>
      </c>
      <c r="C29" s="94"/>
      <c r="D29" s="28"/>
      <c r="P29" s="1">
        <v>11</v>
      </c>
      <c r="Q29" s="1" t="s">
        <v>597</v>
      </c>
      <c r="R29" s="1" t="s">
        <v>596</v>
      </c>
      <c r="S29" s="59"/>
      <c r="T29" s="1">
        <v>11</v>
      </c>
      <c r="U29" s="1" t="s">
        <v>546</v>
      </c>
      <c r="V29" s="1" t="s">
        <v>548</v>
      </c>
      <c r="W29" s="59">
        <v>-9094706024.8374939</v>
      </c>
    </row>
    <row r="30" spans="1:28">
      <c r="A30" s="1">
        <v>13</v>
      </c>
      <c r="B30" s="91" t="s">
        <v>609</v>
      </c>
      <c r="C30" s="92"/>
      <c r="D30" s="32"/>
      <c r="P30" s="1">
        <v>12</v>
      </c>
      <c r="Q30" s="1" t="s">
        <v>598</v>
      </c>
      <c r="R30" s="1" t="s">
        <v>596</v>
      </c>
      <c r="S30" s="59"/>
      <c r="T30" s="1">
        <v>12</v>
      </c>
      <c r="U30" s="1" t="s">
        <v>527</v>
      </c>
      <c r="V30" s="1" t="s">
        <v>585</v>
      </c>
      <c r="W30" s="59">
        <v>0</v>
      </c>
      <c r="AB30" s="1" t="s">
        <v>590</v>
      </c>
    </row>
    <row r="31" spans="1:28">
      <c r="A31" s="1">
        <v>14</v>
      </c>
      <c r="B31" s="91" t="s">
        <v>610</v>
      </c>
      <c r="C31" s="92"/>
      <c r="D31" s="32"/>
      <c r="P31" s="1">
        <v>13</v>
      </c>
      <c r="Q31" s="1" t="s">
        <v>535</v>
      </c>
      <c r="R31" s="1" t="s">
        <v>559</v>
      </c>
      <c r="S31" s="59"/>
      <c r="T31" s="1">
        <v>13</v>
      </c>
      <c r="U31" s="1" t="s">
        <v>527</v>
      </c>
      <c r="V31" s="1" t="s">
        <v>586</v>
      </c>
      <c r="W31" s="59">
        <v>0</v>
      </c>
      <c r="Y31" s="53">
        <v>-5784137110.5061331</v>
      </c>
      <c r="Z31" s="54">
        <f>S21</f>
        <v>0</v>
      </c>
      <c r="AA31" s="40">
        <f>Z31-Y31</f>
        <v>5784137110.5061331</v>
      </c>
      <c r="AB31" s="39">
        <f>AA31/Y31</f>
        <v>-1</v>
      </c>
    </row>
    <row r="32" spans="1:28">
      <c r="A32" s="1">
        <v>15</v>
      </c>
      <c r="B32" s="91" t="s">
        <v>520</v>
      </c>
      <c r="C32" s="92"/>
      <c r="D32" s="33"/>
      <c r="P32" s="1">
        <v>14</v>
      </c>
      <c r="Q32" s="1" t="s">
        <v>535</v>
      </c>
      <c r="R32" s="1" t="s">
        <v>572</v>
      </c>
      <c r="S32" s="59"/>
      <c r="T32" s="1">
        <v>14</v>
      </c>
      <c r="U32" s="1" t="s">
        <v>527</v>
      </c>
      <c r="V32" s="1" t="s">
        <v>506</v>
      </c>
      <c r="W32" s="59">
        <v>5363215045.0801849</v>
      </c>
      <c r="Y32" s="53">
        <v>-3683229277.0981803</v>
      </c>
      <c r="Z32" s="54">
        <f>S22</f>
        <v>0</v>
      </c>
      <c r="AA32" s="40">
        <f>Z32-Y32</f>
        <v>3683229277.0981803</v>
      </c>
      <c r="AB32" s="39">
        <f>AA32/Y32</f>
        <v>-1</v>
      </c>
    </row>
    <row r="33" spans="1:28">
      <c r="A33" s="1">
        <v>16</v>
      </c>
      <c r="B33" s="91" t="s">
        <v>80</v>
      </c>
      <c r="C33" s="92"/>
      <c r="D33" s="28"/>
      <c r="P33" s="1">
        <v>15</v>
      </c>
      <c r="Q33" s="1" t="s">
        <v>535</v>
      </c>
      <c r="R33" s="1" t="s">
        <v>573</v>
      </c>
      <c r="S33" s="59"/>
      <c r="T33" s="1">
        <v>15</v>
      </c>
      <c r="U33" s="1" t="s">
        <v>527</v>
      </c>
      <c r="V33" s="1" t="s">
        <v>507</v>
      </c>
      <c r="W33" s="59">
        <v>3419906348.8960266</v>
      </c>
      <c r="Y33" s="53">
        <v>-9467366387.6043129</v>
      </c>
      <c r="Z33" s="54">
        <f>S29</f>
        <v>0</v>
      </c>
      <c r="AA33" s="40">
        <f>Z33-Y33</f>
        <v>9467366387.6043129</v>
      </c>
      <c r="AB33" s="39">
        <f>AA33/Y33</f>
        <v>-1</v>
      </c>
    </row>
    <row r="34" spans="1:28">
      <c r="A34" s="1">
        <v>17</v>
      </c>
      <c r="B34" s="91" t="s">
        <v>486</v>
      </c>
      <c r="C34" s="92"/>
      <c r="D34" s="32"/>
      <c r="P34" s="1">
        <v>16</v>
      </c>
      <c r="Q34" s="1" t="s">
        <v>535</v>
      </c>
      <c r="R34" s="1" t="s">
        <v>574</v>
      </c>
      <c r="S34" s="59"/>
      <c r="T34" s="1">
        <v>16</v>
      </c>
      <c r="U34" s="1" t="s">
        <v>527</v>
      </c>
      <c r="V34" s="1" t="s">
        <v>508</v>
      </c>
      <c r="W34" s="59">
        <v>0</v>
      </c>
    </row>
    <row r="35" spans="1:28">
      <c r="A35" s="1">
        <v>18</v>
      </c>
      <c r="B35" s="91" t="s">
        <v>614</v>
      </c>
      <c r="C35" s="92"/>
      <c r="D35" s="32"/>
      <c r="P35" s="1">
        <v>17</v>
      </c>
      <c r="Q35" s="1" t="s">
        <v>535</v>
      </c>
      <c r="R35" s="1" t="s">
        <v>575</v>
      </c>
      <c r="S35" s="59"/>
      <c r="T35" s="1">
        <v>17</v>
      </c>
      <c r="U35" s="1" t="s">
        <v>527</v>
      </c>
      <c r="V35" s="1" t="s">
        <v>509</v>
      </c>
      <c r="W35" s="59">
        <v>0</v>
      </c>
    </row>
    <row r="36" spans="1:28">
      <c r="A36" s="1">
        <v>19</v>
      </c>
      <c r="B36" s="91" t="s">
        <v>625</v>
      </c>
      <c r="C36" s="92"/>
      <c r="D36" s="32"/>
      <c r="P36" s="1">
        <v>18</v>
      </c>
      <c r="Q36" s="1" t="s">
        <v>535</v>
      </c>
      <c r="R36" s="1" t="s">
        <v>576</v>
      </c>
      <c r="S36" s="59"/>
      <c r="T36" s="1">
        <v>18</v>
      </c>
      <c r="U36" s="1" t="s">
        <v>527</v>
      </c>
      <c r="V36" s="1" t="s">
        <v>510</v>
      </c>
      <c r="W36" s="59">
        <v>0</v>
      </c>
    </row>
    <row r="37" spans="1:28">
      <c r="A37" s="1">
        <v>20</v>
      </c>
      <c r="B37" s="91" t="s">
        <v>627</v>
      </c>
      <c r="C37" s="92"/>
      <c r="D37" s="32"/>
      <c r="P37" s="1">
        <v>19</v>
      </c>
      <c r="Q37" s="1" t="s">
        <v>535</v>
      </c>
      <c r="R37" s="1" t="s">
        <v>577</v>
      </c>
      <c r="S37" s="59"/>
      <c r="T37" s="1">
        <v>19</v>
      </c>
      <c r="U37" s="1" t="s">
        <v>527</v>
      </c>
      <c r="V37" s="1" t="s">
        <v>511</v>
      </c>
      <c r="W37" s="59">
        <v>0</v>
      </c>
      <c r="Y37" s="55">
        <v>-5607941842.1173</v>
      </c>
      <c r="Z37" s="54">
        <f>S32</f>
        <v>0</v>
      </c>
      <c r="AA37" s="40">
        <f>Z37+Y37</f>
        <v>-5607941842.1173</v>
      </c>
      <c r="AB37" s="39">
        <f>AA37/Y37</f>
        <v>1</v>
      </c>
    </row>
    <row r="38" spans="1:28">
      <c r="A38" s="1">
        <v>21</v>
      </c>
      <c r="B38" s="91" t="s">
        <v>626</v>
      </c>
      <c r="C38" s="92"/>
      <c r="D38" s="32"/>
      <c r="P38" s="1">
        <v>20</v>
      </c>
      <c r="Q38" s="1" t="s">
        <v>535</v>
      </c>
      <c r="R38" s="1" t="s">
        <v>578</v>
      </c>
      <c r="S38" s="59"/>
      <c r="T38" s="1">
        <v>20</v>
      </c>
      <c r="U38" s="1" t="s">
        <v>527</v>
      </c>
      <c r="V38" s="1" t="s">
        <v>512</v>
      </c>
      <c r="W38" s="59">
        <v>0</v>
      </c>
      <c r="Y38" s="55">
        <v>-3571031457.6339998</v>
      </c>
      <c r="Z38" s="54">
        <f>S33</f>
        <v>0</v>
      </c>
      <c r="AA38" s="40">
        <f>Z38+Y38</f>
        <v>-3571031457.6339998</v>
      </c>
      <c r="AB38" s="39">
        <f>AA38/Y38</f>
        <v>1</v>
      </c>
    </row>
    <row r="39" spans="1:28">
      <c r="A39" s="1">
        <v>22</v>
      </c>
      <c r="B39" s="91"/>
      <c r="C39" s="92"/>
      <c r="D39" s="32"/>
      <c r="P39" s="1">
        <v>21</v>
      </c>
      <c r="Q39" s="1" t="s">
        <v>535</v>
      </c>
      <c r="R39" s="1" t="s">
        <v>579</v>
      </c>
      <c r="S39" s="59"/>
      <c r="T39" s="1">
        <v>21</v>
      </c>
      <c r="U39" s="1" t="s">
        <v>527</v>
      </c>
      <c r="V39" s="1" t="s">
        <v>513</v>
      </c>
      <c r="W39" s="59">
        <v>0</v>
      </c>
      <c r="Y39" s="55">
        <f>SUM(Y37:Y38)</f>
        <v>-9178973299.7513008</v>
      </c>
      <c r="Z39" s="54">
        <f>S40</f>
        <v>0</v>
      </c>
      <c r="AA39" s="40">
        <f>Z39+Y39</f>
        <v>-9178973299.7513008</v>
      </c>
      <c r="AB39" s="39">
        <f>AA39/Y39</f>
        <v>1</v>
      </c>
    </row>
    <row r="40" spans="1:28">
      <c r="P40" s="1">
        <v>22</v>
      </c>
      <c r="Q40" s="1" t="s">
        <v>535</v>
      </c>
      <c r="R40" s="1" t="s">
        <v>580</v>
      </c>
      <c r="S40" s="59"/>
      <c r="T40" s="1">
        <v>22</v>
      </c>
      <c r="U40" s="1" t="s">
        <v>547</v>
      </c>
      <c r="V40" s="1" t="s">
        <v>548</v>
      </c>
      <c r="W40" s="59">
        <v>8782644401.7982483</v>
      </c>
    </row>
    <row r="41" spans="1:28">
      <c r="R41" s="1" t="s">
        <v>559</v>
      </c>
    </row>
    <row r="42" spans="1:28">
      <c r="R42" s="1" t="s">
        <v>572</v>
      </c>
      <c r="Y42" s="55">
        <v>6816005209.8809996</v>
      </c>
      <c r="Z42" s="40">
        <v>6819642531.6200256</v>
      </c>
      <c r="AA42" s="40">
        <f>Z42-Y42</f>
        <v>3637321.7390260696</v>
      </c>
      <c r="AB42" s="39">
        <f>AA42/Y42</f>
        <v>5.3364421343943974E-4</v>
      </c>
    </row>
    <row r="43" spans="1:28">
      <c r="R43" s="1" t="s">
        <v>573</v>
      </c>
    </row>
    <row r="44" spans="1:28">
      <c r="A44" s="1">
        <v>19</v>
      </c>
      <c r="B44" s="50" t="s">
        <v>583</v>
      </c>
      <c r="C44" s="51" t="s">
        <v>584</v>
      </c>
      <c r="R44" s="1" t="s">
        <v>574</v>
      </c>
    </row>
    <row r="45" spans="1:28">
      <c r="R45" s="1" t="s">
        <v>575</v>
      </c>
    </row>
    <row r="46" spans="1:28">
      <c r="A46" s="1">
        <v>21</v>
      </c>
      <c r="B46" s="47" t="s">
        <v>555</v>
      </c>
      <c r="C46" s="42">
        <v>206377155.05704975</v>
      </c>
      <c r="R46" s="1" t="s">
        <v>576</v>
      </c>
    </row>
    <row r="47" spans="1:28">
      <c r="B47" s="47" t="s">
        <v>621</v>
      </c>
      <c r="C47" s="42"/>
      <c r="R47" s="1" t="s">
        <v>577</v>
      </c>
    </row>
    <row r="48" spans="1:28">
      <c r="B48" s="47" t="s">
        <v>624</v>
      </c>
      <c r="C48" s="42"/>
      <c r="R48" s="1" t="s">
        <v>578</v>
      </c>
    </row>
    <row r="49" spans="2:18">
      <c r="B49" s="47" t="s">
        <v>622</v>
      </c>
      <c r="C49" s="42"/>
      <c r="R49" s="1" t="s">
        <v>579</v>
      </c>
    </row>
    <row r="50" spans="2:18">
      <c r="B50" s="47" t="s">
        <v>623</v>
      </c>
      <c r="C50" s="42"/>
      <c r="R50" s="1" t="s">
        <v>580</v>
      </c>
    </row>
    <row r="51" spans="2:18">
      <c r="B51" s="47" t="s">
        <v>618</v>
      </c>
      <c r="C51" s="42"/>
      <c r="Q51" s="1" t="s">
        <v>598</v>
      </c>
      <c r="R51" s="1" t="s">
        <v>596</v>
      </c>
    </row>
    <row r="52" spans="2:18">
      <c r="B52" s="47" t="s">
        <v>619</v>
      </c>
      <c r="C52" s="42"/>
      <c r="Q52" s="1" t="s">
        <v>638</v>
      </c>
      <c r="R52" s="1" t="s">
        <v>596</v>
      </c>
    </row>
    <row r="53" spans="2:18">
      <c r="B53" s="47" t="s">
        <v>620</v>
      </c>
      <c r="C53" s="42"/>
    </row>
  </sheetData>
  <mergeCells count="22">
    <mergeCell ref="B35:C35"/>
    <mergeCell ref="B18:C18"/>
    <mergeCell ref="B19:C19"/>
    <mergeCell ref="B20:C20"/>
    <mergeCell ref="B21:C21"/>
    <mergeCell ref="B22:C22"/>
    <mergeCell ref="B36:C36"/>
    <mergeCell ref="B37:C37"/>
    <mergeCell ref="B38:C38"/>
    <mergeCell ref="B39:C39"/>
    <mergeCell ref="B23:C23"/>
    <mergeCell ref="B28:C28"/>
    <mergeCell ref="B29:C29"/>
    <mergeCell ref="B30:C30"/>
    <mergeCell ref="B31:C31"/>
    <mergeCell ref="B24:C24"/>
    <mergeCell ref="B25:C25"/>
    <mergeCell ref="B26:C26"/>
    <mergeCell ref="B27:C27"/>
    <mergeCell ref="B32:C32"/>
    <mergeCell ref="B33:C33"/>
    <mergeCell ref="B34:C34"/>
  </mergeCells>
  <phoneticPr fontId="2" type="noConversion"/>
  <dataValidations count="1">
    <dataValidation type="list" allowBlank="1" showInputMessage="1" showErrorMessage="1" sqref="C44">
      <formula1>"Net Present Value, PV01, GIRR Delta"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Y42"/>
  <sheetViews>
    <sheetView tabSelected="1" topLeftCell="O1" zoomScale="85" zoomScaleNormal="85" workbookViewId="0">
      <pane ySplit="14" topLeftCell="A15" activePane="bottomLeft" state="frozen"/>
      <selection pane="bottomLeft" activeCell="O27" sqref="O27"/>
    </sheetView>
  </sheetViews>
  <sheetFormatPr defaultColWidth="9" defaultRowHeight="16.5"/>
  <cols>
    <col min="1" max="1" width="4.625" style="1" customWidth="1"/>
    <col min="2" max="2" width="16.125" style="1" customWidth="1"/>
    <col min="3" max="3" width="22.25" style="1" customWidth="1"/>
    <col min="4" max="4" width="17.625" style="1" customWidth="1"/>
    <col min="5" max="5" width="5.625" style="1" customWidth="1"/>
    <col min="6" max="13" width="20.625" style="1" customWidth="1"/>
    <col min="14" max="15" width="75.625" style="1" customWidth="1"/>
    <col min="16" max="16" width="5.625" style="1" customWidth="1"/>
    <col min="17" max="18" width="20.625" style="34" customWidth="1"/>
    <col min="19" max="19" width="20.625" style="1" customWidth="1"/>
    <col min="20" max="20" width="5.625" style="1" customWidth="1"/>
    <col min="21" max="26" width="20.625" style="1" customWidth="1"/>
    <col min="27" max="16384" width="9" style="1"/>
  </cols>
  <sheetData>
    <row r="1" spans="2:23" s="4" customFormat="1">
      <c r="Q1" s="60"/>
      <c r="R1" s="60"/>
    </row>
    <row r="2" spans="2:23" s="5" customFormat="1">
      <c r="Q2" s="61"/>
      <c r="R2" s="61"/>
    </row>
    <row r="3" spans="2:23" ht="8.1" customHeight="1"/>
    <row r="4" spans="2:23">
      <c r="B4" s="7" t="s">
        <v>478</v>
      </c>
      <c r="C4" s="7"/>
    </row>
    <row r="5" spans="2:23" ht="8.1" customHeight="1"/>
    <row r="6" spans="2:23">
      <c r="B6" s="1" t="s">
        <v>480</v>
      </c>
    </row>
    <row r="8" spans="2:23">
      <c r="B8" s="7" t="s">
        <v>479</v>
      </c>
      <c r="C8" s="7"/>
      <c r="J8" s="7" t="s">
        <v>634</v>
      </c>
    </row>
    <row r="9" spans="2:23" ht="8.1" customHeight="1"/>
    <row r="10" spans="2:23">
      <c r="B10" s="1" t="s">
        <v>481</v>
      </c>
      <c r="J10" s="15" t="s">
        <v>639</v>
      </c>
    </row>
    <row r="11" spans="2:23">
      <c r="B11" s="1" t="s">
        <v>504</v>
      </c>
      <c r="J11" s="87" t="s">
        <v>640</v>
      </c>
    </row>
    <row r="12" spans="2:23" ht="18">
      <c r="B12" s="1" t="s">
        <v>533</v>
      </c>
      <c r="J12" s="70" t="s">
        <v>641</v>
      </c>
    </row>
    <row r="14" spans="2:23" s="49" customFormat="1" ht="8.1" customHeight="1">
      <c r="Q14" s="62"/>
      <c r="R14" s="62"/>
    </row>
    <row r="15" spans="2:23">
      <c r="O15" s="7" t="s">
        <v>655</v>
      </c>
      <c r="W15" s="7" t="s">
        <v>660</v>
      </c>
    </row>
    <row r="16" spans="2:23">
      <c r="B16" s="29" t="s">
        <v>496</v>
      </c>
      <c r="C16" s="29"/>
      <c r="D16" s="5"/>
      <c r="F16" s="29" t="s">
        <v>549</v>
      </c>
      <c r="G16" s="5"/>
      <c r="H16" s="5"/>
      <c r="N16" s="7" t="s">
        <v>654</v>
      </c>
      <c r="O16" s="89" t="s">
        <v>657</v>
      </c>
      <c r="Q16" s="63" t="s">
        <v>505</v>
      </c>
      <c r="R16" s="61"/>
      <c r="S16" s="5"/>
      <c r="T16" s="38"/>
      <c r="W16" s="89" t="s">
        <v>662</v>
      </c>
    </row>
    <row r="17" spans="1:25">
      <c r="N17" s="89" t="s">
        <v>656</v>
      </c>
      <c r="O17" s="89" t="s">
        <v>658</v>
      </c>
      <c r="Q17" s="64" t="s">
        <v>517</v>
      </c>
      <c r="U17" s="7" t="s">
        <v>557</v>
      </c>
      <c r="W17" s="89" t="s">
        <v>663</v>
      </c>
    </row>
    <row r="18" spans="1:25">
      <c r="A18" s="1">
        <v>1</v>
      </c>
      <c r="B18" s="93" t="s">
        <v>519</v>
      </c>
      <c r="C18" s="94"/>
      <c r="D18" s="14" t="s">
        <v>2</v>
      </c>
      <c r="F18" s="46"/>
      <c r="G18" s="37" t="s">
        <v>489</v>
      </c>
      <c r="H18" s="37" t="s">
        <v>524</v>
      </c>
      <c r="I18" s="37" t="s">
        <v>628</v>
      </c>
      <c r="J18" s="37" t="s">
        <v>499</v>
      </c>
      <c r="K18" s="37" t="s">
        <v>486</v>
      </c>
      <c r="L18" s="37" t="s">
        <v>536</v>
      </c>
      <c r="M18" s="37" t="s">
        <v>497</v>
      </c>
      <c r="N18" s="37" t="s">
        <v>498</v>
      </c>
      <c r="O18" s="37" t="s">
        <v>534</v>
      </c>
      <c r="Q18" s="37" t="s">
        <v>514</v>
      </c>
      <c r="R18" s="37" t="s">
        <v>515</v>
      </c>
      <c r="S18" s="41" t="s">
        <v>516</v>
      </c>
      <c r="U18" s="35" t="s">
        <v>518</v>
      </c>
      <c r="V18" s="35" t="s">
        <v>495</v>
      </c>
      <c r="W18" s="35" t="s">
        <v>516</v>
      </c>
    </row>
    <row r="19" spans="1:25">
      <c r="A19" s="1">
        <v>2</v>
      </c>
      <c r="B19" s="93" t="s">
        <v>521</v>
      </c>
      <c r="C19" s="94"/>
      <c r="D19" s="14" t="s">
        <v>4</v>
      </c>
      <c r="E19" s="1">
        <v>1</v>
      </c>
      <c r="F19" s="56" t="s">
        <v>502</v>
      </c>
      <c r="G19" s="77" t="s">
        <v>526</v>
      </c>
      <c r="H19" s="78">
        <v>4576279.99</v>
      </c>
      <c r="I19" s="79">
        <v>46164</v>
      </c>
      <c r="J19" s="15">
        <v>1.3890410958904109</v>
      </c>
      <c r="K19" s="77" t="s">
        <v>525</v>
      </c>
      <c r="L19" s="15">
        <v>2.035516736341064</v>
      </c>
      <c r="M19" s="85">
        <v>0.97239784994551037</v>
      </c>
      <c r="N19" s="86">
        <v>4449964.8230246622</v>
      </c>
      <c r="O19" s="86">
        <f>IF($G$19="KRW",N19-N20*$D$24,N19*$D$24-N20)</f>
        <v>207531076.41867352</v>
      </c>
      <c r="P19" s="1">
        <v>1</v>
      </c>
      <c r="Q19" s="77" t="s">
        <v>550</v>
      </c>
      <c r="R19" s="77" t="s">
        <v>559</v>
      </c>
      <c r="S19" s="83">
        <v>-2.9802322387695313E-3</v>
      </c>
      <c r="U19" s="13" t="s">
        <v>588</v>
      </c>
      <c r="V19" s="82">
        <f>D24*1.01</f>
        <v>1547.9037800000001</v>
      </c>
      <c r="W19" s="84">
        <f>(IF($G$19="KRW",N19-N20*$V$19,N19*$V$19-N20)-$O$19)*100</f>
        <v>6819918188.5415077</v>
      </c>
    </row>
    <row r="20" spans="1:25">
      <c r="A20" s="1">
        <v>3</v>
      </c>
      <c r="B20" s="93" t="s">
        <v>522</v>
      </c>
      <c r="C20" s="94"/>
      <c r="D20" s="14" t="s">
        <v>523</v>
      </c>
      <c r="E20" s="1">
        <v>2</v>
      </c>
      <c r="F20" s="56" t="s">
        <v>503</v>
      </c>
      <c r="G20" s="77" t="s">
        <v>485</v>
      </c>
      <c r="H20" s="78">
        <v>6820853799.5</v>
      </c>
      <c r="I20" s="79">
        <v>46164</v>
      </c>
      <c r="J20" s="15">
        <v>1.3890410958904109</v>
      </c>
      <c r="K20" s="77" t="s">
        <v>527</v>
      </c>
      <c r="L20" s="15">
        <v>2.2597849070381786</v>
      </c>
      <c r="M20" s="85">
        <v>0.96943686325713874</v>
      </c>
      <c r="N20" s="86">
        <v>6612387112.122817</v>
      </c>
      <c r="O20" s="49"/>
      <c r="P20" s="1">
        <v>2</v>
      </c>
      <c r="Q20" s="77" t="s">
        <v>550</v>
      </c>
      <c r="R20" s="77" t="s">
        <v>572</v>
      </c>
      <c r="S20" s="83">
        <v>-2.9802322387695313E-3</v>
      </c>
    </row>
    <row r="21" spans="1:25">
      <c r="A21" s="1">
        <v>4</v>
      </c>
      <c r="B21" s="93" t="s">
        <v>482</v>
      </c>
      <c r="C21" s="94"/>
      <c r="D21" s="14">
        <v>45434</v>
      </c>
      <c r="F21" s="56"/>
      <c r="G21" s="34"/>
      <c r="H21" s="57"/>
      <c r="I21" s="10"/>
      <c r="K21" s="34"/>
      <c r="L21" s="7" t="s">
        <v>653</v>
      </c>
      <c r="M21" s="58"/>
      <c r="N21" s="38"/>
      <c r="P21" s="1">
        <v>3</v>
      </c>
      <c r="Q21" s="77" t="s">
        <v>550</v>
      </c>
      <c r="R21" s="77" t="s">
        <v>573</v>
      </c>
      <c r="S21" s="83">
        <v>-5554500396.9699144</v>
      </c>
    </row>
    <row r="22" spans="1:25">
      <c r="A22" s="1">
        <v>5</v>
      </c>
      <c r="B22" s="93" t="s">
        <v>483</v>
      </c>
      <c r="C22" s="94"/>
      <c r="D22" s="44">
        <v>46164</v>
      </c>
      <c r="E22" s="73" t="s">
        <v>652</v>
      </c>
      <c r="F22" s="56"/>
      <c r="G22" s="34"/>
      <c r="H22" s="57"/>
      <c r="I22" s="10"/>
      <c r="K22" s="34"/>
      <c r="M22" s="58"/>
      <c r="N22" s="38"/>
      <c r="P22" s="1">
        <v>4</v>
      </c>
      <c r="Q22" s="77" t="s">
        <v>550</v>
      </c>
      <c r="R22" s="77" t="s">
        <v>574</v>
      </c>
      <c r="S22" s="83">
        <v>-3541604027.4745226</v>
      </c>
    </row>
    <row r="23" spans="1:25">
      <c r="A23" s="1">
        <v>6</v>
      </c>
      <c r="B23" s="93" t="s">
        <v>484</v>
      </c>
      <c r="C23" s="94"/>
      <c r="D23" s="44">
        <v>45657</v>
      </c>
      <c r="E23" s="73" t="s">
        <v>652</v>
      </c>
      <c r="F23" s="56"/>
      <c r="G23" s="34"/>
      <c r="H23" s="57"/>
      <c r="I23" s="10"/>
      <c r="K23" s="34"/>
      <c r="M23" s="58"/>
      <c r="N23" s="38"/>
      <c r="O23" s="34"/>
      <c r="P23" s="1">
        <v>5</v>
      </c>
      <c r="Q23" s="77" t="s">
        <v>550</v>
      </c>
      <c r="R23" s="77" t="s">
        <v>575</v>
      </c>
      <c r="S23" s="83">
        <v>-2.9802322387695313E-3</v>
      </c>
    </row>
    <row r="24" spans="1:25">
      <c r="A24" s="1">
        <v>7</v>
      </c>
      <c r="B24" s="93" t="s">
        <v>495</v>
      </c>
      <c r="C24" s="94"/>
      <c r="D24" s="45">
        <v>1532.578</v>
      </c>
      <c r="E24" s="73" t="s">
        <v>652</v>
      </c>
      <c r="F24" s="56"/>
      <c r="G24" s="34"/>
      <c r="H24" s="57"/>
      <c r="I24" s="10"/>
      <c r="K24" s="34"/>
      <c r="M24" s="58"/>
      <c r="N24" s="38"/>
      <c r="P24" s="1">
        <v>6</v>
      </c>
      <c r="Q24" s="77" t="s">
        <v>550</v>
      </c>
      <c r="R24" s="77" t="s">
        <v>576</v>
      </c>
      <c r="S24" s="83">
        <v>-2.9802322387695313E-3</v>
      </c>
    </row>
    <row r="25" spans="1:25">
      <c r="A25" s="1">
        <v>8</v>
      </c>
      <c r="B25" s="93" t="s">
        <v>528</v>
      </c>
      <c r="C25" s="94"/>
      <c r="D25" s="42">
        <v>1490.4800000010489</v>
      </c>
      <c r="F25" s="75"/>
      <c r="G25" s="34"/>
      <c r="H25" s="57"/>
      <c r="I25" s="10"/>
      <c r="K25" s="34"/>
      <c r="M25" s="58"/>
      <c r="N25" s="38"/>
      <c r="P25" s="1">
        <v>7</v>
      </c>
      <c r="Q25" s="77" t="s">
        <v>550</v>
      </c>
      <c r="R25" s="77" t="s">
        <v>577</v>
      </c>
      <c r="S25" s="83">
        <v>-2.9802322387695313E-3</v>
      </c>
    </row>
    <row r="26" spans="1:25">
      <c r="A26" s="1">
        <v>9</v>
      </c>
      <c r="B26" s="93" t="s">
        <v>554</v>
      </c>
      <c r="C26" s="94"/>
      <c r="D26" s="42">
        <v>1600</v>
      </c>
      <c r="F26" s="56"/>
      <c r="G26" s="34"/>
      <c r="H26" s="57"/>
      <c r="I26" s="10"/>
      <c r="K26" s="76"/>
      <c r="M26" s="58"/>
      <c r="N26" s="38"/>
      <c r="P26" s="1">
        <v>8</v>
      </c>
      <c r="Q26" s="77" t="s">
        <v>525</v>
      </c>
      <c r="R26" s="77" t="s">
        <v>578</v>
      </c>
      <c r="S26" s="83">
        <v>-2.9802322387695313E-3</v>
      </c>
      <c r="X26" s="1" t="s">
        <v>589</v>
      </c>
    </row>
    <row r="27" spans="1:25">
      <c r="A27" s="1">
        <v>10</v>
      </c>
      <c r="B27" s="95" t="s">
        <v>502</v>
      </c>
      <c r="C27" s="30" t="s">
        <v>489</v>
      </c>
      <c r="D27" s="43" t="s">
        <v>526</v>
      </c>
      <c r="E27" s="73" t="s">
        <v>652</v>
      </c>
      <c r="F27" s="56"/>
      <c r="G27" s="34"/>
      <c r="H27" s="57"/>
      <c r="I27" s="10"/>
      <c r="K27" s="34"/>
      <c r="M27" s="58"/>
      <c r="N27" s="38"/>
      <c r="P27" s="1">
        <v>9</v>
      </c>
      <c r="Q27" s="77" t="s">
        <v>550</v>
      </c>
      <c r="R27" s="77" t="s">
        <v>579</v>
      </c>
      <c r="S27" s="83">
        <v>-2.9802322387695313E-3</v>
      </c>
      <c r="U27" s="40">
        <v>4447411.6227000002</v>
      </c>
      <c r="V27" s="40">
        <f>N19</f>
        <v>4449964.8230246622</v>
      </c>
      <c r="W27" s="40">
        <f>V27-U27</f>
        <v>2553.2003246620297</v>
      </c>
      <c r="X27" s="39">
        <f>W27/U27</f>
        <v>5.7408680402557281E-4</v>
      </c>
      <c r="Y27" s="1" t="s">
        <v>594</v>
      </c>
    </row>
    <row r="28" spans="1:25" ht="18">
      <c r="A28" s="1">
        <v>11</v>
      </c>
      <c r="B28" s="96"/>
      <c r="C28" s="30" t="s">
        <v>500</v>
      </c>
      <c r="D28" s="71">
        <v>4576279.99</v>
      </c>
      <c r="E28" s="73" t="s">
        <v>652</v>
      </c>
      <c r="F28" s="56"/>
      <c r="G28" s="34"/>
      <c r="H28" s="57"/>
      <c r="I28" s="10"/>
      <c r="K28" s="34"/>
      <c r="M28" s="58"/>
      <c r="N28" s="38"/>
      <c r="P28" s="1">
        <v>10</v>
      </c>
      <c r="Q28" s="77" t="s">
        <v>550</v>
      </c>
      <c r="R28" s="77" t="s">
        <v>580</v>
      </c>
      <c r="S28" s="83">
        <v>-2.9802322387695313E-3</v>
      </c>
      <c r="U28" s="40">
        <v>6608377374.5215998</v>
      </c>
      <c r="V28" s="40">
        <f>N20</f>
        <v>6612387112.122817</v>
      </c>
      <c r="W28" s="40">
        <f>V28-U28</f>
        <v>4009737.6012172699</v>
      </c>
      <c r="X28" s="39">
        <f>W28/U28</f>
        <v>6.0676583281649328E-4</v>
      </c>
      <c r="Y28" s="1" t="s">
        <v>595</v>
      </c>
    </row>
    <row r="29" spans="1:25">
      <c r="A29" s="1">
        <v>12</v>
      </c>
      <c r="B29" s="96"/>
      <c r="C29" s="30" t="s">
        <v>520</v>
      </c>
      <c r="D29" s="72" t="s">
        <v>91</v>
      </c>
      <c r="E29" s="73" t="s">
        <v>652</v>
      </c>
      <c r="F29" s="56"/>
      <c r="G29" s="34"/>
      <c r="H29" s="57"/>
      <c r="I29" s="10"/>
      <c r="K29" s="34"/>
      <c r="M29" s="58"/>
      <c r="N29" s="38"/>
      <c r="P29" s="1">
        <v>11</v>
      </c>
      <c r="Q29" s="77" t="s">
        <v>535</v>
      </c>
      <c r="R29" s="77" t="s">
        <v>559</v>
      </c>
      <c r="S29" s="83">
        <v>-2.9802322387695313E-3</v>
      </c>
    </row>
    <row r="30" spans="1:25">
      <c r="A30" s="1">
        <v>13</v>
      </c>
      <c r="B30" s="97"/>
      <c r="C30" s="30" t="s">
        <v>486</v>
      </c>
      <c r="D30" s="72" t="s">
        <v>525</v>
      </c>
      <c r="E30" s="73" t="s">
        <v>652</v>
      </c>
      <c r="F30" s="56"/>
      <c r="G30" s="34"/>
      <c r="H30" s="57"/>
      <c r="I30" s="10"/>
      <c r="K30" s="34"/>
      <c r="M30" s="58"/>
      <c r="N30" s="38"/>
      <c r="P30" s="1">
        <v>12</v>
      </c>
      <c r="Q30" s="77" t="s">
        <v>535</v>
      </c>
      <c r="R30" s="77" t="s">
        <v>572</v>
      </c>
      <c r="S30" s="83">
        <v>-2.9802322387695313E-3</v>
      </c>
      <c r="X30" s="1" t="s">
        <v>590</v>
      </c>
    </row>
    <row r="31" spans="1:25">
      <c r="A31" s="1">
        <v>14</v>
      </c>
      <c r="B31" s="95" t="s">
        <v>503</v>
      </c>
      <c r="C31" s="30" t="s">
        <v>489</v>
      </c>
      <c r="D31" s="43" t="s">
        <v>485</v>
      </c>
      <c r="E31" s="73" t="s">
        <v>652</v>
      </c>
      <c r="F31" s="56"/>
      <c r="G31" s="34"/>
      <c r="H31" s="57"/>
      <c r="I31" s="10"/>
      <c r="K31" s="34"/>
      <c r="M31" s="58"/>
      <c r="N31" s="38"/>
      <c r="P31" s="1">
        <v>13</v>
      </c>
      <c r="Q31" s="77" t="s">
        <v>535</v>
      </c>
      <c r="R31" s="77" t="s">
        <v>573</v>
      </c>
      <c r="S31" s="83">
        <v>5363215045.0772047</v>
      </c>
      <c r="U31" s="53">
        <v>-5784137110.5061331</v>
      </c>
      <c r="V31" s="54">
        <f>S21</f>
        <v>-5554500396.9699144</v>
      </c>
      <c r="W31" s="40">
        <f>V31-U31</f>
        <v>229636713.53621864</v>
      </c>
      <c r="X31" s="39">
        <f>W31/U31</f>
        <v>-3.9701118619597277E-2</v>
      </c>
      <c r="Y31" s="39">
        <v>-3.9790142223227132E-2</v>
      </c>
    </row>
    <row r="32" spans="1:25" ht="18">
      <c r="A32" s="1">
        <v>15</v>
      </c>
      <c r="B32" s="96"/>
      <c r="C32" s="30" t="s">
        <v>501</v>
      </c>
      <c r="D32" s="71">
        <v>6820853799.5</v>
      </c>
      <c r="E32" s="73" t="s">
        <v>652</v>
      </c>
      <c r="F32" s="56"/>
      <c r="G32" s="34"/>
      <c r="H32" s="57"/>
      <c r="I32" s="10"/>
      <c r="K32" s="34"/>
      <c r="M32" s="58"/>
      <c r="N32" s="38"/>
      <c r="P32" s="1">
        <v>14</v>
      </c>
      <c r="Q32" s="77" t="s">
        <v>535</v>
      </c>
      <c r="R32" s="77" t="s">
        <v>574</v>
      </c>
      <c r="S32" s="83">
        <v>3419906348.8930464</v>
      </c>
      <c r="U32" s="53">
        <v>-3683229277.0981803</v>
      </c>
      <c r="V32" s="54">
        <f>S22</f>
        <v>-3541604027.4745226</v>
      </c>
      <c r="W32" s="40">
        <f>V32-U32</f>
        <v>141625249.6236577</v>
      </c>
      <c r="X32" s="39">
        <f>W32/U32</f>
        <v>-3.8451380288559357E-2</v>
      </c>
      <c r="Y32" s="39">
        <v>-3.8556579559069021E-2</v>
      </c>
    </row>
    <row r="33" spans="1:25">
      <c r="A33" s="1">
        <v>16</v>
      </c>
      <c r="B33" s="96"/>
      <c r="C33" s="30" t="s">
        <v>520</v>
      </c>
      <c r="D33" s="72" t="s">
        <v>91</v>
      </c>
      <c r="E33" s="73" t="s">
        <v>652</v>
      </c>
      <c r="F33" s="56"/>
      <c r="G33" s="34"/>
      <c r="H33" s="57"/>
      <c r="I33" s="10"/>
      <c r="K33" s="34"/>
      <c r="M33" s="58"/>
      <c r="N33" s="38"/>
      <c r="P33" s="1">
        <v>15</v>
      </c>
      <c r="Q33" s="77" t="s">
        <v>535</v>
      </c>
      <c r="R33" s="77" t="s">
        <v>575</v>
      </c>
      <c r="S33" s="83">
        <v>-2.9802322387695313E-3</v>
      </c>
      <c r="U33" s="53">
        <v>-9467366387.6043129</v>
      </c>
      <c r="V33" s="54">
        <f>S39</f>
        <v>-9095608342.3930397</v>
      </c>
      <c r="W33" s="40">
        <f>V33-U33</f>
        <v>371758045.21127319</v>
      </c>
      <c r="X33" s="39">
        <f>W33/U33</f>
        <v>-3.9267313632016874E-2</v>
      </c>
      <c r="Y33" s="39">
        <v>-3.9362621822130572E-2</v>
      </c>
    </row>
    <row r="34" spans="1:25">
      <c r="A34" s="1">
        <v>17</v>
      </c>
      <c r="B34" s="97"/>
      <c r="C34" s="30" t="s">
        <v>486</v>
      </c>
      <c r="D34" s="72" t="s">
        <v>527</v>
      </c>
      <c r="E34" s="73" t="s">
        <v>652</v>
      </c>
      <c r="F34" s="56"/>
      <c r="G34" s="34"/>
      <c r="H34" s="57"/>
      <c r="I34" s="10"/>
      <c r="K34" s="34"/>
      <c r="M34" s="58"/>
      <c r="N34" s="38"/>
      <c r="P34" s="1">
        <v>16</v>
      </c>
      <c r="Q34" s="77" t="s">
        <v>535</v>
      </c>
      <c r="R34" s="77" t="s">
        <v>576</v>
      </c>
      <c r="S34" s="83">
        <v>-2.9802322387695313E-3</v>
      </c>
      <c r="Y34" s="39"/>
    </row>
    <row r="35" spans="1:25">
      <c r="C35" s="73" t="s">
        <v>652</v>
      </c>
      <c r="F35" s="56"/>
      <c r="G35" s="34"/>
      <c r="H35" s="57"/>
      <c r="I35" s="10"/>
      <c r="K35" s="34"/>
      <c r="M35" s="58"/>
      <c r="N35" s="38"/>
      <c r="P35" s="1">
        <v>17</v>
      </c>
      <c r="Q35" s="77" t="s">
        <v>535</v>
      </c>
      <c r="R35" s="77" t="s">
        <v>577</v>
      </c>
      <c r="S35" s="83">
        <v>-2.9802322387695313E-3</v>
      </c>
      <c r="Y35" s="39"/>
    </row>
    <row r="36" spans="1:25">
      <c r="A36" s="1">
        <v>19</v>
      </c>
      <c r="B36" s="50" t="s">
        <v>583</v>
      </c>
      <c r="C36" s="43" t="s">
        <v>584</v>
      </c>
      <c r="E36" s="73"/>
      <c r="F36" s="56"/>
      <c r="G36" s="34"/>
      <c r="H36" s="57"/>
      <c r="I36" s="10"/>
      <c r="K36" s="34"/>
      <c r="M36" s="58"/>
      <c r="N36" s="38"/>
      <c r="P36" s="1">
        <v>18</v>
      </c>
      <c r="Q36" s="77" t="s">
        <v>535</v>
      </c>
      <c r="R36" s="77" t="s">
        <v>578</v>
      </c>
      <c r="S36" s="83">
        <v>-2.9802322387695313E-3</v>
      </c>
      <c r="Y36" s="39"/>
    </row>
    <row r="37" spans="1:25">
      <c r="F37" s="56"/>
      <c r="G37" s="34"/>
      <c r="H37" s="57"/>
      <c r="I37" s="10"/>
      <c r="K37" s="34"/>
      <c r="M37" s="58"/>
      <c r="N37" s="38"/>
      <c r="P37" s="1">
        <v>19</v>
      </c>
      <c r="Q37" s="77" t="s">
        <v>535</v>
      </c>
      <c r="R37" s="77" t="s">
        <v>579</v>
      </c>
      <c r="S37" s="83">
        <v>-2.9802322387695313E-3</v>
      </c>
      <c r="U37" s="55">
        <v>-5607941842.1173</v>
      </c>
      <c r="V37" s="54">
        <f>S31</f>
        <v>5363215045.0772047</v>
      </c>
      <c r="W37" s="40">
        <f>V37+U37</f>
        <v>-244726797.04009533</v>
      </c>
      <c r="X37" s="39">
        <f>W37/U37</f>
        <v>4.3639325073260349E-2</v>
      </c>
      <c r="Y37" s="39">
        <v>4.363932507272892E-2</v>
      </c>
    </row>
    <row r="38" spans="1:25">
      <c r="A38" s="1">
        <v>21</v>
      </c>
      <c r="B38" s="66" t="s">
        <v>617</v>
      </c>
      <c r="C38" s="67">
        <v>206652811.97849399</v>
      </c>
      <c r="E38" s="73"/>
      <c r="F38" s="56"/>
      <c r="G38" s="34"/>
      <c r="H38" s="57"/>
      <c r="I38" s="10"/>
      <c r="K38" s="34"/>
      <c r="M38" s="58"/>
      <c r="N38" s="38"/>
      <c r="P38" s="1">
        <v>20</v>
      </c>
      <c r="Q38" s="77" t="s">
        <v>535</v>
      </c>
      <c r="R38" s="77" t="s">
        <v>580</v>
      </c>
      <c r="S38" s="83">
        <v>-2.9802322387695313E-3</v>
      </c>
      <c r="U38" s="55">
        <v>-3571031457.6339998</v>
      </c>
      <c r="V38" s="54">
        <f>S32</f>
        <v>3419906348.8930464</v>
      </c>
      <c r="W38" s="40">
        <f>V38+U38</f>
        <v>-151125108.74095345</v>
      </c>
      <c r="X38" s="39">
        <f>W38/U38</f>
        <v>4.2319736057738887E-2</v>
      </c>
      <c r="Y38" s="39">
        <v>4.2319736056904332E-2</v>
      </c>
    </row>
    <row r="39" spans="1:25">
      <c r="P39" s="1">
        <v>21</v>
      </c>
      <c r="Q39" s="77" t="s">
        <v>546</v>
      </c>
      <c r="R39" s="77" t="s">
        <v>596</v>
      </c>
      <c r="S39" s="83">
        <v>-9095608342.3930397</v>
      </c>
      <c r="U39" s="55">
        <f>SUM(U37:U38)</f>
        <v>-9178973299.7513008</v>
      </c>
      <c r="V39" s="54">
        <f>S40</f>
        <v>8782644401.7952671</v>
      </c>
      <c r="W39" s="40">
        <f>V39+U39</f>
        <v>-396328897.95603371</v>
      </c>
      <c r="X39" s="39">
        <f>W39/U39</f>
        <v>4.3177911626213358E-2</v>
      </c>
      <c r="Y39" s="39">
        <v>4.3177911625888576E-2</v>
      </c>
    </row>
    <row r="40" spans="1:25">
      <c r="P40" s="1">
        <v>22</v>
      </c>
      <c r="Q40" s="77" t="s">
        <v>598</v>
      </c>
      <c r="R40" s="77" t="s">
        <v>596</v>
      </c>
      <c r="S40" s="83">
        <v>8782644401.7952671</v>
      </c>
    </row>
    <row r="41" spans="1:25">
      <c r="Q41" s="64" t="s">
        <v>659</v>
      </c>
    </row>
    <row r="42" spans="1:25">
      <c r="Q42" s="90" t="s">
        <v>661</v>
      </c>
      <c r="U42" s="55">
        <v>6816005209.8809996</v>
      </c>
      <c r="V42" s="40">
        <v>6819642531.6200256</v>
      </c>
      <c r="W42" s="40">
        <f>V42-U42</f>
        <v>3637321.7390260696</v>
      </c>
      <c r="X42" s="39">
        <f>W42/U42</f>
        <v>5.3364421343943974E-4</v>
      </c>
    </row>
  </sheetData>
  <dataConsolidate/>
  <mergeCells count="11">
    <mergeCell ref="B18:C18"/>
    <mergeCell ref="B19:C19"/>
    <mergeCell ref="B20:C20"/>
    <mergeCell ref="B25:C25"/>
    <mergeCell ref="B31:B34"/>
    <mergeCell ref="B21:C21"/>
    <mergeCell ref="B22:C22"/>
    <mergeCell ref="B23:C23"/>
    <mergeCell ref="B24:C24"/>
    <mergeCell ref="B27:B30"/>
    <mergeCell ref="B26:C26"/>
  </mergeCells>
  <phoneticPr fontId="2" type="noConversion"/>
  <dataValidations count="1">
    <dataValidation type="list" allowBlank="1" showInputMessage="1" showErrorMessage="1" sqref="C36">
      <formula1>"Net Present Value, PV01, GIRR Delta"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11"/>
  <sheetViews>
    <sheetView zoomScale="85" zoomScaleNormal="85" workbookViewId="0">
      <selection activeCell="A2" sqref="A2"/>
    </sheetView>
  </sheetViews>
  <sheetFormatPr defaultRowHeight="16.5"/>
  <sheetData>
    <row r="1" spans="1:17" s="5" customFormat="1">
      <c r="A1" s="29" t="s">
        <v>634</v>
      </c>
    </row>
    <row r="2" spans="1:17" s="5" customFormat="1">
      <c r="F2" s="98" t="s">
        <v>637</v>
      </c>
      <c r="G2" s="99"/>
    </row>
    <row r="3" spans="1:17" s="5" customFormat="1" ht="33" customHeight="1">
      <c r="F3" s="99"/>
      <c r="G3" s="99"/>
      <c r="H3" s="101" t="s">
        <v>635</v>
      </c>
      <c r="I3" s="101"/>
      <c r="J3" s="102" t="s">
        <v>636</v>
      </c>
      <c r="K3" s="102"/>
    </row>
    <row r="4" spans="1:17" s="5" customFormat="1"/>
    <row r="11" spans="1:17">
      <c r="P11" s="100"/>
      <c r="Q11" s="100"/>
    </row>
  </sheetData>
  <mergeCells count="4">
    <mergeCell ref="F2:G3"/>
    <mergeCell ref="P11:Q11"/>
    <mergeCell ref="H3:I3"/>
    <mergeCell ref="J3:K3"/>
  </mergeCells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23"/>
  <sheetViews>
    <sheetView zoomScale="80" zoomScaleNormal="80" workbookViewId="0">
      <pane ySplit="1" topLeftCell="A2" activePane="bottomLeft" state="frozen"/>
      <selection pane="bottomLeft" activeCell="E18" sqref="E18"/>
    </sheetView>
  </sheetViews>
  <sheetFormatPr defaultColWidth="9" defaultRowHeight="16.5"/>
  <cols>
    <col min="1" max="1" width="14" style="1" customWidth="1"/>
    <col min="2" max="2" width="14" style="34" customWidth="1"/>
    <col min="3" max="3" width="11.375" style="34" customWidth="1"/>
    <col min="4" max="4" width="11.375" style="1" customWidth="1"/>
    <col min="5" max="5" width="14" style="1" customWidth="1"/>
    <col min="6" max="6" width="12.375" style="1" bestFit="1" customWidth="1"/>
    <col min="7" max="7" width="9" style="1"/>
    <col min="8" max="8" width="15.625" style="1" customWidth="1"/>
    <col min="9" max="9" width="10" style="1" customWidth="1"/>
    <col min="10" max="10" width="10.375" style="1" customWidth="1"/>
    <col min="11" max="12" width="15.625" style="1" customWidth="1"/>
    <col min="13" max="13" width="15.625" style="1" bestFit="1" customWidth="1"/>
    <col min="14" max="14" width="14.25" style="1" bestFit="1" customWidth="1"/>
    <col min="15" max="17" width="9" style="1"/>
    <col min="18" max="18" width="12.125" style="1" bestFit="1" customWidth="1"/>
    <col min="19" max="19" width="15.625" style="1" bestFit="1" customWidth="1"/>
    <col min="20" max="16384" width="9" style="1"/>
  </cols>
  <sheetData>
    <row r="1" spans="1:16">
      <c r="A1" s="31" t="s">
        <v>488</v>
      </c>
      <c r="B1" s="31" t="s">
        <v>490</v>
      </c>
      <c r="C1" s="31" t="s">
        <v>493</v>
      </c>
      <c r="D1" s="31" t="s">
        <v>491</v>
      </c>
      <c r="E1" s="31" t="s">
        <v>492</v>
      </c>
      <c r="F1" s="31" t="s">
        <v>483</v>
      </c>
      <c r="G1" s="48"/>
      <c r="H1" s="31" t="s">
        <v>490</v>
      </c>
      <c r="I1" s="31" t="s">
        <v>493</v>
      </c>
      <c r="J1" s="31" t="s">
        <v>491</v>
      </c>
      <c r="K1" s="31" t="s">
        <v>499</v>
      </c>
      <c r="L1" s="31" t="s">
        <v>492</v>
      </c>
      <c r="M1" s="52" t="s">
        <v>497</v>
      </c>
      <c r="N1" s="52" t="s">
        <v>587</v>
      </c>
    </row>
    <row r="2" spans="1:16">
      <c r="A2" s="44">
        <v>45657</v>
      </c>
      <c r="B2" s="43" t="s">
        <v>525</v>
      </c>
      <c r="C2" s="43">
        <v>3</v>
      </c>
      <c r="D2" s="43" t="s">
        <v>551</v>
      </c>
      <c r="E2" s="45">
        <v>2.6443870299999999</v>
      </c>
      <c r="F2" s="16">
        <v>45747</v>
      </c>
      <c r="H2" s="80" t="s">
        <v>550</v>
      </c>
      <c r="I2" s="80">
        <v>3</v>
      </c>
      <c r="J2" s="80" t="s">
        <v>487</v>
      </c>
      <c r="K2" s="82">
        <v>0.25</v>
      </c>
      <c r="L2" s="81">
        <v>2.6443870299999999</v>
      </c>
      <c r="M2" s="81">
        <v>0.99341083679535103</v>
      </c>
      <c r="N2" s="81">
        <v>2.6100275319364146</v>
      </c>
    </row>
    <row r="3" spans="1:16">
      <c r="A3" s="44">
        <v>45657</v>
      </c>
      <c r="B3" s="43" t="s">
        <v>525</v>
      </c>
      <c r="C3" s="43">
        <v>6</v>
      </c>
      <c r="D3" s="43" t="s">
        <v>551</v>
      </c>
      <c r="E3" s="45">
        <v>2.3805864799999998</v>
      </c>
      <c r="F3" s="16">
        <v>45839</v>
      </c>
      <c r="H3" s="80" t="s">
        <v>550</v>
      </c>
      <c r="I3" s="80">
        <v>6</v>
      </c>
      <c r="J3" s="80" t="s">
        <v>487</v>
      </c>
      <c r="K3" s="82">
        <v>0.5</v>
      </c>
      <c r="L3" s="81">
        <v>2.3805864799999998</v>
      </c>
      <c r="M3" s="81">
        <v>0.98816762726674112</v>
      </c>
      <c r="N3" s="81">
        <v>2.3526923487528504</v>
      </c>
    </row>
    <row r="4" spans="1:16">
      <c r="A4" s="44">
        <v>45657</v>
      </c>
      <c r="B4" s="43" t="s">
        <v>525</v>
      </c>
      <c r="C4" s="43">
        <v>1</v>
      </c>
      <c r="D4" s="43" t="s">
        <v>553</v>
      </c>
      <c r="E4" s="45">
        <v>2.10763173</v>
      </c>
      <c r="F4" s="16">
        <v>46022</v>
      </c>
      <c r="H4" s="80" t="s">
        <v>550</v>
      </c>
      <c r="I4" s="80">
        <v>1</v>
      </c>
      <c r="J4" s="80" t="s">
        <v>552</v>
      </c>
      <c r="K4" s="82">
        <v>1</v>
      </c>
      <c r="L4" s="81">
        <v>2.10763173</v>
      </c>
      <c r="M4" s="81">
        <v>0.97914423607354961</v>
      </c>
      <c r="N4" s="81">
        <v>2.0857283989457525</v>
      </c>
    </row>
    <row r="5" spans="1:16">
      <c r="A5" s="44">
        <v>45657</v>
      </c>
      <c r="B5" s="43" t="s">
        <v>525</v>
      </c>
      <c r="C5" s="43">
        <v>2</v>
      </c>
      <c r="D5" s="43" t="s">
        <v>553</v>
      </c>
      <c r="E5" s="45">
        <v>1.9759313300000001</v>
      </c>
      <c r="F5" s="16">
        <v>46387</v>
      </c>
      <c r="H5" s="80" t="s">
        <v>550</v>
      </c>
      <c r="I5" s="80">
        <v>2</v>
      </c>
      <c r="J5" s="80" t="s">
        <v>552</v>
      </c>
      <c r="K5" s="82">
        <v>2</v>
      </c>
      <c r="L5" s="81">
        <v>1.9759313300000001</v>
      </c>
      <c r="M5" s="81">
        <v>0.96125204896642857</v>
      </c>
      <c r="N5" s="81">
        <v>1.956663209856236</v>
      </c>
    </row>
    <row r="6" spans="1:16">
      <c r="A6" s="44">
        <v>45657</v>
      </c>
      <c r="B6" s="43" t="s">
        <v>525</v>
      </c>
      <c r="C6" s="43">
        <v>3</v>
      </c>
      <c r="D6" s="43" t="s">
        <v>553</v>
      </c>
      <c r="E6" s="45">
        <v>1.98563969</v>
      </c>
      <c r="F6" s="16">
        <v>46752</v>
      </c>
      <c r="H6" s="80" t="s">
        <v>550</v>
      </c>
      <c r="I6" s="80">
        <v>3</v>
      </c>
      <c r="J6" s="80" t="s">
        <v>552</v>
      </c>
      <c r="K6" s="82">
        <v>3</v>
      </c>
      <c r="L6" s="81">
        <v>1.98563969</v>
      </c>
      <c r="M6" s="81">
        <v>0.94217034191045101</v>
      </c>
      <c r="N6" s="81">
        <v>1.966183003176895</v>
      </c>
    </row>
    <row r="7" spans="1:16">
      <c r="A7" s="44">
        <v>45657</v>
      </c>
      <c r="B7" s="43" t="s">
        <v>525</v>
      </c>
      <c r="C7" s="43">
        <v>5</v>
      </c>
      <c r="D7" s="43" t="s">
        <v>553</v>
      </c>
      <c r="E7" s="45">
        <v>2.0714821400000001</v>
      </c>
      <c r="F7" s="16">
        <v>47483</v>
      </c>
      <c r="H7" s="80" t="s">
        <v>550</v>
      </c>
      <c r="I7" s="80">
        <v>5</v>
      </c>
      <c r="J7" s="80" t="s">
        <v>552</v>
      </c>
      <c r="K7" s="82">
        <v>5</v>
      </c>
      <c r="L7" s="81">
        <v>2.0714821400000001</v>
      </c>
      <c r="M7" s="81">
        <v>0.90160920471271055</v>
      </c>
      <c r="N7" s="81">
        <v>2.050318714093526</v>
      </c>
    </row>
    <row r="8" spans="1:16">
      <c r="A8" s="44">
        <v>45657</v>
      </c>
      <c r="B8" s="43" t="s">
        <v>525</v>
      </c>
      <c r="C8" s="43">
        <v>10</v>
      </c>
      <c r="D8" s="43" t="s">
        <v>553</v>
      </c>
      <c r="E8" s="45">
        <v>2.25037149</v>
      </c>
      <c r="F8" s="16">
        <v>49309</v>
      </c>
      <c r="H8" s="80" t="s">
        <v>550</v>
      </c>
      <c r="I8" s="80">
        <v>10</v>
      </c>
      <c r="J8" s="80" t="s">
        <v>552</v>
      </c>
      <c r="K8" s="82">
        <v>10</v>
      </c>
      <c r="L8" s="81">
        <v>2.25037149</v>
      </c>
      <c r="M8" s="81">
        <v>0.79848655523135492</v>
      </c>
      <c r="N8" s="81">
        <v>2.2254242082254128</v>
      </c>
    </row>
    <row r="9" spans="1:16">
      <c r="A9" s="44">
        <v>45657</v>
      </c>
      <c r="B9" s="43" t="s">
        <v>525</v>
      </c>
      <c r="C9" s="43">
        <v>15</v>
      </c>
      <c r="D9" s="43" t="s">
        <v>553</v>
      </c>
      <c r="E9" s="45">
        <v>2.3612887700000003</v>
      </c>
      <c r="F9" s="16">
        <v>51135</v>
      </c>
      <c r="H9" s="80" t="s">
        <v>550</v>
      </c>
      <c r="I9" s="80">
        <v>15</v>
      </c>
      <c r="J9" s="80" t="s">
        <v>552</v>
      </c>
      <c r="K9" s="82">
        <v>15</v>
      </c>
      <c r="L9" s="81">
        <v>2.3612887700000003</v>
      </c>
      <c r="M9" s="81">
        <v>0.70173929715914063</v>
      </c>
      <c r="N9" s="81">
        <v>2.3338415786955955</v>
      </c>
    </row>
    <row r="10" spans="1:16">
      <c r="A10" s="44">
        <v>45657</v>
      </c>
      <c r="B10" s="43" t="s">
        <v>525</v>
      </c>
      <c r="C10" s="43">
        <v>20</v>
      </c>
      <c r="D10" s="43" t="s">
        <v>553</v>
      </c>
      <c r="E10" s="45">
        <v>2.34768987</v>
      </c>
      <c r="F10" s="16">
        <v>52962</v>
      </c>
      <c r="H10" s="80" t="s">
        <v>550</v>
      </c>
      <c r="I10" s="80">
        <v>20</v>
      </c>
      <c r="J10" s="80" t="s">
        <v>552</v>
      </c>
      <c r="K10" s="82">
        <v>20</v>
      </c>
      <c r="L10" s="81">
        <v>2.34768987</v>
      </c>
      <c r="M10" s="81">
        <v>0.62529110229998119</v>
      </c>
      <c r="N10" s="81">
        <v>2.3205554980260144</v>
      </c>
    </row>
    <row r="11" spans="1:16">
      <c r="A11" s="44">
        <v>45657</v>
      </c>
      <c r="B11" s="43" t="s">
        <v>525</v>
      </c>
      <c r="C11" s="43">
        <v>30</v>
      </c>
      <c r="D11" s="43" t="s">
        <v>553</v>
      </c>
      <c r="E11" s="45">
        <v>2.2255283000000001</v>
      </c>
      <c r="F11" s="16">
        <v>56614</v>
      </c>
      <c r="H11" s="80" t="s">
        <v>550</v>
      </c>
      <c r="I11" s="80">
        <v>30</v>
      </c>
      <c r="J11" s="80" t="s">
        <v>552</v>
      </c>
      <c r="K11" s="82">
        <v>30</v>
      </c>
      <c r="L11" s="81">
        <v>2.2255283000000001</v>
      </c>
      <c r="M11" s="81">
        <v>0.51290815239841769</v>
      </c>
      <c r="N11" s="81">
        <v>2.2011248260999334</v>
      </c>
    </row>
    <row r="12" spans="1:16">
      <c r="A12" s="44">
        <v>45657</v>
      </c>
      <c r="B12" s="43" t="s">
        <v>527</v>
      </c>
      <c r="C12" s="43">
        <v>3</v>
      </c>
      <c r="D12" s="43" t="s">
        <v>487</v>
      </c>
      <c r="E12" s="45">
        <v>3.08</v>
      </c>
      <c r="F12" s="16">
        <v>45747</v>
      </c>
      <c r="H12" s="80" t="s">
        <v>535</v>
      </c>
      <c r="I12" s="80">
        <v>3</v>
      </c>
      <c r="J12" s="80" t="s">
        <v>487</v>
      </c>
      <c r="K12" s="82">
        <v>0.25</v>
      </c>
      <c r="L12" s="81">
        <v>3.09</v>
      </c>
      <c r="M12" s="81">
        <v>0.99230476112828636</v>
      </c>
      <c r="N12" s="81">
        <v>3.0432207120201915</v>
      </c>
      <c r="O12" s="7" t="s">
        <v>648</v>
      </c>
    </row>
    <row r="13" spans="1:16">
      <c r="A13" s="44">
        <v>45657</v>
      </c>
      <c r="B13" s="43" t="s">
        <v>527</v>
      </c>
      <c r="C13" s="43">
        <v>6</v>
      </c>
      <c r="D13" s="43" t="s">
        <v>487</v>
      </c>
      <c r="E13" s="45">
        <v>2.58</v>
      </c>
      <c r="F13" s="16">
        <v>45839</v>
      </c>
      <c r="H13" s="80" t="s">
        <v>535</v>
      </c>
      <c r="I13" s="80">
        <v>6</v>
      </c>
      <c r="J13" s="80" t="s">
        <v>487</v>
      </c>
      <c r="K13" s="82">
        <v>0.5</v>
      </c>
      <c r="L13" s="81">
        <v>2.59</v>
      </c>
      <c r="M13" s="81">
        <v>0.98713349046091436</v>
      </c>
      <c r="N13" s="81">
        <v>2.5570276111530044</v>
      </c>
      <c r="P13" s="89" t="s">
        <v>647</v>
      </c>
    </row>
    <row r="14" spans="1:16">
      <c r="A14" s="44">
        <v>45657</v>
      </c>
      <c r="B14" s="43" t="s">
        <v>527</v>
      </c>
      <c r="C14" s="43">
        <v>1</v>
      </c>
      <c r="D14" s="43" t="s">
        <v>552</v>
      </c>
      <c r="E14" s="45">
        <v>2.33</v>
      </c>
      <c r="F14" s="16">
        <v>46022</v>
      </c>
      <c r="H14" s="80" t="s">
        <v>535</v>
      </c>
      <c r="I14" s="80">
        <v>1</v>
      </c>
      <c r="J14" s="80" t="s">
        <v>552</v>
      </c>
      <c r="K14" s="82">
        <v>1</v>
      </c>
      <c r="L14" s="81">
        <v>2.34</v>
      </c>
      <c r="M14" s="81">
        <v>0.97687165695034339</v>
      </c>
      <c r="N14" s="81">
        <v>2.3130417388854467</v>
      </c>
      <c r="O14" s="7" t="s">
        <v>649</v>
      </c>
    </row>
    <row r="15" spans="1:16">
      <c r="A15" s="44">
        <v>45657</v>
      </c>
      <c r="B15" s="43" t="s">
        <v>527</v>
      </c>
      <c r="C15" s="43">
        <v>2</v>
      </c>
      <c r="D15" s="43" t="s">
        <v>552</v>
      </c>
      <c r="E15" s="45">
        <v>2.19</v>
      </c>
      <c r="F15" s="16">
        <v>46387</v>
      </c>
      <c r="H15" s="80" t="s">
        <v>535</v>
      </c>
      <c r="I15" s="80">
        <v>2</v>
      </c>
      <c r="J15" s="80" t="s">
        <v>552</v>
      </c>
      <c r="K15" s="82">
        <v>2</v>
      </c>
      <c r="L15" s="81">
        <v>2.1999999999999997</v>
      </c>
      <c r="M15" s="81">
        <v>0.95695395747304668</v>
      </c>
      <c r="N15" s="81">
        <v>2.1761491781512712</v>
      </c>
      <c r="P15" s="89" t="s">
        <v>650</v>
      </c>
    </row>
    <row r="16" spans="1:16">
      <c r="A16" s="44">
        <v>45657</v>
      </c>
      <c r="B16" s="43" t="s">
        <v>527</v>
      </c>
      <c r="C16" s="43">
        <v>3</v>
      </c>
      <c r="D16" s="43" t="s">
        <v>552</v>
      </c>
      <c r="E16" s="45">
        <v>2.19</v>
      </c>
      <c r="F16" s="16">
        <v>46752</v>
      </c>
      <c r="H16" s="80" t="s">
        <v>535</v>
      </c>
      <c r="I16" s="80">
        <v>3</v>
      </c>
      <c r="J16" s="80" t="s">
        <v>552</v>
      </c>
      <c r="K16" s="82">
        <v>3</v>
      </c>
      <c r="L16" s="81">
        <v>2.1999999999999997</v>
      </c>
      <c r="M16" s="81">
        <v>0.93613086429161885</v>
      </c>
      <c r="N16" s="81">
        <v>2.1761491781512712</v>
      </c>
    </row>
    <row r="17" spans="1:15">
      <c r="A17" s="44">
        <v>45657</v>
      </c>
      <c r="B17" s="43" t="s">
        <v>527</v>
      </c>
      <c r="C17" s="43">
        <v>5</v>
      </c>
      <c r="D17" s="43" t="s">
        <v>552</v>
      </c>
      <c r="E17" s="45">
        <v>2.23</v>
      </c>
      <c r="F17" s="16">
        <v>47483</v>
      </c>
      <c r="H17" s="80" t="s">
        <v>535</v>
      </c>
      <c r="I17" s="80">
        <v>5</v>
      </c>
      <c r="J17" s="80" t="s">
        <v>552</v>
      </c>
      <c r="K17" s="82">
        <v>5</v>
      </c>
      <c r="L17" s="81">
        <v>2.2399999999999998</v>
      </c>
      <c r="M17" s="81">
        <v>0.89404425750035732</v>
      </c>
      <c r="N17" s="81">
        <v>2.2152804641133281</v>
      </c>
      <c r="O17" s="7" t="s">
        <v>643</v>
      </c>
    </row>
    <row r="18" spans="1:15">
      <c r="A18" s="44">
        <v>45657</v>
      </c>
      <c r="B18" s="43" t="s">
        <v>527</v>
      </c>
      <c r="C18" s="43">
        <v>10</v>
      </c>
      <c r="D18" s="43" t="s">
        <v>552</v>
      </c>
      <c r="E18" s="45">
        <v>2.2400000000000002</v>
      </c>
      <c r="F18" s="16">
        <v>49309</v>
      </c>
      <c r="H18" s="80" t="s">
        <v>535</v>
      </c>
      <c r="I18" s="80">
        <v>10</v>
      </c>
      <c r="J18" s="80" t="s">
        <v>552</v>
      </c>
      <c r="K18" s="82">
        <v>10</v>
      </c>
      <c r="L18" s="81">
        <v>2.25</v>
      </c>
      <c r="M18" s="81">
        <v>0.79851621875937706</v>
      </c>
      <c r="N18" s="81">
        <v>2.2250608934819724</v>
      </c>
      <c r="O18" s="89" t="s">
        <v>644</v>
      </c>
    </row>
    <row r="19" spans="1:15">
      <c r="A19" s="44">
        <v>45657</v>
      </c>
      <c r="B19" s="43" t="s">
        <v>527</v>
      </c>
      <c r="C19" s="43">
        <v>15</v>
      </c>
      <c r="D19" s="43" t="s">
        <v>552</v>
      </c>
      <c r="E19" s="45">
        <v>2.12</v>
      </c>
      <c r="F19" s="16">
        <v>51135</v>
      </c>
      <c r="H19" s="80" t="s">
        <v>535</v>
      </c>
      <c r="I19" s="80">
        <v>15</v>
      </c>
      <c r="J19" s="80" t="s">
        <v>552</v>
      </c>
      <c r="K19" s="82">
        <v>15</v>
      </c>
      <c r="L19" s="81">
        <v>2.13</v>
      </c>
      <c r="M19" s="81">
        <v>0.72651220237598735</v>
      </c>
      <c r="N19" s="81">
        <v>2.107632560191631</v>
      </c>
      <c r="O19" s="89" t="s">
        <v>645</v>
      </c>
    </row>
    <row r="20" spans="1:15">
      <c r="A20" s="44">
        <v>45657</v>
      </c>
      <c r="B20" s="43" t="s">
        <v>527</v>
      </c>
      <c r="C20" s="43">
        <v>20</v>
      </c>
      <c r="D20" s="43" t="s">
        <v>552</v>
      </c>
      <c r="E20" s="45">
        <v>2.04</v>
      </c>
      <c r="F20" s="16">
        <v>52962</v>
      </c>
      <c r="H20" s="80" t="s">
        <v>535</v>
      </c>
      <c r="I20" s="80">
        <v>20</v>
      </c>
      <c r="J20" s="80" t="s">
        <v>552</v>
      </c>
      <c r="K20" s="82">
        <v>20</v>
      </c>
      <c r="L20" s="81">
        <v>2.0499999999999998</v>
      </c>
      <c r="M20" s="81">
        <v>0.6636502501363194</v>
      </c>
      <c r="N20" s="81">
        <v>2.0292703267762393</v>
      </c>
      <c r="O20" s="89" t="s">
        <v>646</v>
      </c>
    </row>
    <row r="21" spans="1:15">
      <c r="A21" s="44">
        <v>45657</v>
      </c>
      <c r="B21" s="43" t="s">
        <v>527</v>
      </c>
      <c r="C21" s="43">
        <v>30</v>
      </c>
      <c r="D21" s="43" t="s">
        <v>552</v>
      </c>
      <c r="E21" s="45">
        <v>2.04</v>
      </c>
      <c r="F21" s="16">
        <v>56614</v>
      </c>
      <c r="H21" s="80" t="s">
        <v>535</v>
      </c>
      <c r="I21" s="80">
        <v>30</v>
      </c>
      <c r="J21" s="80" t="s">
        <v>552</v>
      </c>
      <c r="K21" s="82">
        <v>30</v>
      </c>
      <c r="L21" s="81">
        <v>2.0499999999999998</v>
      </c>
      <c r="M21" s="81">
        <v>0.54064089530931658</v>
      </c>
      <c r="N21" s="81">
        <v>2.0292703267762393</v>
      </c>
    </row>
    <row r="22" spans="1:15">
      <c r="C22" s="103" t="s">
        <v>651</v>
      </c>
      <c r="D22" s="103"/>
      <c r="E22" s="74"/>
    </row>
    <row r="23" spans="1:15">
      <c r="C23" s="74"/>
      <c r="D23" s="74"/>
      <c r="E23" s="74"/>
    </row>
  </sheetData>
  <mergeCells count="1">
    <mergeCell ref="C22:D22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3"/>
  <sheetViews>
    <sheetView workbookViewId="0">
      <selection activeCell="C5" sqref="C5"/>
    </sheetView>
  </sheetViews>
  <sheetFormatPr defaultRowHeight="16.5"/>
  <cols>
    <col min="1" max="1" width="11.375" bestFit="1" customWidth="1"/>
    <col min="2" max="2" width="16" bestFit="1" customWidth="1"/>
  </cols>
  <sheetData>
    <row r="1" spans="1:3">
      <c r="A1" t="s">
        <v>490</v>
      </c>
      <c r="B1" t="s">
        <v>520</v>
      </c>
    </row>
    <row r="2" spans="1:3">
      <c r="A2" s="70" t="s">
        <v>525</v>
      </c>
      <c r="B2" s="70" t="s">
        <v>91</v>
      </c>
      <c r="C2" s="88" t="s">
        <v>642</v>
      </c>
    </row>
    <row r="3" spans="1:3">
      <c r="A3" s="70" t="s">
        <v>527</v>
      </c>
      <c r="B3" s="70" t="s">
        <v>91</v>
      </c>
      <c r="C3" s="88" t="s">
        <v>642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G34"/>
  <sheetViews>
    <sheetView workbookViewId="0">
      <selection activeCell="K1" sqref="K1"/>
    </sheetView>
  </sheetViews>
  <sheetFormatPr defaultRowHeight="16.5"/>
  <cols>
    <col min="2" max="2" width="12.375" bestFit="1" customWidth="1"/>
  </cols>
  <sheetData>
    <row r="2" spans="2:7">
      <c r="B2" t="s">
        <v>132</v>
      </c>
    </row>
    <row r="4" spans="2:7">
      <c r="B4" t="s">
        <v>537</v>
      </c>
    </row>
    <row r="6" spans="2:7">
      <c r="B6" t="s">
        <v>545</v>
      </c>
    </row>
    <row r="7" spans="2:7">
      <c r="B7" t="s">
        <v>488</v>
      </c>
    </row>
    <row r="8" spans="2:7">
      <c r="B8" t="s">
        <v>490</v>
      </c>
    </row>
    <row r="9" spans="2:7">
      <c r="B9" t="s">
        <v>493</v>
      </c>
      <c r="C9" t="s">
        <v>542</v>
      </c>
    </row>
    <row r="10" spans="2:7">
      <c r="B10" t="s">
        <v>491</v>
      </c>
      <c r="C10" t="s">
        <v>541</v>
      </c>
      <c r="G10" t="s">
        <v>543</v>
      </c>
    </row>
    <row r="11" spans="2:7">
      <c r="B11" t="s">
        <v>492</v>
      </c>
      <c r="C11" t="s">
        <v>544</v>
      </c>
    </row>
    <row r="17" spans="2:4">
      <c r="B17" t="s">
        <v>538</v>
      </c>
    </row>
    <row r="18" spans="2:4">
      <c r="B18" t="s">
        <v>539</v>
      </c>
    </row>
    <row r="19" spans="2:4">
      <c r="B19" t="s">
        <v>540</v>
      </c>
    </row>
    <row r="21" spans="2:4">
      <c r="B21" t="s">
        <v>558</v>
      </c>
    </row>
    <row r="22" spans="2:4">
      <c r="B22">
        <v>0</v>
      </c>
      <c r="C22" t="s">
        <v>582</v>
      </c>
    </row>
    <row r="23" spans="2:4">
      <c r="B23">
        <v>1</v>
      </c>
      <c r="C23" s="1" t="s">
        <v>560</v>
      </c>
      <c r="D23" t="s">
        <v>559</v>
      </c>
    </row>
    <row r="24" spans="2:4">
      <c r="B24">
        <v>2</v>
      </c>
      <c r="C24" s="1" t="s">
        <v>561</v>
      </c>
      <c r="D24" t="s">
        <v>572</v>
      </c>
    </row>
    <row r="25" spans="2:4">
      <c r="B25">
        <v>3</v>
      </c>
      <c r="C25" s="1" t="s">
        <v>562</v>
      </c>
      <c r="D25" t="s">
        <v>573</v>
      </c>
    </row>
    <row r="26" spans="2:4">
      <c r="B26">
        <v>4</v>
      </c>
      <c r="C26" s="1" t="s">
        <v>563</v>
      </c>
      <c r="D26" t="s">
        <v>574</v>
      </c>
    </row>
    <row r="27" spans="2:4">
      <c r="B27">
        <v>5</v>
      </c>
      <c r="C27" s="1" t="s">
        <v>564</v>
      </c>
      <c r="D27" t="s">
        <v>575</v>
      </c>
    </row>
    <row r="28" spans="2:4">
      <c r="B28">
        <v>6</v>
      </c>
      <c r="C28" s="1" t="s">
        <v>565</v>
      </c>
      <c r="D28" t="s">
        <v>576</v>
      </c>
    </row>
    <row r="29" spans="2:4">
      <c r="B29">
        <v>7</v>
      </c>
      <c r="C29" s="1" t="s">
        <v>566</v>
      </c>
      <c r="D29" t="s">
        <v>577</v>
      </c>
    </row>
    <row r="30" spans="2:4">
      <c r="B30">
        <v>8</v>
      </c>
      <c r="C30" s="1" t="s">
        <v>567</v>
      </c>
      <c r="D30" t="s">
        <v>578</v>
      </c>
    </row>
    <row r="31" spans="2:4">
      <c r="B31">
        <v>9</v>
      </c>
      <c r="C31" s="1" t="s">
        <v>568</v>
      </c>
      <c r="D31" t="s">
        <v>579</v>
      </c>
    </row>
    <row r="32" spans="2:4">
      <c r="B32">
        <v>10</v>
      </c>
      <c r="C32" s="1" t="s">
        <v>569</v>
      </c>
      <c r="D32" t="s">
        <v>580</v>
      </c>
    </row>
    <row r="33" spans="2:4">
      <c r="B33">
        <v>11</v>
      </c>
      <c r="C33" s="1" t="s">
        <v>570</v>
      </c>
      <c r="D33" t="s">
        <v>581</v>
      </c>
    </row>
    <row r="34" spans="2:4">
      <c r="B34">
        <v>12</v>
      </c>
      <c r="C34" s="1" t="s">
        <v>571</v>
      </c>
      <c r="D34" t="s">
        <v>556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S288"/>
  <sheetViews>
    <sheetView topLeftCell="A28" zoomScale="80" zoomScaleNormal="80" workbookViewId="0">
      <selection activeCell="B51" sqref="B51"/>
    </sheetView>
  </sheetViews>
  <sheetFormatPr defaultColWidth="9" defaultRowHeight="16.5"/>
  <cols>
    <col min="1" max="1" width="4.625" style="1" customWidth="1"/>
    <col min="2" max="2" width="30.625" style="2" customWidth="1"/>
    <col min="3" max="5" width="30.625" style="1" customWidth="1"/>
    <col min="6" max="7" width="25.375" style="1" customWidth="1"/>
    <col min="8" max="8" width="25.375" style="3" customWidth="1"/>
    <col min="9" max="9" width="12.375" style="1" bestFit="1" customWidth="1"/>
    <col min="10" max="11" width="12.375" style="1" customWidth="1"/>
    <col min="12" max="13" width="4.625" style="1" customWidth="1"/>
    <col min="14" max="15" width="12.375" style="1" bestFit="1" customWidth="1"/>
    <col min="16" max="16" width="15" style="1" bestFit="1" customWidth="1"/>
    <col min="17" max="17" width="12.375" style="1" bestFit="1" customWidth="1"/>
    <col min="18" max="18" width="15.125" style="1" bestFit="1" customWidth="1"/>
    <col min="19" max="19" width="12.375" style="1" bestFit="1" customWidth="1"/>
    <col min="20" max="20" width="4.625" style="1" customWidth="1"/>
    <col min="21" max="16384" width="9" style="1"/>
  </cols>
  <sheetData>
    <row r="1" spans="2:8" s="4" customFormat="1"/>
    <row r="2" spans="2:8" s="5" customFormat="1"/>
    <row r="3" spans="2:8" ht="8.1" customHeight="1">
      <c r="B3" s="1"/>
      <c r="H3" s="1"/>
    </row>
    <row r="4" spans="2:8">
      <c r="B4" s="7" t="s">
        <v>0</v>
      </c>
      <c r="H4" s="1"/>
    </row>
    <row r="5" spans="2:8" ht="8.1" customHeight="1">
      <c r="B5" s="1"/>
      <c r="H5" s="1"/>
    </row>
    <row r="6" spans="2:8">
      <c r="B6" s="8" t="s">
        <v>530</v>
      </c>
      <c r="C6" s="8" t="s">
        <v>531</v>
      </c>
      <c r="D6" s="8" t="s">
        <v>532</v>
      </c>
      <c r="E6" s="8" t="s">
        <v>529</v>
      </c>
    </row>
    <row r="7" spans="2:8">
      <c r="B7" s="6" t="s">
        <v>1</v>
      </c>
      <c r="C7" s="6" t="s">
        <v>2</v>
      </c>
      <c r="D7" s="6" t="s">
        <v>3</v>
      </c>
      <c r="E7" s="6" t="s">
        <v>4</v>
      </c>
    </row>
    <row r="8" spans="2:8">
      <c r="B8" s="6" t="s">
        <v>5</v>
      </c>
      <c r="C8" s="6" t="s">
        <v>6</v>
      </c>
      <c r="D8" s="6" t="s">
        <v>7</v>
      </c>
      <c r="E8" s="6" t="s">
        <v>8</v>
      </c>
    </row>
    <row r="9" spans="2:8">
      <c r="B9" s="6" t="s">
        <v>5</v>
      </c>
      <c r="C9" s="6" t="s">
        <v>9</v>
      </c>
      <c r="D9" s="6"/>
      <c r="E9" s="6" t="s">
        <v>10</v>
      </c>
    </row>
    <row r="10" spans="2:8">
      <c r="B10" s="6" t="s">
        <v>11</v>
      </c>
      <c r="C10" s="6" t="s">
        <v>12</v>
      </c>
      <c r="D10" s="6"/>
      <c r="E10" s="6" t="s">
        <v>601</v>
      </c>
    </row>
    <row r="11" spans="2:8">
      <c r="B11" s="6" t="s">
        <v>13</v>
      </c>
      <c r="C11" s="6" t="s">
        <v>14</v>
      </c>
      <c r="D11" s="6"/>
      <c r="E11" s="6" t="s">
        <v>602</v>
      </c>
    </row>
    <row r="12" spans="2:8">
      <c r="B12" s="6" t="s">
        <v>15</v>
      </c>
      <c r="C12" s="6" t="s">
        <v>16</v>
      </c>
      <c r="D12" s="6" t="s">
        <v>17</v>
      </c>
      <c r="E12" s="6" t="s">
        <v>18</v>
      </c>
    </row>
    <row r="13" spans="2:8">
      <c r="B13" s="6" t="s">
        <v>19</v>
      </c>
      <c r="C13" s="6" t="s">
        <v>20</v>
      </c>
      <c r="D13" s="6" t="s">
        <v>21</v>
      </c>
      <c r="E13" s="6" t="s">
        <v>22</v>
      </c>
    </row>
    <row r="14" spans="2:8">
      <c r="B14" s="6" t="s">
        <v>19</v>
      </c>
      <c r="C14" s="6" t="s">
        <v>23</v>
      </c>
      <c r="D14" s="6" t="s">
        <v>24</v>
      </c>
      <c r="E14" s="6" t="s">
        <v>25</v>
      </c>
    </row>
    <row r="15" spans="2:8">
      <c r="B15" s="6" t="s">
        <v>19</v>
      </c>
      <c r="C15" s="6" t="s">
        <v>26</v>
      </c>
      <c r="D15" s="6" t="s">
        <v>17</v>
      </c>
      <c r="E15" s="6" t="s">
        <v>27</v>
      </c>
    </row>
    <row r="16" spans="2:8">
      <c r="B16" s="6" t="s">
        <v>19</v>
      </c>
      <c r="C16" s="6" t="s">
        <v>26</v>
      </c>
      <c r="D16" s="6" t="s">
        <v>21</v>
      </c>
      <c r="E16" s="6" t="s">
        <v>28</v>
      </c>
    </row>
    <row r="17" spans="2:16">
      <c r="B17" s="1"/>
    </row>
    <row r="18" spans="2:16">
      <c r="B18" s="1"/>
    </row>
    <row r="19" spans="2:16">
      <c r="B19" s="7" t="s">
        <v>29</v>
      </c>
    </row>
    <row r="21" spans="2:16">
      <c r="B21" s="27" t="s">
        <v>79</v>
      </c>
      <c r="C21" s="25" t="s">
        <v>97</v>
      </c>
      <c r="D21" s="25"/>
      <c r="E21" s="25"/>
      <c r="F21" s="9"/>
    </row>
    <row r="22" spans="2:16">
      <c r="B22" s="9" t="s">
        <v>104</v>
      </c>
      <c r="C22" s="9" t="s">
        <v>114</v>
      </c>
      <c r="D22" s="9"/>
      <c r="E22" s="9"/>
      <c r="F22" s="9"/>
    </row>
    <row r="23" spans="2:16">
      <c r="B23" s="9"/>
      <c r="C23" s="9" t="s">
        <v>111</v>
      </c>
      <c r="D23" s="9"/>
      <c r="E23" s="9"/>
      <c r="F23" s="9"/>
    </row>
    <row r="24" spans="2:16">
      <c r="B24" s="9"/>
      <c r="C24" s="9" t="s">
        <v>112</v>
      </c>
      <c r="D24" s="9"/>
      <c r="E24" s="9"/>
      <c r="F24" s="9"/>
    </row>
    <row r="25" spans="2:16">
      <c r="B25" s="9"/>
      <c r="C25" s="9" t="s">
        <v>113</v>
      </c>
      <c r="D25" s="9"/>
      <c r="E25" s="9"/>
      <c r="F25" s="9"/>
      <c r="M25" s="1">
        <v>0</v>
      </c>
      <c r="N25" s="1" t="s">
        <v>136</v>
      </c>
    </row>
    <row r="26" spans="2:16">
      <c r="B26" s="9"/>
      <c r="C26" s="9" t="s">
        <v>109</v>
      </c>
      <c r="D26" s="9"/>
      <c r="E26" s="9"/>
      <c r="F26" s="9"/>
      <c r="M26" s="1">
        <v>1</v>
      </c>
      <c r="N26" s="1" t="s">
        <v>133</v>
      </c>
    </row>
    <row r="27" spans="2:16">
      <c r="B27" s="9"/>
      <c r="C27" s="9"/>
      <c r="D27" s="9"/>
      <c r="E27" s="9"/>
      <c r="F27" s="9"/>
      <c r="M27" s="1">
        <v>2</v>
      </c>
      <c r="N27" s="1" t="s">
        <v>134</v>
      </c>
    </row>
    <row r="28" spans="2:16">
      <c r="B28" s="9" t="s">
        <v>105</v>
      </c>
      <c r="C28" s="9" t="s">
        <v>107</v>
      </c>
      <c r="D28" s="9"/>
      <c r="E28" s="9"/>
      <c r="F28" s="9"/>
      <c r="M28" s="1">
        <v>3</v>
      </c>
      <c r="N28" s="1" t="s">
        <v>135</v>
      </c>
      <c r="P28" s="10">
        <v>45717</v>
      </c>
    </row>
    <row r="29" spans="2:16">
      <c r="B29" s="9"/>
      <c r="C29" s="9" t="s">
        <v>109</v>
      </c>
      <c r="D29" s="9"/>
      <c r="E29" s="9"/>
      <c r="F29" s="9"/>
      <c r="P29" s="10">
        <f>IFERROR(P28,MATCH(P28,$P$31:$P$32,0))</f>
        <v>45717</v>
      </c>
    </row>
    <row r="30" spans="2:16">
      <c r="B30" s="9"/>
      <c r="C30" s="9" t="s">
        <v>110</v>
      </c>
      <c r="D30" s="9"/>
      <c r="E30" s="9"/>
      <c r="F30" s="9"/>
    </row>
    <row r="31" spans="2:16">
      <c r="B31" s="9"/>
      <c r="C31" s="9"/>
      <c r="D31" s="9"/>
      <c r="E31" s="9"/>
      <c r="F31" s="9"/>
      <c r="P31" s="10">
        <v>45717</v>
      </c>
    </row>
    <row r="32" spans="2:16">
      <c r="B32" s="9" t="s">
        <v>106</v>
      </c>
      <c r="C32" s="9" t="s">
        <v>107</v>
      </c>
      <c r="D32" s="9"/>
      <c r="E32" s="9"/>
      <c r="F32" s="9"/>
      <c r="P32" s="10">
        <v>45719</v>
      </c>
    </row>
    <row r="33" spans="2:19">
      <c r="B33" s="9"/>
      <c r="C33" s="9" t="s">
        <v>108</v>
      </c>
      <c r="D33" s="9"/>
      <c r="E33" s="9"/>
      <c r="F33" s="9"/>
    </row>
    <row r="34" spans="2:19">
      <c r="B34" s="9"/>
      <c r="C34" s="9"/>
      <c r="D34" s="9"/>
      <c r="E34" s="9"/>
      <c r="F34" s="9"/>
    </row>
    <row r="35" spans="2:19">
      <c r="B35" s="9"/>
      <c r="C35" s="9"/>
      <c r="D35" s="9"/>
      <c r="E35" s="9"/>
      <c r="F35" s="9"/>
    </row>
    <row r="36" spans="2:19">
      <c r="B36" s="9" t="s">
        <v>98</v>
      </c>
      <c r="C36" s="9" t="s">
        <v>101</v>
      </c>
      <c r="D36" s="9"/>
      <c r="E36" s="9"/>
      <c r="F36" s="9"/>
    </row>
    <row r="37" spans="2:19">
      <c r="B37" s="9" t="s">
        <v>99</v>
      </c>
      <c r="C37" s="9" t="s">
        <v>100</v>
      </c>
      <c r="D37" s="9"/>
      <c r="E37" s="9"/>
      <c r="F37" s="9"/>
    </row>
    <row r="38" spans="2:19">
      <c r="B38" s="9" t="s">
        <v>92</v>
      </c>
      <c r="C38" s="9" t="s">
        <v>102</v>
      </c>
      <c r="D38" s="9"/>
      <c r="E38" s="9"/>
      <c r="F38" s="9"/>
    </row>
    <row r="39" spans="2:19">
      <c r="B39" s="26" t="s">
        <v>93</v>
      </c>
      <c r="C39" s="9" t="s">
        <v>103</v>
      </c>
      <c r="D39" s="9"/>
      <c r="E39" s="9"/>
      <c r="F39" s="9"/>
    </row>
    <row r="40" spans="2:19">
      <c r="B40" s="9"/>
      <c r="C40" s="9"/>
      <c r="D40" s="9"/>
      <c r="E40" s="9"/>
      <c r="F40" s="9"/>
    </row>
    <row r="41" spans="2:19">
      <c r="B41" s="9"/>
      <c r="C41" s="9"/>
      <c r="D41" s="9"/>
      <c r="E41" s="9"/>
      <c r="F41" s="9"/>
      <c r="O41" s="10" cm="1">
        <f t="array" ref="O41">BD_Date(O43,$N$44)</f>
        <v>45719</v>
      </c>
      <c r="P41" s="10" cm="1">
        <f t="array" ref="P41">BD_Date(P43,$N$44)</f>
        <v>45719</v>
      </c>
      <c r="Q41" s="10" cm="1">
        <f t="array" ref="Q41">BD_Date(Q43,$N$44)</f>
        <v>45716</v>
      </c>
      <c r="R41" s="10" cm="1">
        <f t="array" ref="R41">BD_Date(R43,$N$44)</f>
        <v>45719</v>
      </c>
      <c r="S41" s="10" cm="1">
        <f t="array" ref="S41">BD_Date(S43,$N$44)</f>
        <v>45747</v>
      </c>
    </row>
    <row r="42" spans="2:19">
      <c r="B42" s="9"/>
      <c r="C42" s="9"/>
      <c r="D42" s="9"/>
      <c r="E42" s="9"/>
      <c r="F42" s="9"/>
    </row>
    <row r="43" spans="2:19">
      <c r="B43" s="9"/>
      <c r="C43" s="9"/>
      <c r="D43" s="9"/>
      <c r="E43" s="9"/>
      <c r="F43" s="9"/>
      <c r="N43" s="13"/>
      <c r="O43" s="13" t="s">
        <v>81</v>
      </c>
      <c r="P43" s="13" t="s">
        <v>116</v>
      </c>
      <c r="Q43" s="13" t="s">
        <v>83</v>
      </c>
      <c r="R43" s="13" t="s">
        <v>117</v>
      </c>
      <c r="S43" s="13" t="s">
        <v>118</v>
      </c>
    </row>
    <row r="44" spans="2:19">
      <c r="B44" s="9"/>
      <c r="C44" s="9"/>
      <c r="D44" s="9"/>
      <c r="E44" s="9"/>
      <c r="F44" s="9"/>
      <c r="G44" s="10">
        <v>45733</v>
      </c>
      <c r="H44" s="12">
        <v>45733</v>
      </c>
      <c r="L44" s="15" t="s">
        <v>120</v>
      </c>
      <c r="M44" s="15">
        <f>WEEKDAY(N44,2)</f>
        <v>6</v>
      </c>
      <c r="N44" s="16">
        <v>45717</v>
      </c>
      <c r="O44" s="16" t="e" cm="1">
        <f t="array" aca="1" ref="O44" ca="1">BDC_F($N44)</f>
        <v>#NAME?</v>
      </c>
      <c r="P44" s="16" t="e" cm="1">
        <f t="array" aca="1" ref="P44" ca="1">BDC_MF($N44)</f>
        <v>#NAME?</v>
      </c>
      <c r="Q44" s="16" t="e" cm="1">
        <f t="array" aca="1" ref="Q44" ca="1">BDC_P($N44)</f>
        <v>#NAME?</v>
      </c>
      <c r="R44" s="16" t="e" cm="1">
        <f t="array" aca="1" ref="R44" ca="1">BDC_MP($N44)</f>
        <v>#NAME?</v>
      </c>
      <c r="S44" s="16" t="e" cm="1">
        <f t="array" aca="1" ref="S44" ca="1">bdc_eom(N44)</f>
        <v>#NAME?</v>
      </c>
    </row>
    <row r="45" spans="2:19">
      <c r="B45" s="9"/>
      <c r="C45" s="9"/>
      <c r="D45" s="9"/>
      <c r="E45" s="9"/>
      <c r="F45" s="9"/>
      <c r="G45" s="1">
        <f>YEAR(G44)</f>
        <v>2025</v>
      </c>
      <c r="H45" s="1">
        <f>YEAR(H44)</f>
        <v>2025</v>
      </c>
      <c r="I45" s="10">
        <f>EOMONTH($H$44,0)</f>
        <v>45747</v>
      </c>
      <c r="J45" s="10"/>
      <c r="K45" s="10"/>
      <c r="L45" s="17" t="s">
        <v>122</v>
      </c>
      <c r="M45" s="17">
        <f t="shared" ref="M45:M108" si="0">WEEKDAY(N45,2)</f>
        <v>7</v>
      </c>
      <c r="N45" s="18">
        <v>45718</v>
      </c>
      <c r="O45" s="18" t="e" cm="1">
        <f t="array" aca="1" ref="O45" ca="1">BDC_F($N45)</f>
        <v>#NAME?</v>
      </c>
      <c r="P45" s="18" t="e" cm="1">
        <f t="array" aca="1" ref="P45" ca="1">BDC_MF($N45)</f>
        <v>#NAME?</v>
      </c>
      <c r="Q45" s="18" t="e" cm="1">
        <f t="array" aca="1" ref="Q45" ca="1">BDC_P($N45)</f>
        <v>#NAME?</v>
      </c>
      <c r="R45" s="18" t="e" cm="1">
        <f t="array" aca="1" ref="R45" ca="1">BDC_MP($N45)</f>
        <v>#NAME?</v>
      </c>
      <c r="S45" s="18" t="e" cm="1">
        <f t="array" aca="1" ref="S45" ca="1">bdc_eom(N45)</f>
        <v>#NAME?</v>
      </c>
    </row>
    <row r="46" spans="2:19">
      <c r="B46" s="9"/>
      <c r="C46" s="9"/>
      <c r="D46" s="9"/>
      <c r="E46" s="9"/>
      <c r="F46" s="9"/>
      <c r="G46" s="1">
        <f>MONTH(G44)</f>
        <v>3</v>
      </c>
      <c r="H46" s="1">
        <f>MONTH(H44)</f>
        <v>3</v>
      </c>
      <c r="I46" s="10">
        <f>EOMONTH($H$44,1)</f>
        <v>45777</v>
      </c>
      <c r="J46" s="10"/>
      <c r="K46" s="10" t="s">
        <v>131</v>
      </c>
      <c r="L46" s="19" t="s">
        <v>124</v>
      </c>
      <c r="M46" s="19">
        <f t="shared" si="0"/>
        <v>1</v>
      </c>
      <c r="N46" s="20">
        <v>45719</v>
      </c>
      <c r="O46" s="20" t="e" cm="1">
        <f t="array" aca="1" ref="O46" ca="1">BDC_F($N46)</f>
        <v>#NAME?</v>
      </c>
      <c r="P46" s="20" t="e" cm="1">
        <f t="array" aca="1" ref="P46" ca="1">BDC_MF($N46)</f>
        <v>#NAME?</v>
      </c>
      <c r="Q46" s="20" t="e" cm="1">
        <f t="array" aca="1" ref="Q46" ca="1">BDC_P($N46)</f>
        <v>#NAME?</v>
      </c>
      <c r="R46" s="20" t="e" cm="1">
        <f t="array" aca="1" ref="R46" ca="1">BDC_MP($N46)</f>
        <v>#NAME?</v>
      </c>
      <c r="S46" s="20" t="e" cm="1">
        <f t="array" aca="1" ref="S46" ca="1">bdc_eom(N46)</f>
        <v>#NAME?</v>
      </c>
    </row>
    <row r="47" spans="2:19">
      <c r="B47" s="9"/>
      <c r="C47" s="9"/>
      <c r="D47" s="9"/>
      <c r="E47" s="9"/>
      <c r="F47" s="9"/>
      <c r="G47" s="1">
        <f>DAY(G44)</f>
        <v>17</v>
      </c>
      <c r="H47" s="1">
        <f>DAY(H44)</f>
        <v>17</v>
      </c>
      <c r="I47" s="10">
        <f>EOMONTH($H$44,2)</f>
        <v>45808</v>
      </c>
      <c r="J47" s="10"/>
      <c r="K47" s="10"/>
      <c r="L47" s="1" t="s">
        <v>126</v>
      </c>
      <c r="M47" s="1">
        <f t="shared" si="0"/>
        <v>2</v>
      </c>
      <c r="N47" s="14">
        <v>45720</v>
      </c>
      <c r="O47" s="14" t="e" cm="1">
        <f t="array" aca="1" ref="O47" ca="1">BDC_F($N47)</f>
        <v>#NAME?</v>
      </c>
      <c r="P47" s="14" t="e" cm="1">
        <f t="array" aca="1" ref="P47" ca="1">BDC_MF($N47)</f>
        <v>#NAME?</v>
      </c>
      <c r="Q47" s="14" t="e" cm="1">
        <f t="array" aca="1" ref="Q47" ca="1">BDC_P($N47)</f>
        <v>#NAME?</v>
      </c>
      <c r="R47" s="14" t="e" cm="1">
        <f t="array" aca="1" ref="R47" ca="1">BDC_MP($N47)</f>
        <v>#NAME?</v>
      </c>
      <c r="S47" s="14" t="e" cm="1">
        <f t="array" aca="1" ref="S47" ca="1">bdc_eom(N47)</f>
        <v>#NAME?</v>
      </c>
    </row>
    <row r="48" spans="2:19">
      <c r="B48" s="27" t="s">
        <v>80</v>
      </c>
      <c r="C48" s="25" t="s">
        <v>115</v>
      </c>
      <c r="D48" s="25"/>
      <c r="E48" s="25"/>
      <c r="F48" s="9"/>
      <c r="L48" s="1" t="s">
        <v>128</v>
      </c>
      <c r="M48" s="1">
        <f t="shared" si="0"/>
        <v>3</v>
      </c>
      <c r="N48" s="14">
        <v>45721</v>
      </c>
      <c r="O48" s="14" t="e" cm="1">
        <f t="array" aca="1" ref="O48" ca="1">BDC_F($N48)</f>
        <v>#NAME?</v>
      </c>
      <c r="P48" s="14" t="e" cm="1">
        <f t="array" aca="1" ref="P48" ca="1">BDC_MF($N48)</f>
        <v>#NAME?</v>
      </c>
      <c r="Q48" s="14" t="e" cm="1">
        <f t="array" aca="1" ref="Q48" ca="1">BDC_P($N48)</f>
        <v>#NAME?</v>
      </c>
      <c r="R48" s="14" t="e" cm="1">
        <f t="array" aca="1" ref="R48" ca="1">BDC_MP($N48)</f>
        <v>#NAME?</v>
      </c>
      <c r="S48" s="14" t="e" cm="1">
        <f t="array" aca="1" ref="S48" ca="1">bdc_eom(N48)</f>
        <v>#NAME?</v>
      </c>
    </row>
    <row r="49" spans="2:19">
      <c r="B49" s="9" t="s">
        <v>81</v>
      </c>
      <c r="C49" s="9" t="s">
        <v>81</v>
      </c>
      <c r="D49" s="9" t="s">
        <v>86</v>
      </c>
      <c r="E49" s="9"/>
      <c r="F49" s="9"/>
      <c r="H49" s="11">
        <f>H44+1</f>
        <v>45734</v>
      </c>
      <c r="L49" s="1" t="s">
        <v>129</v>
      </c>
      <c r="M49" s="1">
        <f t="shared" si="0"/>
        <v>4</v>
      </c>
      <c r="N49" s="14">
        <v>45722</v>
      </c>
      <c r="O49" s="14" t="e" cm="1">
        <f t="array" aca="1" ref="O49" ca="1">BDC_F($N49)</f>
        <v>#NAME?</v>
      </c>
      <c r="P49" s="14" t="e" cm="1">
        <f t="array" aca="1" ref="P49" ca="1">BDC_MF($N49)</f>
        <v>#NAME?</v>
      </c>
      <c r="Q49" s="14" t="e" cm="1">
        <f t="array" aca="1" ref="Q49" ca="1">BDC_P($N49)</f>
        <v>#NAME?</v>
      </c>
      <c r="R49" s="14" t="e" cm="1">
        <f t="array" aca="1" ref="R49" ca="1">BDC_MP($N49)</f>
        <v>#NAME?</v>
      </c>
      <c r="S49" s="14" t="e" cm="1">
        <f t="array" aca="1" ref="S49" ca="1">bdc_eom(N49)</f>
        <v>#NAME?</v>
      </c>
    </row>
    <row r="50" spans="2:19">
      <c r="B50" s="9" t="s">
        <v>82</v>
      </c>
      <c r="C50" s="9" t="s">
        <v>116</v>
      </c>
      <c r="D50" s="9" t="s">
        <v>87</v>
      </c>
      <c r="E50" s="9"/>
      <c r="F50" s="9"/>
      <c r="H50" s="3">
        <f>NETWORKDAYS(H44,H49,)</f>
        <v>2</v>
      </c>
      <c r="L50" s="1" t="s">
        <v>130</v>
      </c>
      <c r="M50" s="1">
        <f t="shared" si="0"/>
        <v>5</v>
      </c>
      <c r="N50" s="14">
        <v>45723</v>
      </c>
      <c r="O50" s="14" t="e" cm="1">
        <f t="array" aca="1" ref="O50" ca="1">BDC_F($N50)</f>
        <v>#NAME?</v>
      </c>
      <c r="P50" s="14" t="e" cm="1">
        <f t="array" aca="1" ref="P50" ca="1">BDC_MF($N50)</f>
        <v>#NAME?</v>
      </c>
      <c r="Q50" s="14" t="e" cm="1">
        <f t="array" aca="1" ref="Q50" ca="1">BDC_P($N50)</f>
        <v>#NAME?</v>
      </c>
      <c r="R50" s="14" t="e" cm="1">
        <f t="array" aca="1" ref="R50" ca="1">BDC_MP($N50)</f>
        <v>#NAME?</v>
      </c>
      <c r="S50" s="14" t="e" cm="1">
        <f t="array" aca="1" ref="S50" ca="1">bdc_eom(N50)</f>
        <v>#NAME?</v>
      </c>
    </row>
    <row r="51" spans="2:19">
      <c r="B51" s="9" t="s">
        <v>83</v>
      </c>
      <c r="C51" s="9" t="s">
        <v>83</v>
      </c>
      <c r="D51" s="9" t="s">
        <v>88</v>
      </c>
      <c r="E51" s="9"/>
      <c r="F51" s="9"/>
      <c r="L51" s="15" t="s">
        <v>119</v>
      </c>
      <c r="M51" s="15">
        <f t="shared" si="0"/>
        <v>6</v>
      </c>
      <c r="N51" s="16">
        <v>45724</v>
      </c>
      <c r="O51" s="16" t="e" cm="1">
        <f t="array" aca="1" ref="O51" ca="1">BDC_F($N51)</f>
        <v>#NAME?</v>
      </c>
      <c r="P51" s="16" t="e" cm="1">
        <f t="array" aca="1" ref="P51" ca="1">BDC_MF($N51)</f>
        <v>#NAME?</v>
      </c>
      <c r="Q51" s="16" t="e" cm="1">
        <f t="array" aca="1" ref="Q51" ca="1">BDC_P($N51)</f>
        <v>#NAME?</v>
      </c>
      <c r="R51" s="16" t="e" cm="1">
        <f t="array" aca="1" ref="R51" ca="1">BDC_MP($N51)</f>
        <v>#NAME?</v>
      </c>
      <c r="S51" s="16" t="e" cm="1">
        <f t="array" aca="1" ref="S51" ca="1">bdc_eom(N51)</f>
        <v>#NAME?</v>
      </c>
    </row>
    <row r="52" spans="2:19">
      <c r="B52" s="9" t="s">
        <v>84</v>
      </c>
      <c r="C52" s="9" t="s">
        <v>117</v>
      </c>
      <c r="D52" s="9" t="s">
        <v>89</v>
      </c>
      <c r="E52" s="9"/>
      <c r="F52" s="9"/>
      <c r="H52" s="11">
        <v>45732</v>
      </c>
      <c r="L52" s="17" t="s">
        <v>121</v>
      </c>
      <c r="M52" s="17">
        <f t="shared" si="0"/>
        <v>7</v>
      </c>
      <c r="N52" s="18">
        <v>45725</v>
      </c>
      <c r="O52" s="18" t="e" cm="1">
        <f t="array" aca="1" ref="O52" ca="1">BDC_F($N52)</f>
        <v>#NAME?</v>
      </c>
      <c r="P52" s="18" t="e" cm="1">
        <f t="array" aca="1" ref="P52" ca="1">BDC_MF($N52)</f>
        <v>#NAME?</v>
      </c>
      <c r="Q52" s="18" t="e" cm="1">
        <f t="array" aca="1" ref="Q52" ca="1">BDC_P($N52)</f>
        <v>#NAME?</v>
      </c>
      <c r="R52" s="18" t="e" cm="1">
        <f t="array" aca="1" ref="R52" ca="1">BDC_MP($N52)</f>
        <v>#NAME?</v>
      </c>
      <c r="S52" s="18" t="e" cm="1">
        <f t="array" aca="1" ref="S52" ca="1">bdc_eom(N52)</f>
        <v>#NAME?</v>
      </c>
    </row>
    <row r="53" spans="2:19">
      <c r="B53" s="9" t="s">
        <v>85</v>
      </c>
      <c r="C53" s="9" t="s">
        <v>118</v>
      </c>
      <c r="D53" s="9" t="s">
        <v>90</v>
      </c>
      <c r="E53" s="9"/>
      <c r="F53" s="9"/>
      <c r="H53" s="3">
        <f>NETWORKDAYS(H52,H49)</f>
        <v>2</v>
      </c>
      <c r="L53" s="1" t="s">
        <v>123</v>
      </c>
      <c r="M53" s="1">
        <f t="shared" si="0"/>
        <v>1</v>
      </c>
      <c r="N53" s="14">
        <v>45726</v>
      </c>
      <c r="O53" s="14" t="e" cm="1">
        <f t="array" aca="1" ref="O53" ca="1">BDC_F($N53)</f>
        <v>#NAME?</v>
      </c>
      <c r="P53" s="14" t="e" cm="1">
        <f t="array" aca="1" ref="P53" ca="1">BDC_MF($N53)</f>
        <v>#NAME?</v>
      </c>
      <c r="Q53" s="14" t="e" cm="1">
        <f t="array" aca="1" ref="Q53" ca="1">BDC_P($N53)</f>
        <v>#NAME?</v>
      </c>
      <c r="R53" s="14" t="e" cm="1">
        <f t="array" aca="1" ref="R53" ca="1">BDC_MP($N53)</f>
        <v>#NAME?</v>
      </c>
      <c r="S53" s="14" t="e" cm="1">
        <f t="array" aca="1" ref="S53" ca="1">bdc_eom(N53)</f>
        <v>#NAME?</v>
      </c>
    </row>
    <row r="54" spans="2:19">
      <c r="B54" s="9"/>
      <c r="C54" s="9"/>
      <c r="D54" s="9"/>
      <c r="E54" s="9"/>
      <c r="F54" s="9"/>
      <c r="L54" s="1" t="s">
        <v>125</v>
      </c>
      <c r="M54" s="1">
        <f t="shared" si="0"/>
        <v>2</v>
      </c>
      <c r="N54" s="14">
        <v>45727</v>
      </c>
      <c r="O54" s="14" t="e" cm="1">
        <f t="array" aca="1" ref="O54" ca="1">BDC_F($N54)</f>
        <v>#NAME?</v>
      </c>
      <c r="P54" s="14" t="e" cm="1">
        <f t="array" aca="1" ref="P54" ca="1">BDC_MF($N54)</f>
        <v>#NAME?</v>
      </c>
      <c r="Q54" s="14" t="e" cm="1">
        <f t="array" aca="1" ref="Q54" ca="1">BDC_P($N54)</f>
        <v>#NAME?</v>
      </c>
      <c r="R54" s="14" t="e" cm="1">
        <f t="array" aca="1" ref="R54" ca="1">BDC_MP($N54)</f>
        <v>#NAME?</v>
      </c>
      <c r="S54" s="14" t="e" cm="1">
        <f t="array" aca="1" ref="S54" ca="1">bdc_eom(N54)</f>
        <v>#NAME?</v>
      </c>
    </row>
    <row r="55" spans="2:19">
      <c r="B55" s="9"/>
      <c r="C55" s="9"/>
      <c r="D55" s="9"/>
      <c r="E55" s="9"/>
      <c r="F55" s="9"/>
      <c r="H55" s="3">
        <f>WEEKDAY(H52,2)</f>
        <v>7</v>
      </c>
      <c r="L55" s="1" t="s">
        <v>127</v>
      </c>
      <c r="M55" s="1">
        <f t="shared" si="0"/>
        <v>3</v>
      </c>
      <c r="N55" s="14">
        <v>45728</v>
      </c>
      <c r="O55" s="14" t="e" cm="1">
        <f t="array" aca="1" ref="O55" ca="1">BDC_F($N55)</f>
        <v>#NAME?</v>
      </c>
      <c r="P55" s="14" t="e" cm="1">
        <f t="array" aca="1" ref="P55" ca="1">BDC_MF($N55)</f>
        <v>#NAME?</v>
      </c>
      <c r="Q55" s="14" t="e" cm="1">
        <f t="array" aca="1" ref="Q55" ca="1">BDC_P($N55)</f>
        <v>#NAME?</v>
      </c>
      <c r="R55" s="14" t="e" cm="1">
        <f t="array" aca="1" ref="R55" ca="1">BDC_MP($N55)</f>
        <v>#NAME?</v>
      </c>
      <c r="S55" s="14" t="e" cm="1">
        <f t="array" aca="1" ref="S55" ca="1">bdc_eom(N55)</f>
        <v>#NAME?</v>
      </c>
    </row>
    <row r="56" spans="2:19">
      <c r="B56" s="27" t="s">
        <v>94</v>
      </c>
      <c r="C56" s="25"/>
      <c r="D56" s="25"/>
      <c r="E56" s="25"/>
      <c r="F56" s="9"/>
      <c r="L56" s="1" t="s">
        <v>129</v>
      </c>
      <c r="M56" s="1">
        <f t="shared" si="0"/>
        <v>4</v>
      </c>
      <c r="N56" s="14">
        <v>45729</v>
      </c>
      <c r="O56" s="14" t="e" cm="1">
        <f t="array" aca="1" ref="O56" ca="1">BDC_F($N56)</f>
        <v>#NAME?</v>
      </c>
      <c r="P56" s="14" t="e" cm="1">
        <f t="array" aca="1" ref="P56" ca="1">BDC_MF($N56)</f>
        <v>#NAME?</v>
      </c>
      <c r="Q56" s="14" t="e" cm="1">
        <f t="array" aca="1" ref="Q56" ca="1">BDC_P($N56)</f>
        <v>#NAME?</v>
      </c>
      <c r="R56" s="14" t="e" cm="1">
        <f t="array" aca="1" ref="R56" ca="1">BDC_MP($N56)</f>
        <v>#NAME?</v>
      </c>
      <c r="S56" s="14" t="e" cm="1">
        <f t="array" aca="1" ref="S56" ca="1">bdc_eom(N56)</f>
        <v>#NAME?</v>
      </c>
    </row>
    <row r="57" spans="2:19">
      <c r="B57" s="9" t="s">
        <v>95</v>
      </c>
      <c r="C57" s="9"/>
      <c r="D57" s="9"/>
      <c r="E57" s="9"/>
      <c r="F57" s="9"/>
      <c r="L57" s="1" t="s">
        <v>130</v>
      </c>
      <c r="M57" s="1">
        <f t="shared" si="0"/>
        <v>5</v>
      </c>
      <c r="N57" s="14">
        <v>45730</v>
      </c>
      <c r="O57" s="14" t="e" cm="1">
        <f t="array" aca="1" ref="O57" ca="1">BDC_F($N57)</f>
        <v>#NAME?</v>
      </c>
      <c r="P57" s="14" t="e" cm="1">
        <f t="array" aca="1" ref="P57" ca="1">BDC_MF($N57)</f>
        <v>#NAME?</v>
      </c>
      <c r="Q57" s="14" t="e" cm="1">
        <f t="array" aca="1" ref="Q57" ca="1">BDC_P($N57)</f>
        <v>#NAME?</v>
      </c>
      <c r="R57" s="14" t="e" cm="1">
        <f t="array" aca="1" ref="R57" ca="1">BDC_MP($N57)</f>
        <v>#NAME?</v>
      </c>
      <c r="S57" s="14" t="e" cm="1">
        <f t="array" aca="1" ref="S57" ca="1">bdc_eom(N57)</f>
        <v>#NAME?</v>
      </c>
    </row>
    <row r="58" spans="2:19">
      <c r="B58" s="9" t="s">
        <v>96</v>
      </c>
      <c r="C58" s="9"/>
      <c r="D58" s="9"/>
      <c r="E58" s="9"/>
      <c r="F58" s="9"/>
      <c r="H58" s="11"/>
      <c r="L58" s="15" t="s">
        <v>119</v>
      </c>
      <c r="M58" s="15">
        <f t="shared" si="0"/>
        <v>6</v>
      </c>
      <c r="N58" s="16">
        <v>45731</v>
      </c>
      <c r="O58" s="16" t="e" cm="1">
        <f t="array" aca="1" ref="O58" ca="1">BDC_F($N58)</f>
        <v>#NAME?</v>
      </c>
      <c r="P58" s="16" t="e" cm="1">
        <f t="array" aca="1" ref="P58" ca="1">BDC_MF($N58)</f>
        <v>#NAME?</v>
      </c>
      <c r="Q58" s="16" t="e" cm="1">
        <f t="array" aca="1" ref="Q58" ca="1">BDC_P($N58)</f>
        <v>#NAME?</v>
      </c>
      <c r="R58" s="16" t="e" cm="1">
        <f t="array" aca="1" ref="R58" ca="1">BDC_MP($N58)</f>
        <v>#NAME?</v>
      </c>
      <c r="S58" s="16" t="e" cm="1">
        <f t="array" aca="1" ref="S58" ca="1">bdc_eom(N58)</f>
        <v>#NAME?</v>
      </c>
    </row>
    <row r="59" spans="2:19">
      <c r="B59" s="9"/>
      <c r="C59" s="9"/>
      <c r="D59" s="9"/>
      <c r="E59" s="9"/>
      <c r="F59" s="9"/>
      <c r="L59" s="17" t="s">
        <v>121</v>
      </c>
      <c r="M59" s="17">
        <f t="shared" si="0"/>
        <v>7</v>
      </c>
      <c r="N59" s="18">
        <v>45732</v>
      </c>
      <c r="O59" s="18" t="e" cm="1">
        <f t="array" aca="1" ref="O59" ca="1">BDC_F($N59)</f>
        <v>#NAME?</v>
      </c>
      <c r="P59" s="18" t="e" cm="1">
        <f t="array" aca="1" ref="P59" ca="1">BDC_MF($N59)</f>
        <v>#NAME?</v>
      </c>
      <c r="Q59" s="18" t="e" cm="1">
        <f t="array" aca="1" ref="Q59" ca="1">BDC_P($N59)</f>
        <v>#NAME?</v>
      </c>
      <c r="R59" s="18" t="e" cm="1">
        <f t="array" aca="1" ref="R59" ca="1">BDC_MP($N59)</f>
        <v>#NAME?</v>
      </c>
      <c r="S59" s="18" t="e" cm="1">
        <f t="array" aca="1" ref="S59" ca="1">bdc_eom(N59)</f>
        <v>#NAME?</v>
      </c>
    </row>
    <row r="60" spans="2:19">
      <c r="B60" s="9"/>
      <c r="C60" s="9"/>
      <c r="D60" s="9"/>
      <c r="E60" s="9"/>
      <c r="F60" s="9"/>
      <c r="L60" s="1" t="s">
        <v>123</v>
      </c>
      <c r="M60" s="1">
        <f t="shared" si="0"/>
        <v>1</v>
      </c>
      <c r="N60" s="14">
        <v>45733</v>
      </c>
      <c r="O60" s="14" t="e" cm="1">
        <f t="array" aca="1" ref="O60" ca="1">BDC_F($N60)</f>
        <v>#NAME?</v>
      </c>
      <c r="P60" s="14" t="e" cm="1">
        <f t="array" aca="1" ref="P60" ca="1">BDC_MF($N60)</f>
        <v>#NAME?</v>
      </c>
      <c r="Q60" s="14" t="e" cm="1">
        <f t="array" aca="1" ref="Q60" ca="1">BDC_P($N60)</f>
        <v>#NAME?</v>
      </c>
      <c r="R60" s="14" t="e" cm="1">
        <f t="array" aca="1" ref="R60" ca="1">BDC_MP($N60)</f>
        <v>#NAME?</v>
      </c>
      <c r="S60" s="14" t="e" cm="1">
        <f t="array" aca="1" ref="S60" ca="1">bdc_eom(N60)</f>
        <v>#NAME?</v>
      </c>
    </row>
    <row r="61" spans="2:19">
      <c r="B61" s="9"/>
      <c r="C61" s="9"/>
      <c r="D61" s="9"/>
      <c r="E61" s="9"/>
      <c r="F61" s="9"/>
      <c r="L61" s="1" t="s">
        <v>125</v>
      </c>
      <c r="M61" s="1">
        <f t="shared" si="0"/>
        <v>2</v>
      </c>
      <c r="N61" s="14">
        <v>45734</v>
      </c>
      <c r="O61" s="14" t="e" cm="1">
        <f t="array" aca="1" ref="O61" ca="1">BDC_F($N61)</f>
        <v>#NAME?</v>
      </c>
      <c r="P61" s="14" t="e" cm="1">
        <f t="array" aca="1" ref="P61" ca="1">BDC_MF($N61)</f>
        <v>#NAME?</v>
      </c>
      <c r="Q61" s="14" t="e" cm="1">
        <f t="array" aca="1" ref="Q61" ca="1">BDC_P($N61)</f>
        <v>#NAME?</v>
      </c>
      <c r="R61" s="14" t="e" cm="1">
        <f t="array" aca="1" ref="R61" ca="1">BDC_MP($N61)</f>
        <v>#NAME?</v>
      </c>
      <c r="S61" s="14" t="e" cm="1">
        <f t="array" aca="1" ref="S61" ca="1">bdc_eom(N61)</f>
        <v>#NAME?</v>
      </c>
    </row>
    <row r="62" spans="2:19">
      <c r="B62" s="27" t="s">
        <v>486</v>
      </c>
      <c r="C62" s="25"/>
      <c r="D62" s="25"/>
      <c r="E62" s="25"/>
      <c r="F62" s="9"/>
      <c r="L62" s="1" t="s">
        <v>127</v>
      </c>
      <c r="M62" s="1">
        <f t="shared" si="0"/>
        <v>3</v>
      </c>
      <c r="N62" s="14">
        <v>45735</v>
      </c>
      <c r="O62" s="14" t="e" cm="1">
        <f t="array" aca="1" ref="O62" ca="1">BDC_F($N62)</f>
        <v>#NAME?</v>
      </c>
      <c r="P62" s="14" t="e" cm="1">
        <f t="array" aca="1" ref="P62" ca="1">BDC_MF($N62)</f>
        <v>#NAME?</v>
      </c>
      <c r="Q62" s="14" t="e" cm="1">
        <f t="array" aca="1" ref="Q62" ca="1">BDC_P($N62)</f>
        <v>#NAME?</v>
      </c>
      <c r="R62" s="14" t="e" cm="1">
        <f t="array" aca="1" ref="R62" ca="1">BDC_MP($N62)</f>
        <v>#NAME?</v>
      </c>
      <c r="S62" s="14" t="e" cm="1">
        <f t="array" aca="1" ref="S62" ca="1">bdc_eom(N62)</f>
        <v>#NAME?</v>
      </c>
    </row>
    <row r="63" spans="2:19">
      <c r="B63" s="9"/>
      <c r="C63" s="9"/>
      <c r="D63" s="9"/>
      <c r="E63" s="9"/>
      <c r="F63" s="9"/>
      <c r="L63" s="1" t="s">
        <v>129</v>
      </c>
      <c r="M63" s="1">
        <f t="shared" si="0"/>
        <v>4</v>
      </c>
      <c r="N63" s="14">
        <v>45736</v>
      </c>
      <c r="O63" s="14" t="e" cm="1">
        <f t="array" aca="1" ref="O63" ca="1">BDC_F($N63)</f>
        <v>#NAME?</v>
      </c>
      <c r="P63" s="14" t="e" cm="1">
        <f t="array" aca="1" ref="P63" ca="1">BDC_MF($N63)</f>
        <v>#NAME?</v>
      </c>
      <c r="Q63" s="14" t="e" cm="1">
        <f t="array" aca="1" ref="Q63" ca="1">BDC_P($N63)</f>
        <v>#NAME?</v>
      </c>
      <c r="R63" s="14" t="e" cm="1">
        <f t="array" aca="1" ref="R63" ca="1">BDC_MP($N63)</f>
        <v>#NAME?</v>
      </c>
      <c r="S63" s="14" t="e" cm="1">
        <f t="array" aca="1" ref="S63" ca="1">bdc_eom(N63)</f>
        <v>#NAME?</v>
      </c>
    </row>
    <row r="64" spans="2:19">
      <c r="B64" s="9"/>
      <c r="C64" s="9"/>
      <c r="D64" s="9"/>
      <c r="E64" s="9"/>
      <c r="F64" s="9"/>
      <c r="L64" s="1" t="s">
        <v>130</v>
      </c>
      <c r="M64" s="1">
        <f t="shared" si="0"/>
        <v>5</v>
      </c>
      <c r="N64" s="14">
        <v>45737</v>
      </c>
      <c r="O64" s="14" t="e" cm="1">
        <f t="array" aca="1" ref="O64" ca="1">BDC_F($N64)</f>
        <v>#NAME?</v>
      </c>
      <c r="P64" s="14" t="e" cm="1">
        <f t="array" aca="1" ref="P64" ca="1">BDC_MF($N64)</f>
        <v>#NAME?</v>
      </c>
      <c r="Q64" s="14" t="e" cm="1">
        <f t="array" aca="1" ref="Q64" ca="1">BDC_P($N64)</f>
        <v>#NAME?</v>
      </c>
      <c r="R64" s="14" t="e" cm="1">
        <f t="array" aca="1" ref="R64" ca="1">BDC_MP($N64)</f>
        <v>#NAME?</v>
      </c>
      <c r="S64" s="14" t="e" cm="1">
        <f t="array" aca="1" ref="S64" ca="1">bdc_eom(N64)</f>
        <v>#NAME?</v>
      </c>
    </row>
    <row r="65" spans="2:19">
      <c r="B65" s="9"/>
      <c r="C65" s="9"/>
      <c r="D65" s="9"/>
      <c r="E65" s="9"/>
      <c r="F65" s="9"/>
      <c r="L65" s="15" t="s">
        <v>119</v>
      </c>
      <c r="M65" s="15">
        <f t="shared" si="0"/>
        <v>6</v>
      </c>
      <c r="N65" s="16">
        <v>45738</v>
      </c>
      <c r="O65" s="16" t="e" cm="1">
        <f t="array" aca="1" ref="O65" ca="1">BDC_F($N65)</f>
        <v>#NAME?</v>
      </c>
      <c r="P65" s="16" t="e" cm="1">
        <f t="array" aca="1" ref="P65" ca="1">BDC_MF($N65)</f>
        <v>#NAME?</v>
      </c>
      <c r="Q65" s="16" t="e" cm="1">
        <f t="array" aca="1" ref="Q65" ca="1">BDC_P($N65)</f>
        <v>#NAME?</v>
      </c>
      <c r="R65" s="16" t="e" cm="1">
        <f t="array" aca="1" ref="R65" ca="1">BDC_MP($N65)</f>
        <v>#NAME?</v>
      </c>
      <c r="S65" s="16" t="e" cm="1">
        <f t="array" aca="1" ref="S65" ca="1">bdc_eom(N65)</f>
        <v>#NAME?</v>
      </c>
    </row>
    <row r="66" spans="2:19">
      <c r="L66" s="17" t="s">
        <v>121</v>
      </c>
      <c r="M66" s="17">
        <f t="shared" si="0"/>
        <v>7</v>
      </c>
      <c r="N66" s="18">
        <v>45739</v>
      </c>
      <c r="O66" s="18" t="e" cm="1">
        <f t="array" aca="1" ref="O66" ca="1">BDC_F($N66)</f>
        <v>#NAME?</v>
      </c>
      <c r="P66" s="18" t="e" cm="1">
        <f t="array" aca="1" ref="P66" ca="1">BDC_MF($N66)</f>
        <v>#NAME?</v>
      </c>
      <c r="Q66" s="18" t="e" cm="1">
        <f t="array" aca="1" ref="Q66" ca="1">BDC_P($N66)</f>
        <v>#NAME?</v>
      </c>
      <c r="R66" s="18" t="e" cm="1">
        <f t="array" aca="1" ref="R66" ca="1">BDC_MP($N66)</f>
        <v>#NAME?</v>
      </c>
      <c r="S66" s="18" t="e" cm="1">
        <f t="array" aca="1" ref="S66" ca="1">bdc_eom(N66)</f>
        <v>#NAME?</v>
      </c>
    </row>
    <row r="67" spans="2:19">
      <c r="L67" s="1" t="s">
        <v>123</v>
      </c>
      <c r="M67" s="1">
        <f t="shared" si="0"/>
        <v>1</v>
      </c>
      <c r="N67" s="14">
        <v>45740</v>
      </c>
      <c r="O67" s="14" t="e" cm="1">
        <f t="array" aca="1" ref="O67" ca="1">BDC_F($N67)</f>
        <v>#NAME?</v>
      </c>
      <c r="P67" s="14" t="e" cm="1">
        <f t="array" aca="1" ref="P67" ca="1">BDC_MF($N67)</f>
        <v>#NAME?</v>
      </c>
      <c r="Q67" s="14" t="e" cm="1">
        <f t="array" aca="1" ref="Q67" ca="1">BDC_P($N67)</f>
        <v>#NAME?</v>
      </c>
      <c r="R67" s="14" t="e" cm="1">
        <f t="array" aca="1" ref="R67" ca="1">BDC_MP($N67)</f>
        <v>#NAME?</v>
      </c>
      <c r="S67" s="14" t="e" cm="1">
        <f t="array" aca="1" ref="S67" ca="1">bdc_eom(N67)</f>
        <v>#NAME?</v>
      </c>
    </row>
    <row r="68" spans="2:19">
      <c r="L68" s="1" t="s">
        <v>125</v>
      </c>
      <c r="M68" s="1">
        <f t="shared" si="0"/>
        <v>2</v>
      </c>
      <c r="N68" s="14">
        <v>45741</v>
      </c>
      <c r="O68" s="14" t="e" cm="1">
        <f t="array" aca="1" ref="O68" ca="1">BDC_F($N68)</f>
        <v>#NAME?</v>
      </c>
      <c r="P68" s="14" t="e" cm="1">
        <f t="array" aca="1" ref="P68" ca="1">BDC_MF($N68)</f>
        <v>#NAME?</v>
      </c>
      <c r="Q68" s="14" t="e" cm="1">
        <f t="array" aca="1" ref="Q68" ca="1">BDC_P($N68)</f>
        <v>#NAME?</v>
      </c>
      <c r="R68" s="14" t="e" cm="1">
        <f t="array" aca="1" ref="R68" ca="1">BDC_MP($N68)</f>
        <v>#NAME?</v>
      </c>
      <c r="S68" s="14" t="e" cm="1">
        <f t="array" aca="1" ref="S68" ca="1">bdc_eom(N68)</f>
        <v>#NAME?</v>
      </c>
    </row>
    <row r="69" spans="2:19">
      <c r="L69" s="1" t="s">
        <v>127</v>
      </c>
      <c r="M69" s="1">
        <f t="shared" si="0"/>
        <v>3</v>
      </c>
      <c r="N69" s="14">
        <v>45742</v>
      </c>
      <c r="O69" s="14" t="e" cm="1">
        <f t="array" aca="1" ref="O69" ca="1">BDC_F($N69)</f>
        <v>#NAME?</v>
      </c>
      <c r="P69" s="14" t="e" cm="1">
        <f t="array" aca="1" ref="P69" ca="1">BDC_MF($N69)</f>
        <v>#NAME?</v>
      </c>
      <c r="Q69" s="14" t="e" cm="1">
        <f t="array" aca="1" ref="Q69" ca="1">BDC_P($N69)</f>
        <v>#NAME?</v>
      </c>
      <c r="R69" s="14" t="e" cm="1">
        <f t="array" aca="1" ref="R69" ca="1">BDC_MP($N69)</f>
        <v>#NAME?</v>
      </c>
      <c r="S69" s="14" t="e" cm="1">
        <f t="array" aca="1" ref="S69" ca="1">bdc_eom(N69)</f>
        <v>#NAME?</v>
      </c>
    </row>
    <row r="70" spans="2:19">
      <c r="L70" s="1" t="s">
        <v>129</v>
      </c>
      <c r="M70" s="1">
        <f t="shared" si="0"/>
        <v>4</v>
      </c>
      <c r="N70" s="14">
        <v>45743</v>
      </c>
      <c r="O70" s="14" t="e" cm="1">
        <f t="array" aca="1" ref="O70" ca="1">BDC_F($N70)</f>
        <v>#NAME?</v>
      </c>
      <c r="P70" s="14" t="e" cm="1">
        <f t="array" aca="1" ref="P70" ca="1">BDC_MF($N70)</f>
        <v>#NAME?</v>
      </c>
      <c r="Q70" s="14" t="e" cm="1">
        <f t="array" aca="1" ref="Q70" ca="1">BDC_P($N70)</f>
        <v>#NAME?</v>
      </c>
      <c r="R70" s="14" t="e" cm="1">
        <f t="array" aca="1" ref="R70" ca="1">BDC_MP($N70)</f>
        <v>#NAME?</v>
      </c>
      <c r="S70" s="14" t="e" cm="1">
        <f t="array" aca="1" ref="S70" ca="1">bdc_eom(N70)</f>
        <v>#NAME?</v>
      </c>
    </row>
    <row r="71" spans="2:19">
      <c r="L71" s="1" t="s">
        <v>130</v>
      </c>
      <c r="M71" s="1">
        <f t="shared" si="0"/>
        <v>5</v>
      </c>
      <c r="N71" s="14">
        <v>45744</v>
      </c>
      <c r="O71" s="14" t="e" cm="1">
        <f t="array" aca="1" ref="O71" ca="1">BDC_F($N71)</f>
        <v>#NAME?</v>
      </c>
      <c r="P71" s="14" t="e" cm="1">
        <f t="array" aca="1" ref="P71" ca="1">BDC_MF($N71)</f>
        <v>#NAME?</v>
      </c>
      <c r="Q71" s="14" t="e" cm="1">
        <f t="array" aca="1" ref="Q71" ca="1">BDC_P($N71)</f>
        <v>#NAME?</v>
      </c>
      <c r="R71" s="14" t="e" cm="1">
        <f t="array" aca="1" ref="R71" ca="1">BDC_MP($N71)</f>
        <v>#NAME?</v>
      </c>
      <c r="S71" s="14" t="e" cm="1">
        <f t="array" aca="1" ref="S71" ca="1">bdc_eom(N71)</f>
        <v>#NAME?</v>
      </c>
    </row>
    <row r="72" spans="2:19">
      <c r="L72" s="15" t="s">
        <v>119</v>
      </c>
      <c r="M72" s="15">
        <f t="shared" si="0"/>
        <v>6</v>
      </c>
      <c r="N72" s="16">
        <v>45745</v>
      </c>
      <c r="O72" s="16" t="e" cm="1">
        <f t="array" aca="1" ref="O72" ca="1">BDC_F($N72)</f>
        <v>#NAME?</v>
      </c>
      <c r="P72" s="16" t="e" cm="1">
        <f t="array" aca="1" ref="P72" ca="1">BDC_MF($N72)</f>
        <v>#NAME?</v>
      </c>
      <c r="Q72" s="16" t="e" cm="1">
        <f t="array" aca="1" ref="Q72" ca="1">BDC_P($N72)</f>
        <v>#NAME?</v>
      </c>
      <c r="R72" s="16" t="e" cm="1">
        <f t="array" aca="1" ref="R72" ca="1">BDC_MP($N72)</f>
        <v>#NAME?</v>
      </c>
      <c r="S72" s="16" t="e" cm="1">
        <f t="array" aca="1" ref="S72" ca="1">bdc_eom(N72)</f>
        <v>#NAME?</v>
      </c>
    </row>
    <row r="73" spans="2:19">
      <c r="B73" s="27" t="s">
        <v>494</v>
      </c>
      <c r="C73" s="25"/>
      <c r="D73" s="25"/>
      <c r="E73" s="25"/>
      <c r="L73" s="17" t="s">
        <v>121</v>
      </c>
      <c r="M73" s="17">
        <f t="shared" si="0"/>
        <v>7</v>
      </c>
      <c r="N73" s="18">
        <v>45746</v>
      </c>
      <c r="O73" s="18" t="e" cm="1">
        <f t="array" aca="1" ref="O73" ca="1">BDC_F($N73)</f>
        <v>#NAME?</v>
      </c>
      <c r="P73" s="18" t="e" cm="1">
        <f t="array" aca="1" ref="P73" ca="1">BDC_MF($N73)</f>
        <v>#NAME?</v>
      </c>
      <c r="Q73" s="18" t="e" cm="1">
        <f t="array" aca="1" ref="Q73" ca="1">BDC_P($N73)</f>
        <v>#NAME?</v>
      </c>
      <c r="R73" s="18" t="e" cm="1">
        <f t="array" aca="1" ref="R73" ca="1">BDC_MP($N73)</f>
        <v>#NAME?</v>
      </c>
      <c r="S73" s="18" t="e" cm="1">
        <f t="array" aca="1" ref="S73" ca="1">bdc_eom(N73)</f>
        <v>#NAME?</v>
      </c>
    </row>
    <row r="74" spans="2:19">
      <c r="L74" s="1" t="s">
        <v>123</v>
      </c>
      <c r="M74" s="1">
        <f t="shared" si="0"/>
        <v>1</v>
      </c>
      <c r="N74" s="14">
        <v>45747</v>
      </c>
      <c r="O74" s="14" t="e" cm="1">
        <f t="array" aca="1" ref="O74" ca="1">BDC_F($N74)</f>
        <v>#NAME?</v>
      </c>
      <c r="P74" s="14" t="e" cm="1">
        <f t="array" aca="1" ref="P74" ca="1">BDC_MF($N74)</f>
        <v>#NAME?</v>
      </c>
      <c r="Q74" s="14" t="e" cm="1">
        <f t="array" aca="1" ref="Q74" ca="1">BDC_P($N74)</f>
        <v>#NAME?</v>
      </c>
      <c r="R74" s="14" t="e" cm="1">
        <f t="array" aca="1" ref="R74" ca="1">BDC_MP($N74)</f>
        <v>#NAME?</v>
      </c>
      <c r="S74" s="14" t="e" cm="1">
        <f t="array" aca="1" ref="S74" ca="1">bdc_eom(N74)</f>
        <v>#NAME?</v>
      </c>
    </row>
    <row r="75" spans="2:19">
      <c r="L75" s="1" t="s">
        <v>125</v>
      </c>
      <c r="M75" s="1">
        <f t="shared" si="0"/>
        <v>2</v>
      </c>
      <c r="N75" s="14">
        <v>45748</v>
      </c>
      <c r="O75" s="14" t="e" cm="1">
        <f t="array" aca="1" ref="O75" ca="1">BDC_F($N75)</f>
        <v>#NAME?</v>
      </c>
      <c r="P75" s="14" t="e" cm="1">
        <f t="array" aca="1" ref="P75" ca="1">BDC_MF($N75)</f>
        <v>#NAME?</v>
      </c>
      <c r="Q75" s="14" t="e" cm="1">
        <f t="array" aca="1" ref="Q75" ca="1">BDC_P($N75)</f>
        <v>#NAME?</v>
      </c>
      <c r="R75" s="14" t="e" cm="1">
        <f t="array" aca="1" ref="R75" ca="1">BDC_MP($N75)</f>
        <v>#NAME?</v>
      </c>
      <c r="S75" s="14" t="e" cm="1">
        <f t="array" aca="1" ref="S75" ca="1">bdc_eom(N75)</f>
        <v>#NAME?</v>
      </c>
    </row>
    <row r="76" spans="2:19">
      <c r="L76" s="1" t="s">
        <v>127</v>
      </c>
      <c r="M76" s="1">
        <f t="shared" si="0"/>
        <v>3</v>
      </c>
      <c r="N76" s="14">
        <v>45749</v>
      </c>
      <c r="O76" s="14" t="e" cm="1">
        <f t="array" aca="1" ref="O76" ca="1">BDC_F($N76)</f>
        <v>#NAME?</v>
      </c>
      <c r="P76" s="14" t="e" cm="1">
        <f t="array" aca="1" ref="P76" ca="1">BDC_MF($N76)</f>
        <v>#NAME?</v>
      </c>
      <c r="Q76" s="14" t="e" cm="1">
        <f t="array" aca="1" ref="Q76" ca="1">BDC_P($N76)</f>
        <v>#NAME?</v>
      </c>
      <c r="R76" s="14" t="e" cm="1">
        <f t="array" aca="1" ref="R76" ca="1">BDC_MP($N76)</f>
        <v>#NAME?</v>
      </c>
      <c r="S76" s="14" t="e" cm="1">
        <f t="array" aca="1" ref="S76" ca="1">bdc_eom(N76)</f>
        <v>#NAME?</v>
      </c>
    </row>
    <row r="77" spans="2:19">
      <c r="L77" s="1" t="s">
        <v>129</v>
      </c>
      <c r="M77" s="1">
        <f t="shared" si="0"/>
        <v>4</v>
      </c>
      <c r="N77" s="14">
        <v>45750</v>
      </c>
      <c r="O77" s="14" t="e" cm="1">
        <f t="array" aca="1" ref="O77" ca="1">BDC_F($N77)</f>
        <v>#NAME?</v>
      </c>
      <c r="P77" s="14" t="e" cm="1">
        <f t="array" aca="1" ref="P77" ca="1">BDC_MF($N77)</f>
        <v>#NAME?</v>
      </c>
      <c r="Q77" s="14" t="e" cm="1">
        <f t="array" aca="1" ref="Q77" ca="1">BDC_P($N77)</f>
        <v>#NAME?</v>
      </c>
      <c r="R77" s="14" t="e" cm="1">
        <f t="array" aca="1" ref="R77" ca="1">BDC_MP($N77)</f>
        <v>#NAME?</v>
      </c>
      <c r="S77" s="14" t="e" cm="1">
        <f t="array" aca="1" ref="S77" ca="1">bdc_eom(N77)</f>
        <v>#NAME?</v>
      </c>
    </row>
    <row r="78" spans="2:19">
      <c r="L78" s="1" t="s">
        <v>130</v>
      </c>
      <c r="M78" s="1">
        <f t="shared" si="0"/>
        <v>5</v>
      </c>
      <c r="N78" s="14">
        <v>45751</v>
      </c>
      <c r="O78" s="14" t="e" cm="1">
        <f t="array" aca="1" ref="O78" ca="1">BDC_F($N78)</f>
        <v>#NAME?</v>
      </c>
      <c r="P78" s="14" t="e" cm="1">
        <f t="array" aca="1" ref="P78" ca="1">BDC_MF($N78)</f>
        <v>#NAME?</v>
      </c>
      <c r="Q78" s="14" t="e" cm="1">
        <f t="array" aca="1" ref="Q78" ca="1">BDC_P($N78)</f>
        <v>#NAME?</v>
      </c>
      <c r="R78" s="14" t="e" cm="1">
        <f t="array" aca="1" ref="R78" ca="1">BDC_MP($N78)</f>
        <v>#NAME?</v>
      </c>
      <c r="S78" s="14" t="e" cm="1">
        <f t="array" aca="1" ref="S78" ca="1">bdc_eom(N78)</f>
        <v>#NAME?</v>
      </c>
    </row>
    <row r="79" spans="2:19">
      <c r="L79" s="15" t="s">
        <v>119</v>
      </c>
      <c r="M79" s="15">
        <f t="shared" si="0"/>
        <v>6</v>
      </c>
      <c r="N79" s="16">
        <v>45752</v>
      </c>
      <c r="O79" s="16" t="e" cm="1">
        <f t="array" aca="1" ref="O79" ca="1">BDC_F($N79)</f>
        <v>#NAME?</v>
      </c>
      <c r="P79" s="16" t="e" cm="1">
        <f t="array" aca="1" ref="P79" ca="1">BDC_MF($N79)</f>
        <v>#NAME?</v>
      </c>
      <c r="Q79" s="21" t="e" cm="1">
        <f t="array" aca="1" ref="Q79" ca="1">BDC_P($N79)</f>
        <v>#NAME?</v>
      </c>
      <c r="R79" s="21" t="e" cm="1">
        <f t="array" aca="1" ref="R79" ca="1">BDC_MP($N79)</f>
        <v>#NAME?</v>
      </c>
      <c r="S79" s="21" t="e" cm="1">
        <f t="array" aca="1" ref="S79" ca="1">bdc_eom(N79)</f>
        <v>#NAME?</v>
      </c>
    </row>
    <row r="80" spans="2:19">
      <c r="L80" s="17" t="s">
        <v>121</v>
      </c>
      <c r="M80" s="17">
        <f t="shared" si="0"/>
        <v>7</v>
      </c>
      <c r="N80" s="18">
        <v>45753</v>
      </c>
      <c r="O80" s="18" t="e" cm="1">
        <f t="array" aca="1" ref="O80" ca="1">BDC_F($N80)</f>
        <v>#NAME?</v>
      </c>
      <c r="P80" s="18" t="e" cm="1">
        <f t="array" aca="1" ref="P80" ca="1">BDC_MF($N80)</f>
        <v>#NAME?</v>
      </c>
      <c r="Q80" s="22" t="e" cm="1">
        <f t="array" aca="1" ref="Q80" ca="1">BDC_P($N80)</f>
        <v>#NAME?</v>
      </c>
      <c r="R80" s="22" t="e" cm="1">
        <f t="array" aca="1" ref="R80" ca="1">BDC_MP($N80)</f>
        <v>#NAME?</v>
      </c>
      <c r="S80" s="22" t="e" cm="1">
        <f t="array" aca="1" ref="S80" ca="1">bdc_eom(N80)</f>
        <v>#NAME?</v>
      </c>
    </row>
    <row r="81" spans="12:19">
      <c r="L81" s="1" t="s">
        <v>123</v>
      </c>
      <c r="M81" s="1">
        <f t="shared" si="0"/>
        <v>1</v>
      </c>
      <c r="N81" s="14">
        <v>45754</v>
      </c>
      <c r="O81" s="14" t="e" cm="1">
        <f t="array" aca="1" ref="O81" ca="1">BDC_F($N81)</f>
        <v>#NAME?</v>
      </c>
      <c r="P81" s="14" t="e" cm="1">
        <f t="array" aca="1" ref="P81" ca="1">BDC_MF($N81)</f>
        <v>#NAME?</v>
      </c>
      <c r="Q81" s="10" t="e" cm="1">
        <f t="array" aca="1" ref="Q81" ca="1">BDC_P($N81)</f>
        <v>#NAME?</v>
      </c>
      <c r="R81" s="10" t="e" cm="1">
        <f t="array" aca="1" ref="R81" ca="1">BDC_MP($N81)</f>
        <v>#NAME?</v>
      </c>
      <c r="S81" s="10" t="e" cm="1">
        <f t="array" aca="1" ref="S81" ca="1">bdc_eom(N81)</f>
        <v>#NAME?</v>
      </c>
    </row>
    <row r="82" spans="12:19">
      <c r="L82" s="1" t="s">
        <v>125</v>
      </c>
      <c r="M82" s="1">
        <f t="shared" si="0"/>
        <v>2</v>
      </c>
      <c r="N82" s="14">
        <v>45755</v>
      </c>
      <c r="O82" s="14" t="e" cm="1">
        <f t="array" aca="1" ref="O82" ca="1">BDC_F($N82)</f>
        <v>#NAME?</v>
      </c>
      <c r="P82" s="14" t="e" cm="1">
        <f t="array" aca="1" ref="P82" ca="1">BDC_MF($N82)</f>
        <v>#NAME?</v>
      </c>
      <c r="Q82" s="10" t="e" cm="1">
        <f t="array" aca="1" ref="Q82" ca="1">BDC_P($N82)</f>
        <v>#NAME?</v>
      </c>
      <c r="R82" s="10" t="e" cm="1">
        <f t="array" aca="1" ref="R82" ca="1">BDC_MP($N82)</f>
        <v>#NAME?</v>
      </c>
      <c r="S82" s="10" t="e" cm="1">
        <f t="array" aca="1" ref="S82" ca="1">bdc_eom(N82)</f>
        <v>#NAME?</v>
      </c>
    </row>
    <row r="83" spans="12:19">
      <c r="L83" s="1" t="s">
        <v>127</v>
      </c>
      <c r="M83" s="1">
        <f t="shared" si="0"/>
        <v>3</v>
      </c>
      <c r="N83" s="14">
        <v>45756</v>
      </c>
      <c r="O83" s="14" t="e" cm="1">
        <f t="array" aca="1" ref="O83" ca="1">BDC_F($N83)</f>
        <v>#NAME?</v>
      </c>
      <c r="P83" s="14" t="e" cm="1">
        <f t="array" aca="1" ref="P83" ca="1">BDC_MF($N83)</f>
        <v>#NAME?</v>
      </c>
      <c r="Q83" s="10" t="e" cm="1">
        <f t="array" aca="1" ref="Q83" ca="1">BDC_P($N83)</f>
        <v>#NAME?</v>
      </c>
      <c r="R83" s="10" t="e" cm="1">
        <f t="array" aca="1" ref="R83" ca="1">BDC_MP($N83)</f>
        <v>#NAME?</v>
      </c>
      <c r="S83" s="10" t="e" cm="1">
        <f t="array" aca="1" ref="S83" ca="1">bdc_eom(N83)</f>
        <v>#NAME?</v>
      </c>
    </row>
    <row r="84" spans="12:19">
      <c r="L84" s="1" t="s">
        <v>129</v>
      </c>
      <c r="M84" s="1">
        <f t="shared" si="0"/>
        <v>4</v>
      </c>
      <c r="N84" s="14">
        <v>45757</v>
      </c>
      <c r="O84" s="14" t="e" cm="1">
        <f t="array" aca="1" ref="O84" ca="1">BDC_F($N84)</f>
        <v>#NAME?</v>
      </c>
      <c r="P84" s="14" t="e" cm="1">
        <f t="array" aca="1" ref="P84" ca="1">BDC_MF($N84)</f>
        <v>#NAME?</v>
      </c>
      <c r="Q84" s="10" t="e" cm="1">
        <f t="array" aca="1" ref="Q84" ca="1">BDC_P($N84)</f>
        <v>#NAME?</v>
      </c>
      <c r="R84" s="10" t="e" cm="1">
        <f t="array" aca="1" ref="R84" ca="1">BDC_MP($N84)</f>
        <v>#NAME?</v>
      </c>
      <c r="S84" s="10" t="e" cm="1">
        <f t="array" aca="1" ref="S84" ca="1">bdc_eom(N84)</f>
        <v>#NAME?</v>
      </c>
    </row>
    <row r="85" spans="12:19">
      <c r="L85" s="1" t="s">
        <v>130</v>
      </c>
      <c r="M85" s="1">
        <f t="shared" si="0"/>
        <v>5</v>
      </c>
      <c r="N85" s="14">
        <v>45758</v>
      </c>
      <c r="O85" s="14" t="e" cm="1">
        <f t="array" aca="1" ref="O85" ca="1">BDC_F($N85)</f>
        <v>#NAME?</v>
      </c>
      <c r="P85" s="14" t="e" cm="1">
        <f t="array" aca="1" ref="P85" ca="1">BDC_MF($N85)</f>
        <v>#NAME?</v>
      </c>
      <c r="Q85" s="10" t="e" cm="1">
        <f t="array" aca="1" ref="Q85" ca="1">BDC_P($N85)</f>
        <v>#NAME?</v>
      </c>
      <c r="R85" s="10" t="e" cm="1">
        <f t="array" aca="1" ref="R85" ca="1">BDC_MP($N85)</f>
        <v>#NAME?</v>
      </c>
      <c r="S85" s="10" t="e" cm="1">
        <f t="array" aca="1" ref="S85" ca="1">bdc_eom(N85)</f>
        <v>#NAME?</v>
      </c>
    </row>
    <row r="86" spans="12:19">
      <c r="L86" s="15" t="s">
        <v>119</v>
      </c>
      <c r="M86" s="15">
        <f t="shared" si="0"/>
        <v>6</v>
      </c>
      <c r="N86" s="16">
        <v>45759</v>
      </c>
      <c r="O86" s="16" t="e" cm="1">
        <f t="array" aca="1" ref="O86" ca="1">BDC_F($N86)</f>
        <v>#NAME?</v>
      </c>
      <c r="P86" s="16" t="e" cm="1">
        <f t="array" aca="1" ref="P86" ca="1">BDC_MF($N86)</f>
        <v>#NAME?</v>
      </c>
      <c r="Q86" s="21" t="e" cm="1">
        <f t="array" aca="1" ref="Q86" ca="1">BDC_P($N86)</f>
        <v>#NAME?</v>
      </c>
      <c r="R86" s="21" t="e" cm="1">
        <f t="array" aca="1" ref="R86" ca="1">BDC_MP($N86)</f>
        <v>#NAME?</v>
      </c>
      <c r="S86" s="21" t="e" cm="1">
        <f t="array" aca="1" ref="S86" ca="1">bdc_eom(N86)</f>
        <v>#NAME?</v>
      </c>
    </row>
    <row r="87" spans="12:19">
      <c r="L87" s="17" t="s">
        <v>121</v>
      </c>
      <c r="M87" s="17">
        <f t="shared" si="0"/>
        <v>7</v>
      </c>
      <c r="N87" s="18">
        <v>45760</v>
      </c>
      <c r="O87" s="18" t="e" cm="1">
        <f t="array" aca="1" ref="O87" ca="1">BDC_F($N87)</f>
        <v>#NAME?</v>
      </c>
      <c r="P87" s="18" t="e" cm="1">
        <f t="array" aca="1" ref="P87" ca="1">BDC_MF($N87)</f>
        <v>#NAME?</v>
      </c>
      <c r="Q87" s="22" t="e" cm="1">
        <f t="array" aca="1" ref="Q87" ca="1">BDC_P($N87)</f>
        <v>#NAME?</v>
      </c>
      <c r="R87" s="22" t="e" cm="1">
        <f t="array" aca="1" ref="R87" ca="1">BDC_MP($N87)</f>
        <v>#NAME?</v>
      </c>
      <c r="S87" s="22" t="e" cm="1">
        <f t="array" aca="1" ref="S87" ca="1">bdc_eom(N87)</f>
        <v>#NAME?</v>
      </c>
    </row>
    <row r="88" spans="12:19">
      <c r="L88" s="1" t="s">
        <v>123</v>
      </c>
      <c r="M88" s="1">
        <f t="shared" si="0"/>
        <v>1</v>
      </c>
      <c r="N88" s="14">
        <v>45761</v>
      </c>
      <c r="O88" s="14" t="e" cm="1">
        <f t="array" aca="1" ref="O88" ca="1">BDC_F($N88)</f>
        <v>#NAME?</v>
      </c>
      <c r="P88" s="14" t="e" cm="1">
        <f t="array" aca="1" ref="P88" ca="1">BDC_MF($N88)</f>
        <v>#NAME?</v>
      </c>
      <c r="Q88" s="10" t="e" cm="1">
        <f t="array" aca="1" ref="Q88" ca="1">BDC_P($N88)</f>
        <v>#NAME?</v>
      </c>
      <c r="R88" s="10" t="e" cm="1">
        <f t="array" aca="1" ref="R88" ca="1">BDC_MP($N88)</f>
        <v>#NAME?</v>
      </c>
      <c r="S88" s="10" t="e" cm="1">
        <f t="array" aca="1" ref="S88" ca="1">bdc_eom(N88)</f>
        <v>#NAME?</v>
      </c>
    </row>
    <row r="89" spans="12:19">
      <c r="L89" s="1" t="s">
        <v>125</v>
      </c>
      <c r="M89" s="1">
        <f t="shared" si="0"/>
        <v>2</v>
      </c>
      <c r="N89" s="14">
        <v>45762</v>
      </c>
      <c r="O89" s="14" t="e" cm="1">
        <f t="array" aca="1" ref="O89" ca="1">BDC_F($N89)</f>
        <v>#NAME?</v>
      </c>
      <c r="P89" s="14" t="e" cm="1">
        <f t="array" aca="1" ref="P89" ca="1">BDC_MF($N89)</f>
        <v>#NAME?</v>
      </c>
      <c r="Q89" s="10" t="e" cm="1">
        <f t="array" aca="1" ref="Q89" ca="1">BDC_P($N89)</f>
        <v>#NAME?</v>
      </c>
      <c r="R89" s="10" t="e" cm="1">
        <f t="array" aca="1" ref="R89" ca="1">BDC_MP($N89)</f>
        <v>#NAME?</v>
      </c>
      <c r="S89" s="10" t="e" cm="1">
        <f t="array" aca="1" ref="S89" ca="1">bdc_eom(N89)</f>
        <v>#NAME?</v>
      </c>
    </row>
    <row r="90" spans="12:19">
      <c r="L90" s="1" t="s">
        <v>127</v>
      </c>
      <c r="M90" s="1">
        <f t="shared" si="0"/>
        <v>3</v>
      </c>
      <c r="N90" s="14">
        <v>45763</v>
      </c>
      <c r="O90" s="14" t="e" cm="1">
        <f t="array" aca="1" ref="O90" ca="1">BDC_F($N90)</f>
        <v>#NAME?</v>
      </c>
      <c r="P90" s="14" t="e" cm="1">
        <f t="array" aca="1" ref="P90" ca="1">BDC_MF($N90)</f>
        <v>#NAME?</v>
      </c>
      <c r="Q90" s="10" t="e" cm="1">
        <f t="array" aca="1" ref="Q90" ca="1">BDC_P($N90)</f>
        <v>#NAME?</v>
      </c>
      <c r="R90" s="10" t="e" cm="1">
        <f t="array" aca="1" ref="R90" ca="1">BDC_MP($N90)</f>
        <v>#NAME?</v>
      </c>
      <c r="S90" s="10" t="e" cm="1">
        <f t="array" aca="1" ref="S90" ca="1">bdc_eom(N90)</f>
        <v>#NAME?</v>
      </c>
    </row>
    <row r="91" spans="12:19">
      <c r="L91" s="1" t="s">
        <v>129</v>
      </c>
      <c r="M91" s="1">
        <f t="shared" si="0"/>
        <v>4</v>
      </c>
      <c r="N91" s="14">
        <v>45764</v>
      </c>
      <c r="O91" s="14" t="e" cm="1">
        <f t="array" aca="1" ref="O91" ca="1">BDC_F($N91)</f>
        <v>#NAME?</v>
      </c>
      <c r="P91" s="14" t="e" cm="1">
        <f t="array" aca="1" ref="P91" ca="1">BDC_MF($N91)</f>
        <v>#NAME?</v>
      </c>
      <c r="Q91" s="10" t="e" cm="1">
        <f t="array" aca="1" ref="Q91" ca="1">BDC_P($N91)</f>
        <v>#NAME?</v>
      </c>
      <c r="R91" s="10" t="e" cm="1">
        <f t="array" aca="1" ref="R91" ca="1">BDC_MP($N91)</f>
        <v>#NAME?</v>
      </c>
      <c r="S91" s="10" t="e" cm="1">
        <f t="array" aca="1" ref="S91" ca="1">bdc_eom(N91)</f>
        <v>#NAME?</v>
      </c>
    </row>
    <row r="92" spans="12:19">
      <c r="L92" s="1" t="s">
        <v>130</v>
      </c>
      <c r="M92" s="1">
        <f t="shared" si="0"/>
        <v>5</v>
      </c>
      <c r="N92" s="14">
        <v>45765</v>
      </c>
      <c r="O92" s="14" t="e" cm="1">
        <f t="array" aca="1" ref="O92" ca="1">BDC_F($N92)</f>
        <v>#NAME?</v>
      </c>
      <c r="P92" s="14" t="e" cm="1">
        <f t="array" aca="1" ref="P92" ca="1">BDC_MF($N92)</f>
        <v>#NAME?</v>
      </c>
      <c r="Q92" s="10" t="e" cm="1">
        <f t="array" aca="1" ref="Q92" ca="1">BDC_P($N92)</f>
        <v>#NAME?</v>
      </c>
      <c r="R92" s="10" t="e" cm="1">
        <f t="array" aca="1" ref="R92" ca="1">BDC_MP($N92)</f>
        <v>#NAME?</v>
      </c>
      <c r="S92" s="10" t="e" cm="1">
        <f t="array" aca="1" ref="S92" ca="1">bdc_eom(N92)</f>
        <v>#NAME?</v>
      </c>
    </row>
    <row r="93" spans="12:19">
      <c r="L93" s="15" t="s">
        <v>119</v>
      </c>
      <c r="M93" s="15">
        <f t="shared" si="0"/>
        <v>6</v>
      </c>
      <c r="N93" s="16">
        <v>45766</v>
      </c>
      <c r="O93" s="16" t="e" cm="1">
        <f t="array" aca="1" ref="O93" ca="1">BDC_F($N93)</f>
        <v>#NAME?</v>
      </c>
      <c r="P93" s="16" t="e" cm="1">
        <f t="array" aca="1" ref="P93" ca="1">BDC_MF($N93)</f>
        <v>#NAME?</v>
      </c>
      <c r="Q93" s="21" t="e" cm="1">
        <f t="array" aca="1" ref="Q93" ca="1">BDC_P($N93)</f>
        <v>#NAME?</v>
      </c>
      <c r="R93" s="21" t="e" cm="1">
        <f t="array" aca="1" ref="R93" ca="1">BDC_MP($N93)</f>
        <v>#NAME?</v>
      </c>
      <c r="S93" s="21" t="e" cm="1">
        <f t="array" aca="1" ref="S93" ca="1">bdc_eom(N93)</f>
        <v>#NAME?</v>
      </c>
    </row>
    <row r="94" spans="12:19">
      <c r="L94" s="17" t="s">
        <v>121</v>
      </c>
      <c r="M94" s="17">
        <f t="shared" si="0"/>
        <v>7</v>
      </c>
      <c r="N94" s="18">
        <v>45767</v>
      </c>
      <c r="O94" s="18" t="e" cm="1">
        <f t="array" aca="1" ref="O94" ca="1">BDC_F($N94)</f>
        <v>#NAME?</v>
      </c>
      <c r="P94" s="18" t="e" cm="1">
        <f t="array" aca="1" ref="P94" ca="1">BDC_MF($N94)</f>
        <v>#NAME?</v>
      </c>
      <c r="Q94" s="22" t="e" cm="1">
        <f t="array" aca="1" ref="Q94" ca="1">BDC_P($N94)</f>
        <v>#NAME?</v>
      </c>
      <c r="R94" s="22" t="e" cm="1">
        <f t="array" aca="1" ref="R94" ca="1">BDC_MP($N94)</f>
        <v>#NAME?</v>
      </c>
      <c r="S94" s="22" t="e" cm="1">
        <f t="array" aca="1" ref="S94" ca="1">bdc_eom(N94)</f>
        <v>#NAME?</v>
      </c>
    </row>
    <row r="95" spans="12:19">
      <c r="L95" s="1" t="s">
        <v>123</v>
      </c>
      <c r="M95" s="1">
        <f t="shared" si="0"/>
        <v>1</v>
      </c>
      <c r="N95" s="14">
        <v>45768</v>
      </c>
      <c r="O95" s="14" t="e" cm="1">
        <f t="array" aca="1" ref="O95" ca="1">BDC_F($N95)</f>
        <v>#NAME?</v>
      </c>
      <c r="P95" s="14" t="e" cm="1">
        <f t="array" aca="1" ref="P95" ca="1">BDC_MF($N95)</f>
        <v>#NAME?</v>
      </c>
      <c r="Q95" s="10" t="e" cm="1">
        <f t="array" aca="1" ref="Q95" ca="1">BDC_P($N95)</f>
        <v>#NAME?</v>
      </c>
      <c r="R95" s="10" t="e" cm="1">
        <f t="array" aca="1" ref="R95" ca="1">BDC_MP($N95)</f>
        <v>#NAME?</v>
      </c>
      <c r="S95" s="10" t="e" cm="1">
        <f t="array" aca="1" ref="S95" ca="1">bdc_eom(N95)</f>
        <v>#NAME?</v>
      </c>
    </row>
    <row r="96" spans="12:19">
      <c r="L96" s="1" t="s">
        <v>125</v>
      </c>
      <c r="M96" s="1">
        <f t="shared" si="0"/>
        <v>2</v>
      </c>
      <c r="N96" s="14">
        <v>45769</v>
      </c>
      <c r="O96" s="14" t="e" cm="1">
        <f t="array" aca="1" ref="O96" ca="1">BDC_F($N96)</f>
        <v>#NAME?</v>
      </c>
      <c r="P96" s="14" t="e" cm="1">
        <f t="array" aca="1" ref="P96" ca="1">BDC_MF($N96)</f>
        <v>#NAME?</v>
      </c>
      <c r="Q96" s="10" t="e" cm="1">
        <f t="array" aca="1" ref="Q96" ca="1">BDC_P($N96)</f>
        <v>#NAME?</v>
      </c>
      <c r="R96" s="10" t="e" cm="1">
        <f t="array" aca="1" ref="R96" ca="1">BDC_MP($N96)</f>
        <v>#NAME?</v>
      </c>
      <c r="S96" s="10" t="e" cm="1">
        <f t="array" aca="1" ref="S96" ca="1">bdc_eom(N96)</f>
        <v>#NAME?</v>
      </c>
    </row>
    <row r="97" spans="12:19">
      <c r="L97" s="1" t="s">
        <v>127</v>
      </c>
      <c r="M97" s="1">
        <f t="shared" si="0"/>
        <v>3</v>
      </c>
      <c r="N97" s="14">
        <v>45770</v>
      </c>
      <c r="O97" s="14" t="e" cm="1">
        <f t="array" aca="1" ref="O97" ca="1">BDC_F($N97)</f>
        <v>#NAME?</v>
      </c>
      <c r="P97" s="14" t="e" cm="1">
        <f t="array" aca="1" ref="P97" ca="1">BDC_MF($N97)</f>
        <v>#NAME?</v>
      </c>
      <c r="Q97" s="10" t="e" cm="1">
        <f t="array" aca="1" ref="Q97" ca="1">BDC_P($N97)</f>
        <v>#NAME?</v>
      </c>
      <c r="R97" s="10" t="e" cm="1">
        <f t="array" aca="1" ref="R97" ca="1">BDC_MP($N97)</f>
        <v>#NAME?</v>
      </c>
      <c r="S97" s="10" t="e" cm="1">
        <f t="array" aca="1" ref="S97" ca="1">bdc_eom(N97)</f>
        <v>#NAME?</v>
      </c>
    </row>
    <row r="98" spans="12:19">
      <c r="L98" s="1" t="s">
        <v>129</v>
      </c>
      <c r="M98" s="1">
        <f t="shared" si="0"/>
        <v>4</v>
      </c>
      <c r="N98" s="14">
        <v>45771</v>
      </c>
      <c r="O98" s="14" t="e" cm="1">
        <f t="array" aca="1" ref="O98" ca="1">BDC_F($N98)</f>
        <v>#NAME?</v>
      </c>
      <c r="P98" s="14" t="e" cm="1">
        <f t="array" aca="1" ref="P98" ca="1">BDC_MF($N98)</f>
        <v>#NAME?</v>
      </c>
      <c r="Q98" s="10" t="e" cm="1">
        <f t="array" aca="1" ref="Q98" ca="1">BDC_P($N98)</f>
        <v>#NAME?</v>
      </c>
      <c r="R98" s="10" t="e" cm="1">
        <f t="array" aca="1" ref="R98" ca="1">BDC_MP($N98)</f>
        <v>#NAME?</v>
      </c>
      <c r="S98" s="10" t="e" cm="1">
        <f t="array" aca="1" ref="S98" ca="1">bdc_eom(N98)</f>
        <v>#NAME?</v>
      </c>
    </row>
    <row r="99" spans="12:19">
      <c r="L99" s="1" t="s">
        <v>130</v>
      </c>
      <c r="M99" s="1">
        <f t="shared" si="0"/>
        <v>5</v>
      </c>
      <c r="N99" s="14">
        <v>45772</v>
      </c>
      <c r="O99" s="14" t="e" cm="1">
        <f t="array" aca="1" ref="O99" ca="1">BDC_F($N99)</f>
        <v>#NAME?</v>
      </c>
      <c r="P99" s="14" t="e" cm="1">
        <f t="array" aca="1" ref="P99" ca="1">BDC_MF($N99)</f>
        <v>#NAME?</v>
      </c>
      <c r="Q99" s="10" t="e" cm="1">
        <f t="array" aca="1" ref="Q99" ca="1">BDC_P($N99)</f>
        <v>#NAME?</v>
      </c>
      <c r="R99" s="10" t="e" cm="1">
        <f t="array" aca="1" ref="R99" ca="1">BDC_MP($N99)</f>
        <v>#NAME?</v>
      </c>
      <c r="S99" s="10" t="e" cm="1">
        <f t="array" aca="1" ref="S99" ca="1">bdc_eom(N99)</f>
        <v>#NAME?</v>
      </c>
    </row>
    <row r="100" spans="12:19">
      <c r="L100" s="15" t="s">
        <v>119</v>
      </c>
      <c r="M100" s="15">
        <f t="shared" si="0"/>
        <v>6</v>
      </c>
      <c r="N100" s="16">
        <v>45773</v>
      </c>
      <c r="O100" s="16" t="e" cm="1">
        <f t="array" aca="1" ref="O100" ca="1">BDC_F($N100)</f>
        <v>#NAME?</v>
      </c>
      <c r="P100" s="16" t="e" cm="1">
        <f t="array" aca="1" ref="P100" ca="1">BDC_MF($N100)</f>
        <v>#NAME?</v>
      </c>
      <c r="Q100" s="21" t="e" cm="1">
        <f t="array" aca="1" ref="Q100" ca="1">BDC_P($N100)</f>
        <v>#NAME?</v>
      </c>
      <c r="R100" s="21" t="e" cm="1">
        <f t="array" aca="1" ref="R100" ca="1">BDC_MP($N100)</f>
        <v>#NAME?</v>
      </c>
      <c r="S100" s="21" t="e" cm="1">
        <f t="array" aca="1" ref="S100" ca="1">bdc_eom(N100)</f>
        <v>#NAME?</v>
      </c>
    </row>
    <row r="101" spans="12:19">
      <c r="L101" s="17" t="s">
        <v>121</v>
      </c>
      <c r="M101" s="17">
        <f t="shared" si="0"/>
        <v>7</v>
      </c>
      <c r="N101" s="18">
        <v>45774</v>
      </c>
      <c r="O101" s="18" t="e" cm="1">
        <f t="array" aca="1" ref="O101" ca="1">BDC_F($N101)</f>
        <v>#NAME?</v>
      </c>
      <c r="P101" s="18" t="e" cm="1">
        <f t="array" aca="1" ref="P101" ca="1">BDC_MF($N101)</f>
        <v>#NAME?</v>
      </c>
      <c r="Q101" s="22" t="e" cm="1">
        <f t="array" aca="1" ref="Q101" ca="1">BDC_P($N101)</f>
        <v>#NAME?</v>
      </c>
      <c r="R101" s="22" t="e" cm="1">
        <f t="array" aca="1" ref="R101" ca="1">BDC_MP($N101)</f>
        <v>#NAME?</v>
      </c>
      <c r="S101" s="22" t="e" cm="1">
        <f t="array" aca="1" ref="S101" ca="1">bdc_eom(N101)</f>
        <v>#NAME?</v>
      </c>
    </row>
    <row r="102" spans="12:19">
      <c r="L102" s="1" t="s">
        <v>123</v>
      </c>
      <c r="M102" s="1">
        <f t="shared" si="0"/>
        <v>1</v>
      </c>
      <c r="N102" s="14">
        <v>45775</v>
      </c>
      <c r="O102" s="14" t="e" cm="1">
        <f t="array" aca="1" ref="O102" ca="1">BDC_F($N102)</f>
        <v>#NAME?</v>
      </c>
      <c r="P102" s="14" t="e" cm="1">
        <f t="array" aca="1" ref="P102" ca="1">BDC_MF($N102)</f>
        <v>#NAME?</v>
      </c>
      <c r="Q102" s="10" t="e" cm="1">
        <f t="array" aca="1" ref="Q102" ca="1">BDC_P($N102)</f>
        <v>#NAME?</v>
      </c>
      <c r="R102" s="10" t="e" cm="1">
        <f t="array" aca="1" ref="R102" ca="1">BDC_MP($N102)</f>
        <v>#NAME?</v>
      </c>
      <c r="S102" s="10" t="e" cm="1">
        <f t="array" aca="1" ref="S102" ca="1">bdc_eom(N102)</f>
        <v>#NAME?</v>
      </c>
    </row>
    <row r="103" spans="12:19">
      <c r="L103" s="1" t="s">
        <v>125</v>
      </c>
      <c r="M103" s="1">
        <f t="shared" si="0"/>
        <v>2</v>
      </c>
      <c r="N103" s="14">
        <v>45776</v>
      </c>
      <c r="O103" s="14" t="e" cm="1">
        <f t="array" aca="1" ref="O103" ca="1">BDC_F($N103)</f>
        <v>#NAME?</v>
      </c>
      <c r="P103" s="14" t="e" cm="1">
        <f t="array" aca="1" ref="P103" ca="1">BDC_MF($N103)</f>
        <v>#NAME?</v>
      </c>
      <c r="Q103" s="10" t="e" cm="1">
        <f t="array" aca="1" ref="Q103" ca="1">BDC_P($N103)</f>
        <v>#NAME?</v>
      </c>
      <c r="R103" s="10" t="e" cm="1">
        <f t="array" aca="1" ref="R103" ca="1">BDC_MP($N103)</f>
        <v>#NAME?</v>
      </c>
      <c r="S103" s="10" t="e" cm="1">
        <f t="array" aca="1" ref="S103" ca="1">bdc_eom(N103)</f>
        <v>#NAME?</v>
      </c>
    </row>
    <row r="104" spans="12:19">
      <c r="L104" s="1" t="s">
        <v>127</v>
      </c>
      <c r="M104" s="1">
        <f t="shared" si="0"/>
        <v>3</v>
      </c>
      <c r="N104" s="14">
        <v>45777</v>
      </c>
      <c r="O104" s="14" t="e" cm="1">
        <f t="array" aca="1" ref="O104" ca="1">BDC_F($N104)</f>
        <v>#NAME?</v>
      </c>
      <c r="P104" s="14" t="e" cm="1">
        <f t="array" aca="1" ref="P104" ca="1">BDC_MF($N104)</f>
        <v>#NAME?</v>
      </c>
      <c r="Q104" s="10" t="e" cm="1">
        <f t="array" aca="1" ref="Q104" ca="1">BDC_P($N104)</f>
        <v>#NAME?</v>
      </c>
      <c r="R104" s="10" t="e" cm="1">
        <f t="array" aca="1" ref="R104" ca="1">BDC_MP($N104)</f>
        <v>#NAME?</v>
      </c>
      <c r="S104" s="10" t="e" cm="1">
        <f t="array" aca="1" ref="S104" ca="1">bdc_eom(N104)</f>
        <v>#NAME?</v>
      </c>
    </row>
    <row r="105" spans="12:19">
      <c r="L105" s="1" t="s">
        <v>129</v>
      </c>
      <c r="M105" s="1">
        <f t="shared" si="0"/>
        <v>4</v>
      </c>
      <c r="N105" s="14">
        <v>45778</v>
      </c>
      <c r="O105" s="14" t="e" cm="1">
        <f t="array" aca="1" ref="O105" ca="1">BDC_F($N105)</f>
        <v>#NAME?</v>
      </c>
      <c r="P105" s="14" t="e" cm="1">
        <f t="array" aca="1" ref="P105" ca="1">BDC_MF($N105)</f>
        <v>#NAME?</v>
      </c>
      <c r="Q105" s="10" t="e" cm="1">
        <f t="array" aca="1" ref="Q105" ca="1">BDC_P($N105)</f>
        <v>#NAME?</v>
      </c>
      <c r="R105" s="10" t="e" cm="1">
        <f t="array" aca="1" ref="R105" ca="1">BDC_MP($N105)</f>
        <v>#NAME?</v>
      </c>
      <c r="S105" s="10" t="e" cm="1">
        <f t="array" aca="1" ref="S105" ca="1">bdc_eom(N105)</f>
        <v>#NAME?</v>
      </c>
    </row>
    <row r="106" spans="12:19">
      <c r="L106" s="1" t="s">
        <v>130</v>
      </c>
      <c r="M106" s="1">
        <f t="shared" si="0"/>
        <v>5</v>
      </c>
      <c r="N106" s="14">
        <v>45779</v>
      </c>
      <c r="O106" s="14" t="e" cm="1">
        <f t="array" aca="1" ref="O106" ca="1">BDC_F($N106)</f>
        <v>#NAME?</v>
      </c>
      <c r="P106" s="14" t="e" cm="1">
        <f t="array" aca="1" ref="P106" ca="1">BDC_MF($N106)</f>
        <v>#NAME?</v>
      </c>
      <c r="Q106" s="10" t="e" cm="1">
        <f t="array" aca="1" ref="Q106" ca="1">BDC_P($N106)</f>
        <v>#NAME?</v>
      </c>
      <c r="R106" s="10" t="e" cm="1">
        <f t="array" aca="1" ref="R106" ca="1">BDC_MP($N106)</f>
        <v>#NAME?</v>
      </c>
      <c r="S106" s="10" t="e" cm="1">
        <f t="array" aca="1" ref="S106" ca="1">bdc_eom(N106)</f>
        <v>#NAME?</v>
      </c>
    </row>
    <row r="107" spans="12:19">
      <c r="L107" s="15" t="s">
        <v>119</v>
      </c>
      <c r="M107" s="15">
        <f t="shared" si="0"/>
        <v>6</v>
      </c>
      <c r="N107" s="16">
        <v>45780</v>
      </c>
      <c r="O107" s="16" t="e" cm="1">
        <f t="array" aca="1" ref="O107" ca="1">BDC_F($N107)</f>
        <v>#NAME?</v>
      </c>
      <c r="P107" s="16" t="e" cm="1">
        <f t="array" aca="1" ref="P107" ca="1">BDC_MF($N107)</f>
        <v>#NAME?</v>
      </c>
      <c r="Q107" s="21" t="e" cm="1">
        <f t="array" aca="1" ref="Q107" ca="1">BDC_P($N107)</f>
        <v>#NAME?</v>
      </c>
      <c r="R107" s="21" t="e" cm="1">
        <f t="array" aca="1" ref="R107" ca="1">BDC_MP($N107)</f>
        <v>#NAME?</v>
      </c>
      <c r="S107" s="21" t="e" cm="1">
        <f t="array" aca="1" ref="S107" ca="1">bdc_eom(N107)</f>
        <v>#NAME?</v>
      </c>
    </row>
    <row r="108" spans="12:19">
      <c r="L108" s="17" t="s">
        <v>121</v>
      </c>
      <c r="M108" s="17">
        <f t="shared" si="0"/>
        <v>7</v>
      </c>
      <c r="N108" s="18">
        <v>45781</v>
      </c>
      <c r="O108" s="18" t="e" cm="1">
        <f t="array" aca="1" ref="O108" ca="1">BDC_F($N108)</f>
        <v>#NAME?</v>
      </c>
      <c r="P108" s="18" t="e" cm="1">
        <f t="array" aca="1" ref="P108" ca="1">BDC_MF($N108)</f>
        <v>#NAME?</v>
      </c>
      <c r="Q108" s="22" t="e" cm="1">
        <f t="array" aca="1" ref="Q108" ca="1">BDC_P($N108)</f>
        <v>#NAME?</v>
      </c>
      <c r="R108" s="22" t="e" cm="1">
        <f t="array" aca="1" ref="R108" ca="1">BDC_MP($N108)</f>
        <v>#NAME?</v>
      </c>
      <c r="S108" s="22" t="e" cm="1">
        <f t="array" aca="1" ref="S108" ca="1">bdc_eom(N108)</f>
        <v>#NAME?</v>
      </c>
    </row>
    <row r="109" spans="12:19">
      <c r="L109" s="1" t="s">
        <v>123</v>
      </c>
      <c r="M109" s="1">
        <f t="shared" ref="M109:M172" si="1">WEEKDAY(N109,2)</f>
        <v>1</v>
      </c>
      <c r="N109" s="14">
        <v>45782</v>
      </c>
      <c r="O109" s="14" t="e" cm="1">
        <f t="array" aca="1" ref="O109" ca="1">BDC_F($N109)</f>
        <v>#NAME?</v>
      </c>
      <c r="P109" s="14" t="e" cm="1">
        <f t="array" aca="1" ref="P109" ca="1">BDC_MF($N109)</f>
        <v>#NAME?</v>
      </c>
      <c r="Q109" s="10" t="e" cm="1">
        <f t="array" aca="1" ref="Q109" ca="1">BDC_P($N109)</f>
        <v>#NAME?</v>
      </c>
      <c r="R109" s="10" t="e" cm="1">
        <f t="array" aca="1" ref="R109" ca="1">BDC_MP($N109)</f>
        <v>#NAME?</v>
      </c>
      <c r="S109" s="10" t="e" cm="1">
        <f t="array" aca="1" ref="S109" ca="1">bdc_eom(N109)</f>
        <v>#NAME?</v>
      </c>
    </row>
    <row r="110" spans="12:19">
      <c r="L110" s="1" t="s">
        <v>125</v>
      </c>
      <c r="M110" s="1">
        <f t="shared" si="1"/>
        <v>2</v>
      </c>
      <c r="N110" s="14">
        <v>45783</v>
      </c>
      <c r="O110" s="14" t="e" cm="1">
        <f t="array" aca="1" ref="O110" ca="1">BDC_F($N110)</f>
        <v>#NAME?</v>
      </c>
      <c r="P110" s="14" t="e" cm="1">
        <f t="array" aca="1" ref="P110" ca="1">BDC_MF($N110)</f>
        <v>#NAME?</v>
      </c>
      <c r="Q110" s="10" t="e" cm="1">
        <f t="array" aca="1" ref="Q110" ca="1">BDC_P($N110)</f>
        <v>#NAME?</v>
      </c>
      <c r="R110" s="10" t="e" cm="1">
        <f t="array" aca="1" ref="R110" ca="1">BDC_MP($N110)</f>
        <v>#NAME?</v>
      </c>
      <c r="S110" s="10" t="e" cm="1">
        <f t="array" aca="1" ref="S110" ca="1">bdc_eom(N110)</f>
        <v>#NAME?</v>
      </c>
    </row>
    <row r="111" spans="12:19">
      <c r="L111" s="1" t="s">
        <v>127</v>
      </c>
      <c r="M111" s="1">
        <f t="shared" si="1"/>
        <v>3</v>
      </c>
      <c r="N111" s="14">
        <v>45784</v>
      </c>
      <c r="O111" s="14" t="e" cm="1">
        <f t="array" aca="1" ref="O111" ca="1">BDC_F($N111)</f>
        <v>#NAME?</v>
      </c>
      <c r="P111" s="14" t="e" cm="1">
        <f t="array" aca="1" ref="P111" ca="1">BDC_MF($N111)</f>
        <v>#NAME?</v>
      </c>
      <c r="Q111" s="10" t="e" cm="1">
        <f t="array" aca="1" ref="Q111" ca="1">BDC_P($N111)</f>
        <v>#NAME?</v>
      </c>
      <c r="R111" s="10" t="e" cm="1">
        <f t="array" aca="1" ref="R111" ca="1">BDC_MP($N111)</f>
        <v>#NAME?</v>
      </c>
      <c r="S111" s="10" t="e" cm="1">
        <f t="array" aca="1" ref="S111" ca="1">bdc_eom(N111)</f>
        <v>#NAME?</v>
      </c>
    </row>
    <row r="112" spans="12:19">
      <c r="L112" s="1" t="s">
        <v>129</v>
      </c>
      <c r="M112" s="1">
        <f t="shared" si="1"/>
        <v>4</v>
      </c>
      <c r="N112" s="14">
        <v>45785</v>
      </c>
      <c r="O112" s="14" t="e" cm="1">
        <f t="array" aca="1" ref="O112" ca="1">BDC_F($N112)</f>
        <v>#NAME?</v>
      </c>
      <c r="P112" s="14" t="e" cm="1">
        <f t="array" aca="1" ref="P112" ca="1">BDC_MF($N112)</f>
        <v>#NAME?</v>
      </c>
      <c r="Q112" s="10" t="e" cm="1">
        <f t="array" aca="1" ref="Q112" ca="1">BDC_P($N112)</f>
        <v>#NAME?</v>
      </c>
      <c r="R112" s="10" t="e" cm="1">
        <f t="array" aca="1" ref="R112" ca="1">BDC_MP($N112)</f>
        <v>#NAME?</v>
      </c>
      <c r="S112" s="10" t="e" cm="1">
        <f t="array" aca="1" ref="S112" ca="1">bdc_eom(N112)</f>
        <v>#NAME?</v>
      </c>
    </row>
    <row r="113" spans="12:19">
      <c r="L113" s="1" t="s">
        <v>130</v>
      </c>
      <c r="M113" s="1">
        <f t="shared" si="1"/>
        <v>5</v>
      </c>
      <c r="N113" s="14">
        <v>45786</v>
      </c>
      <c r="O113" s="14" t="e" cm="1">
        <f t="array" aca="1" ref="O113" ca="1">BDC_F($N113)</f>
        <v>#NAME?</v>
      </c>
      <c r="P113" s="14" t="e" cm="1">
        <f t="array" aca="1" ref="P113" ca="1">BDC_MF($N113)</f>
        <v>#NAME?</v>
      </c>
      <c r="Q113" s="10" t="e" cm="1">
        <f t="array" aca="1" ref="Q113" ca="1">BDC_P($N113)</f>
        <v>#NAME?</v>
      </c>
      <c r="R113" s="10" t="e" cm="1">
        <f t="array" aca="1" ref="R113" ca="1">BDC_MP($N113)</f>
        <v>#NAME?</v>
      </c>
      <c r="S113" s="10" t="e" cm="1">
        <f t="array" aca="1" ref="S113" ca="1">bdc_eom(N113)</f>
        <v>#NAME?</v>
      </c>
    </row>
    <row r="114" spans="12:19">
      <c r="L114" s="15" t="s">
        <v>119</v>
      </c>
      <c r="M114" s="15">
        <f t="shared" si="1"/>
        <v>6</v>
      </c>
      <c r="N114" s="16">
        <v>45787</v>
      </c>
      <c r="O114" s="16" t="e" cm="1">
        <f t="array" aca="1" ref="O114" ca="1">BDC_F($N114)</f>
        <v>#NAME?</v>
      </c>
      <c r="P114" s="16" t="e" cm="1">
        <f t="array" aca="1" ref="P114" ca="1">BDC_MF($N114)</f>
        <v>#NAME?</v>
      </c>
      <c r="Q114" s="21" t="e" cm="1">
        <f t="array" aca="1" ref="Q114" ca="1">BDC_P($N114)</f>
        <v>#NAME?</v>
      </c>
      <c r="R114" s="21" t="e" cm="1">
        <f t="array" aca="1" ref="R114" ca="1">BDC_MP($N114)</f>
        <v>#NAME?</v>
      </c>
      <c r="S114" s="21" t="e" cm="1">
        <f t="array" aca="1" ref="S114" ca="1">bdc_eom(N114)</f>
        <v>#NAME?</v>
      </c>
    </row>
    <row r="115" spans="12:19">
      <c r="L115" s="17" t="s">
        <v>121</v>
      </c>
      <c r="M115" s="17">
        <f t="shared" si="1"/>
        <v>7</v>
      </c>
      <c r="N115" s="18">
        <v>45788</v>
      </c>
      <c r="O115" s="18" t="e" cm="1">
        <f t="array" aca="1" ref="O115" ca="1">BDC_F($N115)</f>
        <v>#NAME?</v>
      </c>
      <c r="P115" s="18" t="e" cm="1">
        <f t="array" aca="1" ref="P115" ca="1">BDC_MF($N115)</f>
        <v>#NAME?</v>
      </c>
      <c r="Q115" s="22" t="e" cm="1">
        <f t="array" aca="1" ref="Q115" ca="1">BDC_P($N115)</f>
        <v>#NAME?</v>
      </c>
      <c r="R115" s="22" t="e" cm="1">
        <f t="array" aca="1" ref="R115" ca="1">BDC_MP($N115)</f>
        <v>#NAME?</v>
      </c>
      <c r="S115" s="22" t="e" cm="1">
        <f t="array" aca="1" ref="S115" ca="1">bdc_eom(N115)</f>
        <v>#NAME?</v>
      </c>
    </row>
    <row r="116" spans="12:19">
      <c r="L116" s="1" t="s">
        <v>123</v>
      </c>
      <c r="M116" s="1">
        <f t="shared" si="1"/>
        <v>1</v>
      </c>
      <c r="N116" s="14">
        <v>45789</v>
      </c>
      <c r="O116" s="14" t="e" cm="1">
        <f t="array" aca="1" ref="O116" ca="1">BDC_F($N116)</f>
        <v>#NAME?</v>
      </c>
      <c r="P116" s="14" t="e" cm="1">
        <f t="array" aca="1" ref="P116" ca="1">BDC_MF($N116)</f>
        <v>#NAME?</v>
      </c>
      <c r="Q116" s="10" t="e" cm="1">
        <f t="array" aca="1" ref="Q116" ca="1">BDC_P($N116)</f>
        <v>#NAME?</v>
      </c>
      <c r="R116" s="10" t="e" cm="1">
        <f t="array" aca="1" ref="R116" ca="1">BDC_MP($N116)</f>
        <v>#NAME?</v>
      </c>
      <c r="S116" s="10" t="e" cm="1">
        <f t="array" aca="1" ref="S116" ca="1">bdc_eom(N116)</f>
        <v>#NAME?</v>
      </c>
    </row>
    <row r="117" spans="12:19">
      <c r="L117" s="1" t="s">
        <v>125</v>
      </c>
      <c r="M117" s="1">
        <f t="shared" si="1"/>
        <v>2</v>
      </c>
      <c r="N117" s="14">
        <v>45790</v>
      </c>
      <c r="O117" s="14" t="e" cm="1">
        <f t="array" aca="1" ref="O117" ca="1">BDC_F($N117)</f>
        <v>#NAME?</v>
      </c>
      <c r="P117" s="14" t="e" cm="1">
        <f t="array" aca="1" ref="P117" ca="1">BDC_MF($N117)</f>
        <v>#NAME?</v>
      </c>
      <c r="Q117" s="10" t="e" cm="1">
        <f t="array" aca="1" ref="Q117" ca="1">BDC_P($N117)</f>
        <v>#NAME?</v>
      </c>
      <c r="R117" s="10" t="e" cm="1">
        <f t="array" aca="1" ref="R117" ca="1">BDC_MP($N117)</f>
        <v>#NAME?</v>
      </c>
      <c r="S117" s="10" t="e" cm="1">
        <f t="array" aca="1" ref="S117" ca="1">bdc_eom(N117)</f>
        <v>#NAME?</v>
      </c>
    </row>
    <row r="118" spans="12:19">
      <c r="L118" s="1" t="s">
        <v>127</v>
      </c>
      <c r="M118" s="1">
        <f t="shared" si="1"/>
        <v>3</v>
      </c>
      <c r="N118" s="14">
        <v>45791</v>
      </c>
      <c r="O118" s="14" t="e" cm="1">
        <f t="array" aca="1" ref="O118" ca="1">BDC_F($N118)</f>
        <v>#NAME?</v>
      </c>
      <c r="P118" s="14" t="e" cm="1">
        <f t="array" aca="1" ref="P118" ca="1">BDC_MF($N118)</f>
        <v>#NAME?</v>
      </c>
      <c r="Q118" s="10" t="e" cm="1">
        <f t="array" aca="1" ref="Q118" ca="1">BDC_P($N118)</f>
        <v>#NAME?</v>
      </c>
      <c r="R118" s="10" t="e" cm="1">
        <f t="array" aca="1" ref="R118" ca="1">BDC_MP($N118)</f>
        <v>#NAME?</v>
      </c>
      <c r="S118" s="10" t="e" cm="1">
        <f t="array" aca="1" ref="S118" ca="1">bdc_eom(N118)</f>
        <v>#NAME?</v>
      </c>
    </row>
    <row r="119" spans="12:19">
      <c r="L119" s="1" t="s">
        <v>129</v>
      </c>
      <c r="M119" s="1">
        <f t="shared" si="1"/>
        <v>4</v>
      </c>
      <c r="N119" s="14">
        <v>45792</v>
      </c>
      <c r="O119" s="14" t="e" cm="1">
        <f t="array" aca="1" ref="O119" ca="1">BDC_F($N119)</f>
        <v>#NAME?</v>
      </c>
      <c r="P119" s="14" t="e" cm="1">
        <f t="array" aca="1" ref="P119" ca="1">BDC_MF($N119)</f>
        <v>#NAME?</v>
      </c>
      <c r="Q119" s="10" t="e" cm="1">
        <f t="array" aca="1" ref="Q119" ca="1">BDC_P($N119)</f>
        <v>#NAME?</v>
      </c>
      <c r="R119" s="10" t="e" cm="1">
        <f t="array" aca="1" ref="R119" ca="1">BDC_MP($N119)</f>
        <v>#NAME?</v>
      </c>
      <c r="S119" s="10" t="e" cm="1">
        <f t="array" aca="1" ref="S119" ca="1">bdc_eom(N119)</f>
        <v>#NAME?</v>
      </c>
    </row>
    <row r="120" spans="12:19">
      <c r="L120" s="1" t="s">
        <v>130</v>
      </c>
      <c r="M120" s="1">
        <f t="shared" si="1"/>
        <v>5</v>
      </c>
      <c r="N120" s="14">
        <v>45793</v>
      </c>
      <c r="O120" s="14" t="e" cm="1">
        <f t="array" aca="1" ref="O120" ca="1">BDC_F($N120)</f>
        <v>#NAME?</v>
      </c>
      <c r="P120" s="14" t="e" cm="1">
        <f t="array" aca="1" ref="P120" ca="1">BDC_MF($N120)</f>
        <v>#NAME?</v>
      </c>
      <c r="Q120" s="10" t="e" cm="1">
        <f t="array" aca="1" ref="Q120" ca="1">BDC_P($N120)</f>
        <v>#NAME?</v>
      </c>
      <c r="R120" s="10" t="e" cm="1">
        <f t="array" aca="1" ref="R120" ca="1">BDC_MP($N120)</f>
        <v>#NAME?</v>
      </c>
      <c r="S120" s="10" t="e" cm="1">
        <f t="array" aca="1" ref="S120" ca="1">bdc_eom(N120)</f>
        <v>#NAME?</v>
      </c>
    </row>
    <row r="121" spans="12:19">
      <c r="L121" s="15" t="s">
        <v>119</v>
      </c>
      <c r="M121" s="15">
        <f t="shared" si="1"/>
        <v>6</v>
      </c>
      <c r="N121" s="16">
        <v>45794</v>
      </c>
      <c r="O121" s="16" t="e" cm="1">
        <f t="array" aca="1" ref="O121" ca="1">BDC_F($N121)</f>
        <v>#NAME?</v>
      </c>
      <c r="P121" s="16" t="e" cm="1">
        <f t="array" aca="1" ref="P121" ca="1">BDC_MF($N121)</f>
        <v>#NAME?</v>
      </c>
      <c r="Q121" s="21" t="e" cm="1">
        <f t="array" aca="1" ref="Q121" ca="1">BDC_P($N121)</f>
        <v>#NAME?</v>
      </c>
      <c r="R121" s="21" t="e" cm="1">
        <f t="array" aca="1" ref="R121" ca="1">BDC_MP($N121)</f>
        <v>#NAME?</v>
      </c>
      <c r="S121" s="21" t="e" cm="1">
        <f t="array" aca="1" ref="S121" ca="1">bdc_eom(N121)</f>
        <v>#NAME?</v>
      </c>
    </row>
    <row r="122" spans="12:19">
      <c r="L122" s="17" t="s">
        <v>121</v>
      </c>
      <c r="M122" s="17">
        <f t="shared" si="1"/>
        <v>7</v>
      </c>
      <c r="N122" s="18">
        <v>45795</v>
      </c>
      <c r="O122" s="18" t="e" cm="1">
        <f t="array" aca="1" ref="O122" ca="1">BDC_F($N122)</f>
        <v>#NAME?</v>
      </c>
      <c r="P122" s="18" t="e" cm="1">
        <f t="array" aca="1" ref="P122" ca="1">BDC_MF($N122)</f>
        <v>#NAME?</v>
      </c>
      <c r="Q122" s="22" t="e" cm="1">
        <f t="array" aca="1" ref="Q122" ca="1">BDC_P($N122)</f>
        <v>#NAME?</v>
      </c>
      <c r="R122" s="22" t="e" cm="1">
        <f t="array" aca="1" ref="R122" ca="1">BDC_MP($N122)</f>
        <v>#NAME?</v>
      </c>
      <c r="S122" s="22" t="e" cm="1">
        <f t="array" aca="1" ref="S122" ca="1">bdc_eom(N122)</f>
        <v>#NAME?</v>
      </c>
    </row>
    <row r="123" spans="12:19">
      <c r="L123" s="1" t="s">
        <v>123</v>
      </c>
      <c r="M123" s="1">
        <f t="shared" si="1"/>
        <v>1</v>
      </c>
      <c r="N123" s="14">
        <v>45796</v>
      </c>
      <c r="O123" s="14" t="e" cm="1">
        <f t="array" aca="1" ref="O123" ca="1">BDC_F($N123)</f>
        <v>#NAME?</v>
      </c>
      <c r="P123" s="14" t="e" cm="1">
        <f t="array" aca="1" ref="P123" ca="1">BDC_MF($N123)</f>
        <v>#NAME?</v>
      </c>
      <c r="Q123" s="10" t="e" cm="1">
        <f t="array" aca="1" ref="Q123" ca="1">BDC_P($N123)</f>
        <v>#NAME?</v>
      </c>
      <c r="R123" s="10" t="e" cm="1">
        <f t="array" aca="1" ref="R123" ca="1">BDC_MP($N123)</f>
        <v>#NAME?</v>
      </c>
      <c r="S123" s="10" t="e" cm="1">
        <f t="array" aca="1" ref="S123" ca="1">bdc_eom(N123)</f>
        <v>#NAME?</v>
      </c>
    </row>
    <row r="124" spans="12:19">
      <c r="L124" s="1" t="s">
        <v>125</v>
      </c>
      <c r="M124" s="1">
        <f t="shared" si="1"/>
        <v>2</v>
      </c>
      <c r="N124" s="14">
        <v>45797</v>
      </c>
      <c r="O124" s="14" t="e" cm="1">
        <f t="array" aca="1" ref="O124" ca="1">BDC_F($N124)</f>
        <v>#NAME?</v>
      </c>
      <c r="P124" s="14" t="e" cm="1">
        <f t="array" aca="1" ref="P124" ca="1">BDC_MF($N124)</f>
        <v>#NAME?</v>
      </c>
      <c r="Q124" s="10" t="e" cm="1">
        <f t="array" aca="1" ref="Q124" ca="1">BDC_P($N124)</f>
        <v>#NAME?</v>
      </c>
      <c r="R124" s="10" t="e" cm="1">
        <f t="array" aca="1" ref="R124" ca="1">BDC_MP($N124)</f>
        <v>#NAME?</v>
      </c>
      <c r="S124" s="10" t="e" cm="1">
        <f t="array" aca="1" ref="S124" ca="1">bdc_eom(N124)</f>
        <v>#NAME?</v>
      </c>
    </row>
    <row r="125" spans="12:19">
      <c r="L125" s="1" t="s">
        <v>127</v>
      </c>
      <c r="M125" s="1">
        <f t="shared" si="1"/>
        <v>3</v>
      </c>
      <c r="N125" s="14">
        <v>45798</v>
      </c>
      <c r="O125" s="14" t="e" cm="1">
        <f t="array" aca="1" ref="O125" ca="1">BDC_F($N125)</f>
        <v>#NAME?</v>
      </c>
      <c r="P125" s="14" t="e" cm="1">
        <f t="array" aca="1" ref="P125" ca="1">BDC_MF($N125)</f>
        <v>#NAME?</v>
      </c>
      <c r="Q125" s="10" t="e" cm="1">
        <f t="array" aca="1" ref="Q125" ca="1">BDC_P($N125)</f>
        <v>#NAME?</v>
      </c>
      <c r="R125" s="10" t="e" cm="1">
        <f t="array" aca="1" ref="R125" ca="1">BDC_MP($N125)</f>
        <v>#NAME?</v>
      </c>
      <c r="S125" s="10" t="e" cm="1">
        <f t="array" aca="1" ref="S125" ca="1">bdc_eom(N125)</f>
        <v>#NAME?</v>
      </c>
    </row>
    <row r="126" spans="12:19">
      <c r="L126" s="1" t="s">
        <v>129</v>
      </c>
      <c r="M126" s="1">
        <f t="shared" si="1"/>
        <v>4</v>
      </c>
      <c r="N126" s="14">
        <v>45799</v>
      </c>
      <c r="O126" s="14" t="e" cm="1">
        <f t="array" aca="1" ref="O126" ca="1">BDC_F($N126)</f>
        <v>#NAME?</v>
      </c>
      <c r="P126" s="14" t="e" cm="1">
        <f t="array" aca="1" ref="P126" ca="1">BDC_MF($N126)</f>
        <v>#NAME?</v>
      </c>
      <c r="Q126" s="10" t="e" cm="1">
        <f t="array" aca="1" ref="Q126" ca="1">BDC_P($N126)</f>
        <v>#NAME?</v>
      </c>
      <c r="R126" s="10" t="e" cm="1">
        <f t="array" aca="1" ref="R126" ca="1">BDC_MP($N126)</f>
        <v>#NAME?</v>
      </c>
      <c r="S126" s="10" t="e" cm="1">
        <f t="array" aca="1" ref="S126" ca="1">bdc_eom(N126)</f>
        <v>#NAME?</v>
      </c>
    </row>
    <row r="127" spans="12:19">
      <c r="L127" s="1" t="s">
        <v>130</v>
      </c>
      <c r="M127" s="1">
        <f t="shared" si="1"/>
        <v>5</v>
      </c>
      <c r="N127" s="14">
        <v>45800</v>
      </c>
      <c r="O127" s="14" t="e" cm="1">
        <f t="array" aca="1" ref="O127" ca="1">BDC_F($N127)</f>
        <v>#NAME?</v>
      </c>
      <c r="P127" s="14" t="e" cm="1">
        <f t="array" aca="1" ref="P127" ca="1">BDC_MF($N127)</f>
        <v>#NAME?</v>
      </c>
      <c r="Q127" s="10" t="e" cm="1">
        <f t="array" aca="1" ref="Q127" ca="1">BDC_P($N127)</f>
        <v>#NAME?</v>
      </c>
      <c r="R127" s="10" t="e" cm="1">
        <f t="array" aca="1" ref="R127" ca="1">BDC_MP($N127)</f>
        <v>#NAME?</v>
      </c>
      <c r="S127" s="10" t="e" cm="1">
        <f t="array" aca="1" ref="S127" ca="1">bdc_eom(N127)</f>
        <v>#NAME?</v>
      </c>
    </row>
    <row r="128" spans="12:19">
      <c r="L128" s="15" t="s">
        <v>119</v>
      </c>
      <c r="M128" s="15">
        <f t="shared" si="1"/>
        <v>6</v>
      </c>
      <c r="N128" s="16">
        <v>45801</v>
      </c>
      <c r="O128" s="16" t="e" cm="1">
        <f t="array" aca="1" ref="O128" ca="1">BDC_F($N128)</f>
        <v>#NAME?</v>
      </c>
      <c r="P128" s="16" t="e" cm="1">
        <f t="array" aca="1" ref="P128" ca="1">BDC_MF($N128)</f>
        <v>#NAME?</v>
      </c>
      <c r="Q128" s="21" t="e" cm="1">
        <f t="array" aca="1" ref="Q128" ca="1">BDC_P($N128)</f>
        <v>#NAME?</v>
      </c>
      <c r="R128" s="21" t="e" cm="1">
        <f t="array" aca="1" ref="R128" ca="1">BDC_MP($N128)</f>
        <v>#NAME?</v>
      </c>
      <c r="S128" s="21" t="e" cm="1">
        <f t="array" aca="1" ref="S128" ca="1">bdc_eom(N128)</f>
        <v>#NAME?</v>
      </c>
    </row>
    <row r="129" spans="12:19">
      <c r="L129" s="17" t="s">
        <v>121</v>
      </c>
      <c r="M129" s="17">
        <f t="shared" si="1"/>
        <v>7</v>
      </c>
      <c r="N129" s="18">
        <v>45802</v>
      </c>
      <c r="O129" s="18" t="e" cm="1">
        <f t="array" aca="1" ref="O129" ca="1">BDC_F($N129)</f>
        <v>#NAME?</v>
      </c>
      <c r="P129" s="18" t="e" cm="1">
        <f t="array" aca="1" ref="P129" ca="1">BDC_MF($N129)</f>
        <v>#NAME?</v>
      </c>
      <c r="Q129" s="22" t="e" cm="1">
        <f t="array" aca="1" ref="Q129" ca="1">BDC_P($N129)</f>
        <v>#NAME?</v>
      </c>
      <c r="R129" s="22" t="e" cm="1">
        <f t="array" aca="1" ref="R129" ca="1">BDC_MP($N129)</f>
        <v>#NAME?</v>
      </c>
      <c r="S129" s="22" t="e" cm="1">
        <f t="array" aca="1" ref="S129" ca="1">bdc_eom(N129)</f>
        <v>#NAME?</v>
      </c>
    </row>
    <row r="130" spans="12:19">
      <c r="L130" s="1" t="s">
        <v>123</v>
      </c>
      <c r="M130" s="1">
        <f t="shared" si="1"/>
        <v>1</v>
      </c>
      <c r="N130" s="14">
        <v>45803</v>
      </c>
      <c r="O130" s="14" t="e" cm="1">
        <f t="array" aca="1" ref="O130" ca="1">BDC_F($N130)</f>
        <v>#NAME?</v>
      </c>
      <c r="P130" s="14" t="e" cm="1">
        <f t="array" aca="1" ref="P130" ca="1">BDC_MF($N130)</f>
        <v>#NAME?</v>
      </c>
      <c r="Q130" s="10" t="e" cm="1">
        <f t="array" aca="1" ref="Q130" ca="1">BDC_P($N130)</f>
        <v>#NAME?</v>
      </c>
      <c r="R130" s="10" t="e" cm="1">
        <f t="array" aca="1" ref="R130" ca="1">BDC_MP($N130)</f>
        <v>#NAME?</v>
      </c>
      <c r="S130" s="10" t="e" cm="1">
        <f t="array" aca="1" ref="S130" ca="1">bdc_eom(N130)</f>
        <v>#NAME?</v>
      </c>
    </row>
    <row r="131" spans="12:19">
      <c r="L131" s="1" t="s">
        <v>125</v>
      </c>
      <c r="M131" s="1">
        <f t="shared" si="1"/>
        <v>2</v>
      </c>
      <c r="N131" s="14">
        <v>45804</v>
      </c>
      <c r="O131" s="14" t="e" cm="1">
        <f t="array" aca="1" ref="O131" ca="1">BDC_F($N131)</f>
        <v>#NAME?</v>
      </c>
      <c r="P131" s="14" t="e" cm="1">
        <f t="array" aca="1" ref="P131" ca="1">BDC_MF($N131)</f>
        <v>#NAME?</v>
      </c>
      <c r="Q131" s="10" t="e" cm="1">
        <f t="array" aca="1" ref="Q131" ca="1">BDC_P($N131)</f>
        <v>#NAME?</v>
      </c>
      <c r="R131" s="10" t="e" cm="1">
        <f t="array" aca="1" ref="R131" ca="1">BDC_MP($N131)</f>
        <v>#NAME?</v>
      </c>
      <c r="S131" s="10" t="e" cm="1">
        <f t="array" aca="1" ref="S131" ca="1">bdc_eom(N131)</f>
        <v>#NAME?</v>
      </c>
    </row>
    <row r="132" spans="12:19">
      <c r="L132" s="1" t="s">
        <v>127</v>
      </c>
      <c r="M132" s="1">
        <f t="shared" si="1"/>
        <v>3</v>
      </c>
      <c r="N132" s="14">
        <v>45805</v>
      </c>
      <c r="O132" s="14" t="e" cm="1">
        <f t="array" aca="1" ref="O132" ca="1">BDC_F($N132)</f>
        <v>#NAME?</v>
      </c>
      <c r="P132" s="14" t="e" cm="1">
        <f t="array" aca="1" ref="P132" ca="1">BDC_MF($N132)</f>
        <v>#NAME?</v>
      </c>
      <c r="Q132" s="10" t="e" cm="1">
        <f t="array" aca="1" ref="Q132" ca="1">BDC_P($N132)</f>
        <v>#NAME?</v>
      </c>
      <c r="R132" s="10" t="e" cm="1">
        <f t="array" aca="1" ref="R132" ca="1">BDC_MP($N132)</f>
        <v>#NAME?</v>
      </c>
      <c r="S132" s="10" t="e" cm="1">
        <f t="array" aca="1" ref="S132" ca="1">bdc_eom(N132)</f>
        <v>#NAME?</v>
      </c>
    </row>
    <row r="133" spans="12:19">
      <c r="L133" s="1" t="s">
        <v>129</v>
      </c>
      <c r="M133" s="1">
        <f t="shared" si="1"/>
        <v>4</v>
      </c>
      <c r="N133" s="14">
        <v>45806</v>
      </c>
      <c r="O133" s="14" t="e" cm="1">
        <f t="array" aca="1" ref="O133" ca="1">BDC_F($N133)</f>
        <v>#NAME?</v>
      </c>
      <c r="P133" s="14" t="e" cm="1">
        <f t="array" aca="1" ref="P133" ca="1">BDC_MF($N133)</f>
        <v>#NAME?</v>
      </c>
      <c r="Q133" s="10" t="e" cm="1">
        <f t="array" aca="1" ref="Q133" ca="1">BDC_P($N133)</f>
        <v>#NAME?</v>
      </c>
      <c r="R133" s="10" t="e" cm="1">
        <f t="array" aca="1" ref="R133" ca="1">BDC_MP($N133)</f>
        <v>#NAME?</v>
      </c>
      <c r="S133" s="10" t="e" cm="1">
        <f t="array" aca="1" ref="S133" ca="1">bdc_eom(N133)</f>
        <v>#NAME?</v>
      </c>
    </row>
    <row r="134" spans="12:19">
      <c r="L134" s="1" t="s">
        <v>130</v>
      </c>
      <c r="M134" s="1">
        <f t="shared" si="1"/>
        <v>5</v>
      </c>
      <c r="N134" s="14">
        <v>45807</v>
      </c>
      <c r="O134" s="14" t="e" cm="1">
        <f t="array" aca="1" ref="O134" ca="1">BDC_F($N134)</f>
        <v>#NAME?</v>
      </c>
      <c r="P134" s="14" t="e" cm="1">
        <f t="array" aca="1" ref="P134" ca="1">BDC_MF($N134)</f>
        <v>#NAME?</v>
      </c>
      <c r="Q134" s="10" t="e" cm="1">
        <f t="array" aca="1" ref="Q134" ca="1">BDC_P($N134)</f>
        <v>#NAME?</v>
      </c>
      <c r="R134" s="10" t="e" cm="1">
        <f t="array" aca="1" ref="R134" ca="1">BDC_MP($N134)</f>
        <v>#NAME?</v>
      </c>
      <c r="S134" s="10" t="e" cm="1">
        <f t="array" aca="1" ref="S134" ca="1">bdc_eom(N134)</f>
        <v>#NAME?</v>
      </c>
    </row>
    <row r="135" spans="12:19">
      <c r="L135" s="15" t="s">
        <v>119</v>
      </c>
      <c r="M135" s="15">
        <f t="shared" si="1"/>
        <v>6</v>
      </c>
      <c r="N135" s="16">
        <v>45808</v>
      </c>
      <c r="O135" s="16" t="e" cm="1">
        <f t="array" aca="1" ref="O135" ca="1">BDC_F($N135)</f>
        <v>#NAME?</v>
      </c>
      <c r="P135" s="16" t="e" cm="1">
        <f t="array" aca="1" ref="P135" ca="1">BDC_MF($N135)</f>
        <v>#NAME?</v>
      </c>
      <c r="Q135" s="21" t="e" cm="1">
        <f t="array" aca="1" ref="Q135" ca="1">BDC_P($N135)</f>
        <v>#NAME?</v>
      </c>
      <c r="R135" s="21" t="e" cm="1">
        <f t="array" aca="1" ref="R135" ca="1">BDC_MP($N135)</f>
        <v>#NAME?</v>
      </c>
      <c r="S135" s="21" t="e" cm="1">
        <f t="array" aca="1" ref="S135" ca="1">bdc_eom(N135)</f>
        <v>#NAME?</v>
      </c>
    </row>
    <row r="136" spans="12:19">
      <c r="L136" s="17" t="s">
        <v>121</v>
      </c>
      <c r="M136" s="17">
        <f t="shared" si="1"/>
        <v>7</v>
      </c>
      <c r="N136" s="18">
        <v>45809</v>
      </c>
      <c r="O136" s="18" t="e" cm="1">
        <f t="array" aca="1" ref="O136" ca="1">BDC_F($N136)</f>
        <v>#NAME?</v>
      </c>
      <c r="P136" s="18" t="e" cm="1">
        <f t="array" aca="1" ref="P136" ca="1">BDC_MF($N136)</f>
        <v>#NAME?</v>
      </c>
      <c r="Q136" s="22" t="e" cm="1">
        <f t="array" aca="1" ref="Q136" ca="1">BDC_P($N136)</f>
        <v>#NAME?</v>
      </c>
      <c r="R136" s="22" t="e" cm="1">
        <f t="array" aca="1" ref="R136" ca="1">BDC_MP($N136)</f>
        <v>#NAME?</v>
      </c>
      <c r="S136" s="22" t="e" cm="1">
        <f t="array" aca="1" ref="S136" ca="1">bdc_eom(N136)</f>
        <v>#NAME?</v>
      </c>
    </row>
    <row r="137" spans="12:19">
      <c r="L137" s="1" t="s">
        <v>123</v>
      </c>
      <c r="M137" s="1">
        <f t="shared" si="1"/>
        <v>1</v>
      </c>
      <c r="N137" s="14">
        <v>45810</v>
      </c>
      <c r="O137" s="14" t="e" cm="1">
        <f t="array" aca="1" ref="O137" ca="1">BDC_F($N137)</f>
        <v>#NAME?</v>
      </c>
      <c r="P137" s="14" t="e" cm="1">
        <f t="array" aca="1" ref="P137" ca="1">BDC_MF($N137)</f>
        <v>#NAME?</v>
      </c>
      <c r="Q137" s="10" t="e" cm="1">
        <f t="array" aca="1" ref="Q137" ca="1">BDC_P($N137)</f>
        <v>#NAME?</v>
      </c>
      <c r="R137" s="10" t="e" cm="1">
        <f t="array" aca="1" ref="R137" ca="1">BDC_MP($N137)</f>
        <v>#NAME?</v>
      </c>
      <c r="S137" s="10" t="e" cm="1">
        <f t="array" aca="1" ref="S137" ca="1">bdc_eom(N137)</f>
        <v>#NAME?</v>
      </c>
    </row>
    <row r="138" spans="12:19">
      <c r="L138" s="1" t="s">
        <v>125</v>
      </c>
      <c r="M138" s="1">
        <f t="shared" si="1"/>
        <v>2</v>
      </c>
      <c r="N138" s="14">
        <v>45811</v>
      </c>
      <c r="O138" s="14" t="e" cm="1">
        <f t="array" aca="1" ref="O138" ca="1">BDC_F($N138)</f>
        <v>#NAME?</v>
      </c>
      <c r="P138" s="14" t="e" cm="1">
        <f t="array" aca="1" ref="P138" ca="1">BDC_MF($N138)</f>
        <v>#NAME?</v>
      </c>
      <c r="Q138" s="10" t="e" cm="1">
        <f t="array" aca="1" ref="Q138" ca="1">BDC_P($N138)</f>
        <v>#NAME?</v>
      </c>
      <c r="R138" s="10" t="e" cm="1">
        <f t="array" aca="1" ref="R138" ca="1">BDC_MP($N138)</f>
        <v>#NAME?</v>
      </c>
      <c r="S138" s="10" t="e" cm="1">
        <f t="array" aca="1" ref="S138" ca="1">bdc_eom(N138)</f>
        <v>#NAME?</v>
      </c>
    </row>
    <row r="139" spans="12:19">
      <c r="L139" s="1" t="s">
        <v>127</v>
      </c>
      <c r="M139" s="1">
        <f t="shared" si="1"/>
        <v>3</v>
      </c>
      <c r="N139" s="14">
        <v>45812</v>
      </c>
      <c r="O139" s="14" t="e" cm="1">
        <f t="array" aca="1" ref="O139" ca="1">BDC_F($N139)</f>
        <v>#NAME?</v>
      </c>
      <c r="P139" s="14" t="e" cm="1">
        <f t="array" aca="1" ref="P139" ca="1">BDC_MF($N139)</f>
        <v>#NAME?</v>
      </c>
      <c r="Q139" s="10" t="e" cm="1">
        <f t="array" aca="1" ref="Q139" ca="1">BDC_P($N139)</f>
        <v>#NAME?</v>
      </c>
      <c r="R139" s="10" t="e" cm="1">
        <f t="array" aca="1" ref="R139" ca="1">BDC_MP($N139)</f>
        <v>#NAME?</v>
      </c>
      <c r="S139" s="10" t="e" cm="1">
        <f t="array" aca="1" ref="S139" ca="1">bdc_eom(N139)</f>
        <v>#NAME?</v>
      </c>
    </row>
    <row r="140" spans="12:19">
      <c r="L140" s="1" t="s">
        <v>129</v>
      </c>
      <c r="M140" s="1">
        <f t="shared" si="1"/>
        <v>4</v>
      </c>
      <c r="N140" s="14">
        <v>45813</v>
      </c>
      <c r="O140" s="14" t="e" cm="1">
        <f t="array" aca="1" ref="O140" ca="1">BDC_F($N140)</f>
        <v>#NAME?</v>
      </c>
      <c r="P140" s="14" t="e" cm="1">
        <f t="array" aca="1" ref="P140" ca="1">BDC_MF($N140)</f>
        <v>#NAME?</v>
      </c>
      <c r="Q140" s="10" t="e" cm="1">
        <f t="array" aca="1" ref="Q140" ca="1">BDC_P($N140)</f>
        <v>#NAME?</v>
      </c>
      <c r="R140" s="10" t="e" cm="1">
        <f t="array" aca="1" ref="R140" ca="1">BDC_MP($N140)</f>
        <v>#NAME?</v>
      </c>
      <c r="S140" s="10" t="e" cm="1">
        <f t="array" aca="1" ref="S140" ca="1">bdc_eom(N140)</f>
        <v>#NAME?</v>
      </c>
    </row>
    <row r="141" spans="12:19">
      <c r="L141" s="1" t="s">
        <v>130</v>
      </c>
      <c r="M141" s="1">
        <f t="shared" si="1"/>
        <v>5</v>
      </c>
      <c r="N141" s="14">
        <v>45814</v>
      </c>
      <c r="O141" s="14" t="e" cm="1">
        <f t="array" aca="1" ref="O141" ca="1">BDC_F($N141)</f>
        <v>#NAME?</v>
      </c>
      <c r="P141" s="14" t="e" cm="1">
        <f t="array" aca="1" ref="P141" ca="1">BDC_MF($N141)</f>
        <v>#NAME?</v>
      </c>
      <c r="Q141" s="10" t="e" cm="1">
        <f t="array" aca="1" ref="Q141" ca="1">BDC_P($N141)</f>
        <v>#NAME?</v>
      </c>
      <c r="R141" s="10" t="e" cm="1">
        <f t="array" aca="1" ref="R141" ca="1">BDC_MP($N141)</f>
        <v>#NAME?</v>
      </c>
      <c r="S141" s="10" t="e" cm="1">
        <f t="array" aca="1" ref="S141" ca="1">bdc_eom(N141)</f>
        <v>#NAME?</v>
      </c>
    </row>
    <row r="142" spans="12:19">
      <c r="L142" s="15" t="s">
        <v>119</v>
      </c>
      <c r="M142" s="15">
        <f t="shared" si="1"/>
        <v>6</v>
      </c>
      <c r="N142" s="16">
        <v>45815</v>
      </c>
      <c r="O142" s="16" t="e" cm="1">
        <f t="array" aca="1" ref="O142" ca="1">BDC_F($N142)</f>
        <v>#NAME?</v>
      </c>
      <c r="P142" s="16" t="e" cm="1">
        <f t="array" aca="1" ref="P142" ca="1">BDC_MF($N142)</f>
        <v>#NAME?</v>
      </c>
      <c r="Q142" s="21" t="e" cm="1">
        <f t="array" aca="1" ref="Q142" ca="1">BDC_P($N142)</f>
        <v>#NAME?</v>
      </c>
      <c r="R142" s="21" t="e" cm="1">
        <f t="array" aca="1" ref="R142" ca="1">BDC_MP($N142)</f>
        <v>#NAME?</v>
      </c>
      <c r="S142" s="21" t="e" cm="1">
        <f t="array" aca="1" ref="S142" ca="1">bdc_eom(N142)</f>
        <v>#NAME?</v>
      </c>
    </row>
    <row r="143" spans="12:19">
      <c r="L143" s="17" t="s">
        <v>121</v>
      </c>
      <c r="M143" s="17">
        <f t="shared" si="1"/>
        <v>7</v>
      </c>
      <c r="N143" s="18">
        <v>45816</v>
      </c>
      <c r="O143" s="18" t="e" cm="1">
        <f t="array" aca="1" ref="O143" ca="1">BDC_F($N143)</f>
        <v>#NAME?</v>
      </c>
      <c r="P143" s="18" t="e" cm="1">
        <f t="array" aca="1" ref="P143" ca="1">BDC_MF($N143)</f>
        <v>#NAME?</v>
      </c>
      <c r="Q143" s="22" t="e" cm="1">
        <f t="array" aca="1" ref="Q143" ca="1">BDC_P($N143)</f>
        <v>#NAME?</v>
      </c>
      <c r="R143" s="22" t="e" cm="1">
        <f t="array" aca="1" ref="R143" ca="1">BDC_MP($N143)</f>
        <v>#NAME?</v>
      </c>
      <c r="S143" s="22" t="e" cm="1">
        <f t="array" aca="1" ref="S143" ca="1">bdc_eom(N143)</f>
        <v>#NAME?</v>
      </c>
    </row>
    <row r="144" spans="12:19">
      <c r="L144" s="1" t="s">
        <v>123</v>
      </c>
      <c r="M144" s="1">
        <f t="shared" si="1"/>
        <v>1</v>
      </c>
      <c r="N144" s="14">
        <v>45817</v>
      </c>
      <c r="O144" s="14" t="e" cm="1">
        <f t="array" aca="1" ref="O144" ca="1">BDC_F($N144)</f>
        <v>#NAME?</v>
      </c>
      <c r="P144" s="14" t="e" cm="1">
        <f t="array" aca="1" ref="P144" ca="1">BDC_MF($N144)</f>
        <v>#NAME?</v>
      </c>
      <c r="Q144" s="10" t="e" cm="1">
        <f t="array" aca="1" ref="Q144" ca="1">BDC_P($N144)</f>
        <v>#NAME?</v>
      </c>
      <c r="R144" s="10" t="e" cm="1">
        <f t="array" aca="1" ref="R144" ca="1">BDC_MP($N144)</f>
        <v>#NAME?</v>
      </c>
      <c r="S144" s="10" t="e" cm="1">
        <f t="array" aca="1" ref="S144" ca="1">bdc_eom(N144)</f>
        <v>#NAME?</v>
      </c>
    </row>
    <row r="145" spans="12:19">
      <c r="L145" s="1" t="s">
        <v>125</v>
      </c>
      <c r="M145" s="1">
        <f t="shared" si="1"/>
        <v>2</v>
      </c>
      <c r="N145" s="14">
        <v>45818</v>
      </c>
      <c r="O145" s="14" t="e" cm="1">
        <f t="array" aca="1" ref="O145" ca="1">BDC_F($N145)</f>
        <v>#NAME?</v>
      </c>
      <c r="P145" s="14" t="e" cm="1">
        <f t="array" aca="1" ref="P145" ca="1">BDC_MF($N145)</f>
        <v>#NAME?</v>
      </c>
      <c r="Q145" s="10" t="e" cm="1">
        <f t="array" aca="1" ref="Q145" ca="1">BDC_P($N145)</f>
        <v>#NAME?</v>
      </c>
      <c r="R145" s="10" t="e" cm="1">
        <f t="array" aca="1" ref="R145" ca="1">BDC_MP($N145)</f>
        <v>#NAME?</v>
      </c>
      <c r="S145" s="10" t="e" cm="1">
        <f t="array" aca="1" ref="S145" ca="1">bdc_eom(N145)</f>
        <v>#NAME?</v>
      </c>
    </row>
    <row r="146" spans="12:19">
      <c r="L146" s="1" t="s">
        <v>127</v>
      </c>
      <c r="M146" s="1">
        <f t="shared" si="1"/>
        <v>3</v>
      </c>
      <c r="N146" s="14">
        <v>45819</v>
      </c>
      <c r="O146" s="14" t="e" cm="1">
        <f t="array" aca="1" ref="O146" ca="1">BDC_F($N146)</f>
        <v>#NAME?</v>
      </c>
      <c r="P146" s="14" t="e" cm="1">
        <f t="array" aca="1" ref="P146" ca="1">BDC_MF($N146)</f>
        <v>#NAME?</v>
      </c>
      <c r="Q146" s="10" t="e" cm="1">
        <f t="array" aca="1" ref="Q146" ca="1">BDC_P($N146)</f>
        <v>#NAME?</v>
      </c>
      <c r="R146" s="10" t="e" cm="1">
        <f t="array" aca="1" ref="R146" ca="1">BDC_MP($N146)</f>
        <v>#NAME?</v>
      </c>
      <c r="S146" s="10" t="e" cm="1">
        <f t="array" aca="1" ref="S146" ca="1">bdc_eom(N146)</f>
        <v>#NAME?</v>
      </c>
    </row>
    <row r="147" spans="12:19">
      <c r="L147" s="1" t="s">
        <v>129</v>
      </c>
      <c r="M147" s="1">
        <f t="shared" si="1"/>
        <v>4</v>
      </c>
      <c r="N147" s="14">
        <v>45820</v>
      </c>
      <c r="O147" s="14" t="e" cm="1">
        <f t="array" aca="1" ref="O147" ca="1">BDC_F($N147)</f>
        <v>#NAME?</v>
      </c>
      <c r="P147" s="14" t="e" cm="1">
        <f t="array" aca="1" ref="P147" ca="1">BDC_MF($N147)</f>
        <v>#NAME?</v>
      </c>
      <c r="Q147" s="10" t="e" cm="1">
        <f t="array" aca="1" ref="Q147" ca="1">BDC_P($N147)</f>
        <v>#NAME?</v>
      </c>
      <c r="R147" s="10" t="e" cm="1">
        <f t="array" aca="1" ref="R147" ca="1">BDC_MP($N147)</f>
        <v>#NAME?</v>
      </c>
      <c r="S147" s="10" t="e" cm="1">
        <f t="array" aca="1" ref="S147" ca="1">bdc_eom(N147)</f>
        <v>#NAME?</v>
      </c>
    </row>
    <row r="148" spans="12:19">
      <c r="L148" s="1" t="s">
        <v>130</v>
      </c>
      <c r="M148" s="1">
        <f t="shared" si="1"/>
        <v>5</v>
      </c>
      <c r="N148" s="14">
        <v>45821</v>
      </c>
      <c r="O148" s="14" t="e" cm="1">
        <f t="array" aca="1" ref="O148" ca="1">BDC_F($N148)</f>
        <v>#NAME?</v>
      </c>
      <c r="P148" s="14" t="e" cm="1">
        <f t="array" aca="1" ref="P148" ca="1">BDC_MF($N148)</f>
        <v>#NAME?</v>
      </c>
      <c r="Q148" s="10" t="e" cm="1">
        <f t="array" aca="1" ref="Q148" ca="1">BDC_P($N148)</f>
        <v>#NAME?</v>
      </c>
      <c r="R148" s="10" t="e" cm="1">
        <f t="array" aca="1" ref="R148" ca="1">BDC_MP($N148)</f>
        <v>#NAME?</v>
      </c>
      <c r="S148" s="10" t="e" cm="1">
        <f t="array" aca="1" ref="S148" ca="1">bdc_eom(N148)</f>
        <v>#NAME?</v>
      </c>
    </row>
    <row r="149" spans="12:19">
      <c r="L149" s="1" t="s">
        <v>119</v>
      </c>
      <c r="M149" s="1">
        <f t="shared" si="1"/>
        <v>6</v>
      </c>
      <c r="N149" s="14">
        <v>45822</v>
      </c>
      <c r="O149" s="14" t="e" cm="1">
        <f t="array" aca="1" ref="O149" ca="1">BDC_F($N149)</f>
        <v>#NAME?</v>
      </c>
      <c r="P149" s="14" t="e" cm="1">
        <f t="array" aca="1" ref="P149" ca="1">BDC_MF($N149)</f>
        <v>#NAME?</v>
      </c>
      <c r="Q149" s="10" t="e" cm="1">
        <f t="array" aca="1" ref="Q149" ca="1">BDC_P($N149)</f>
        <v>#NAME?</v>
      </c>
      <c r="R149" s="10" t="e" cm="1">
        <f t="array" aca="1" ref="R149" ca="1">BDC_MP($N149)</f>
        <v>#NAME?</v>
      </c>
      <c r="S149" s="10" t="e" cm="1">
        <f t="array" aca="1" ref="S149" ca="1">bdc_eom(N149)</f>
        <v>#NAME?</v>
      </c>
    </row>
    <row r="150" spans="12:19">
      <c r="L150" s="1" t="s">
        <v>121</v>
      </c>
      <c r="M150" s="1">
        <f t="shared" si="1"/>
        <v>7</v>
      </c>
      <c r="N150" s="14">
        <v>45823</v>
      </c>
      <c r="O150" s="14" t="e" cm="1">
        <f t="array" aca="1" ref="O150" ca="1">BDC_F($N150)</f>
        <v>#NAME?</v>
      </c>
      <c r="P150" s="14" t="e" cm="1">
        <f t="array" aca="1" ref="P150" ca="1">BDC_MF($N150)</f>
        <v>#NAME?</v>
      </c>
      <c r="Q150" s="10" t="e" cm="1">
        <f t="array" aca="1" ref="Q150" ca="1">BDC_P($N150)</f>
        <v>#NAME?</v>
      </c>
      <c r="R150" s="10" t="e" cm="1">
        <f t="array" aca="1" ref="R150" ca="1">BDC_MP($N150)</f>
        <v>#NAME?</v>
      </c>
      <c r="S150" s="10" t="e" cm="1">
        <f t="array" aca="1" ref="S150" ca="1">bdc_eom(N150)</f>
        <v>#NAME?</v>
      </c>
    </row>
    <row r="151" spans="12:19">
      <c r="L151" s="1" t="s">
        <v>123</v>
      </c>
      <c r="M151" s="1">
        <f t="shared" si="1"/>
        <v>1</v>
      </c>
      <c r="N151" s="14">
        <v>45824</v>
      </c>
      <c r="O151" s="14" t="e" cm="1">
        <f t="array" aca="1" ref="O151" ca="1">BDC_F($N151)</f>
        <v>#NAME?</v>
      </c>
      <c r="P151" s="14" t="e" cm="1">
        <f t="array" aca="1" ref="P151" ca="1">BDC_MF($N151)</f>
        <v>#NAME?</v>
      </c>
      <c r="Q151" s="10" t="e" cm="1">
        <f t="array" aca="1" ref="Q151" ca="1">BDC_P($N151)</f>
        <v>#NAME?</v>
      </c>
      <c r="R151" s="10" t="e" cm="1">
        <f t="array" aca="1" ref="R151" ca="1">BDC_MP($N151)</f>
        <v>#NAME?</v>
      </c>
      <c r="S151" s="10" t="e" cm="1">
        <f t="array" aca="1" ref="S151" ca="1">bdc_eom(N151)</f>
        <v>#NAME?</v>
      </c>
    </row>
    <row r="152" spans="12:19">
      <c r="L152" s="1" t="s">
        <v>125</v>
      </c>
      <c r="M152" s="1">
        <f t="shared" si="1"/>
        <v>2</v>
      </c>
      <c r="N152" s="14">
        <v>45825</v>
      </c>
      <c r="O152" s="14" t="e" cm="1">
        <f t="array" aca="1" ref="O152" ca="1">BDC_F($N152)</f>
        <v>#NAME?</v>
      </c>
      <c r="P152" s="14" t="e" cm="1">
        <f t="array" aca="1" ref="P152" ca="1">BDC_MF($N152)</f>
        <v>#NAME?</v>
      </c>
      <c r="Q152" s="10" t="e" cm="1">
        <f t="array" aca="1" ref="Q152" ca="1">BDC_P($N152)</f>
        <v>#NAME?</v>
      </c>
      <c r="R152" s="10" t="e" cm="1">
        <f t="array" aca="1" ref="R152" ca="1">BDC_MP($N152)</f>
        <v>#NAME?</v>
      </c>
      <c r="S152" s="10" t="e" cm="1">
        <f t="array" aca="1" ref="S152" ca="1">bdc_eom(N152)</f>
        <v>#NAME?</v>
      </c>
    </row>
    <row r="153" spans="12:19">
      <c r="L153" s="1" t="s">
        <v>127</v>
      </c>
      <c r="M153" s="1">
        <f t="shared" si="1"/>
        <v>3</v>
      </c>
      <c r="N153" s="14">
        <v>45826</v>
      </c>
      <c r="O153" s="14" t="e" cm="1">
        <f t="array" aca="1" ref="O153" ca="1">BDC_F($N153)</f>
        <v>#NAME?</v>
      </c>
      <c r="P153" s="14" t="e" cm="1">
        <f t="array" aca="1" ref="P153" ca="1">BDC_MF($N153)</f>
        <v>#NAME?</v>
      </c>
      <c r="Q153" s="10" t="e" cm="1">
        <f t="array" aca="1" ref="Q153" ca="1">BDC_P($N153)</f>
        <v>#NAME?</v>
      </c>
      <c r="R153" s="10" t="e" cm="1">
        <f t="array" aca="1" ref="R153" ca="1">BDC_MP($N153)</f>
        <v>#NAME?</v>
      </c>
      <c r="S153" s="10" t="e" cm="1">
        <f t="array" aca="1" ref="S153" ca="1">bdc_eom(N153)</f>
        <v>#NAME?</v>
      </c>
    </row>
    <row r="154" spans="12:19">
      <c r="L154" s="1" t="s">
        <v>129</v>
      </c>
      <c r="M154" s="1">
        <f t="shared" si="1"/>
        <v>4</v>
      </c>
      <c r="N154" s="14">
        <v>45827</v>
      </c>
      <c r="O154" s="14" t="e" cm="1">
        <f t="array" aca="1" ref="O154" ca="1">BDC_F($N154)</f>
        <v>#NAME?</v>
      </c>
      <c r="P154" s="14" t="e" cm="1">
        <f t="array" aca="1" ref="P154" ca="1">BDC_MF($N154)</f>
        <v>#NAME?</v>
      </c>
      <c r="Q154" s="10" t="e" cm="1">
        <f t="array" aca="1" ref="Q154" ca="1">BDC_P($N154)</f>
        <v>#NAME?</v>
      </c>
      <c r="R154" s="10" t="e" cm="1">
        <f t="array" aca="1" ref="R154" ca="1">BDC_MP($N154)</f>
        <v>#NAME?</v>
      </c>
      <c r="S154" s="10" t="e" cm="1">
        <f t="array" aca="1" ref="S154" ca="1">bdc_eom(N154)</f>
        <v>#NAME?</v>
      </c>
    </row>
    <row r="155" spans="12:19">
      <c r="L155" s="1" t="s">
        <v>130</v>
      </c>
      <c r="M155" s="1">
        <f t="shared" si="1"/>
        <v>5</v>
      </c>
      <c r="N155" s="14">
        <v>45828</v>
      </c>
      <c r="O155" s="14" t="e" cm="1">
        <f t="array" aca="1" ref="O155" ca="1">BDC_F($N155)</f>
        <v>#NAME?</v>
      </c>
      <c r="P155" s="14" t="e" cm="1">
        <f t="array" aca="1" ref="P155" ca="1">BDC_MF($N155)</f>
        <v>#NAME?</v>
      </c>
      <c r="Q155" s="10" t="e" cm="1">
        <f t="array" aca="1" ref="Q155" ca="1">BDC_P($N155)</f>
        <v>#NAME?</v>
      </c>
      <c r="R155" s="10" t="e" cm="1">
        <f t="array" aca="1" ref="R155" ca="1">BDC_MP($N155)</f>
        <v>#NAME?</v>
      </c>
      <c r="S155" s="10" t="e" cm="1">
        <f t="array" aca="1" ref="S155" ca="1">bdc_eom(N155)</f>
        <v>#NAME?</v>
      </c>
    </row>
    <row r="156" spans="12:19">
      <c r="L156" s="1" t="s">
        <v>119</v>
      </c>
      <c r="M156" s="1">
        <f t="shared" si="1"/>
        <v>6</v>
      </c>
      <c r="N156" s="14">
        <v>45829</v>
      </c>
      <c r="O156" s="14" t="e" cm="1">
        <f t="array" aca="1" ref="O156" ca="1">BDC_F($N156)</f>
        <v>#NAME?</v>
      </c>
      <c r="P156" s="14" t="e" cm="1">
        <f t="array" aca="1" ref="P156" ca="1">BDC_MF($N156)</f>
        <v>#NAME?</v>
      </c>
      <c r="Q156" s="10" t="e" cm="1">
        <f t="array" aca="1" ref="Q156" ca="1">BDC_P($N156)</f>
        <v>#NAME?</v>
      </c>
      <c r="R156" s="10" t="e" cm="1">
        <f t="array" aca="1" ref="R156" ca="1">BDC_MP($N156)</f>
        <v>#NAME?</v>
      </c>
      <c r="S156" s="10" t="e" cm="1">
        <f t="array" aca="1" ref="S156" ca="1">bdc_eom(N156)</f>
        <v>#NAME?</v>
      </c>
    </row>
    <row r="157" spans="12:19">
      <c r="L157" s="1" t="s">
        <v>121</v>
      </c>
      <c r="M157" s="1">
        <f t="shared" si="1"/>
        <v>7</v>
      </c>
      <c r="N157" s="14">
        <v>45830</v>
      </c>
      <c r="O157" s="14" t="e" cm="1">
        <f t="array" aca="1" ref="O157" ca="1">BDC_F($N157)</f>
        <v>#NAME?</v>
      </c>
      <c r="P157" s="14" t="e" cm="1">
        <f t="array" aca="1" ref="P157" ca="1">BDC_MF($N157)</f>
        <v>#NAME?</v>
      </c>
      <c r="Q157" s="10" t="e" cm="1">
        <f t="array" aca="1" ref="Q157" ca="1">BDC_P($N157)</f>
        <v>#NAME?</v>
      </c>
      <c r="R157" s="10" t="e" cm="1">
        <f t="array" aca="1" ref="R157" ca="1">BDC_MP($N157)</f>
        <v>#NAME?</v>
      </c>
      <c r="S157" s="10" t="e" cm="1">
        <f t="array" aca="1" ref="S157" ca="1">bdc_eom(N157)</f>
        <v>#NAME?</v>
      </c>
    </row>
    <row r="158" spans="12:19">
      <c r="L158" s="1" t="s">
        <v>123</v>
      </c>
      <c r="M158" s="1">
        <f t="shared" si="1"/>
        <v>1</v>
      </c>
      <c r="N158" s="14">
        <v>45831</v>
      </c>
      <c r="O158" s="14" t="e" cm="1">
        <f t="array" aca="1" ref="O158" ca="1">BDC_F($N158)</f>
        <v>#NAME?</v>
      </c>
      <c r="P158" s="14" t="e" cm="1">
        <f t="array" aca="1" ref="P158" ca="1">BDC_MF($N158)</f>
        <v>#NAME?</v>
      </c>
      <c r="Q158" s="10" t="e" cm="1">
        <f t="array" aca="1" ref="Q158" ca="1">BDC_P($N158)</f>
        <v>#NAME?</v>
      </c>
      <c r="R158" s="10" t="e" cm="1">
        <f t="array" aca="1" ref="R158" ca="1">BDC_MP($N158)</f>
        <v>#NAME?</v>
      </c>
      <c r="S158" s="10" t="e" cm="1">
        <f t="array" aca="1" ref="S158" ca="1">bdc_eom(N158)</f>
        <v>#NAME?</v>
      </c>
    </row>
    <row r="159" spans="12:19">
      <c r="L159" s="1" t="s">
        <v>125</v>
      </c>
      <c r="M159" s="1">
        <f t="shared" si="1"/>
        <v>2</v>
      </c>
      <c r="N159" s="14">
        <v>45832</v>
      </c>
      <c r="O159" s="14" t="e" cm="1">
        <f t="array" aca="1" ref="O159" ca="1">BDC_F($N159)</f>
        <v>#NAME?</v>
      </c>
      <c r="P159" s="14" t="e" cm="1">
        <f t="array" aca="1" ref="P159" ca="1">BDC_MF($N159)</f>
        <v>#NAME?</v>
      </c>
      <c r="Q159" s="10" t="e" cm="1">
        <f t="array" aca="1" ref="Q159" ca="1">BDC_P($N159)</f>
        <v>#NAME?</v>
      </c>
      <c r="R159" s="10" t="e" cm="1">
        <f t="array" aca="1" ref="R159" ca="1">BDC_MP($N159)</f>
        <v>#NAME?</v>
      </c>
      <c r="S159" s="10" t="e" cm="1">
        <f t="array" aca="1" ref="S159" ca="1">bdc_eom(N159)</f>
        <v>#NAME?</v>
      </c>
    </row>
    <row r="160" spans="12:19">
      <c r="L160" s="1" t="s">
        <v>127</v>
      </c>
      <c r="M160" s="1">
        <f t="shared" si="1"/>
        <v>3</v>
      </c>
      <c r="N160" s="14">
        <v>45833</v>
      </c>
      <c r="O160" s="14" t="e" cm="1">
        <f t="array" aca="1" ref="O160" ca="1">BDC_F($N160)</f>
        <v>#NAME?</v>
      </c>
      <c r="P160" s="14" t="e" cm="1">
        <f t="array" aca="1" ref="P160" ca="1">BDC_MF($N160)</f>
        <v>#NAME?</v>
      </c>
      <c r="Q160" s="10" t="e" cm="1">
        <f t="array" aca="1" ref="Q160" ca="1">BDC_P($N160)</f>
        <v>#NAME?</v>
      </c>
      <c r="R160" s="10" t="e" cm="1">
        <f t="array" aca="1" ref="R160" ca="1">BDC_MP($N160)</f>
        <v>#NAME?</v>
      </c>
      <c r="S160" s="10" t="e" cm="1">
        <f t="array" aca="1" ref="S160" ca="1">bdc_eom(N160)</f>
        <v>#NAME?</v>
      </c>
    </row>
    <row r="161" spans="12:19">
      <c r="L161" s="1" t="s">
        <v>129</v>
      </c>
      <c r="M161" s="1">
        <f t="shared" si="1"/>
        <v>4</v>
      </c>
      <c r="N161" s="14">
        <v>45834</v>
      </c>
      <c r="O161" s="14" t="e" cm="1">
        <f t="array" aca="1" ref="O161" ca="1">BDC_F($N161)</f>
        <v>#NAME?</v>
      </c>
      <c r="P161" s="14" t="e" cm="1">
        <f t="array" aca="1" ref="P161" ca="1">BDC_MF($N161)</f>
        <v>#NAME?</v>
      </c>
      <c r="Q161" s="10" t="e" cm="1">
        <f t="array" aca="1" ref="Q161" ca="1">BDC_P($N161)</f>
        <v>#NAME?</v>
      </c>
      <c r="R161" s="10" t="e" cm="1">
        <f t="array" aca="1" ref="R161" ca="1">BDC_MP($N161)</f>
        <v>#NAME?</v>
      </c>
      <c r="S161" s="10" t="e" cm="1">
        <f t="array" aca="1" ref="S161" ca="1">bdc_eom(N161)</f>
        <v>#NAME?</v>
      </c>
    </row>
    <row r="162" spans="12:19">
      <c r="L162" s="1" t="s">
        <v>130</v>
      </c>
      <c r="M162" s="1">
        <f t="shared" si="1"/>
        <v>5</v>
      </c>
      <c r="N162" s="14">
        <v>45835</v>
      </c>
      <c r="O162" s="14" t="e" cm="1">
        <f t="array" aca="1" ref="O162" ca="1">BDC_F($N162)</f>
        <v>#NAME?</v>
      </c>
      <c r="P162" s="14" t="e" cm="1">
        <f t="array" aca="1" ref="P162" ca="1">BDC_MF($N162)</f>
        <v>#NAME?</v>
      </c>
      <c r="Q162" s="10" t="e" cm="1">
        <f t="array" aca="1" ref="Q162" ca="1">BDC_P($N162)</f>
        <v>#NAME?</v>
      </c>
      <c r="R162" s="10" t="e" cm="1">
        <f t="array" aca="1" ref="R162" ca="1">BDC_MP($N162)</f>
        <v>#NAME?</v>
      </c>
      <c r="S162" s="10" t="e" cm="1">
        <f t="array" aca="1" ref="S162" ca="1">bdc_eom(N162)</f>
        <v>#NAME?</v>
      </c>
    </row>
    <row r="163" spans="12:19">
      <c r="L163" s="1" t="s">
        <v>119</v>
      </c>
      <c r="M163" s="1">
        <f t="shared" si="1"/>
        <v>6</v>
      </c>
      <c r="N163" s="14">
        <v>45836</v>
      </c>
      <c r="O163" s="14" t="e" cm="1">
        <f t="array" aca="1" ref="O163" ca="1">BDC_F($N163)</f>
        <v>#NAME?</v>
      </c>
      <c r="P163" s="14" t="e" cm="1">
        <f t="array" aca="1" ref="P163" ca="1">BDC_MF($N163)</f>
        <v>#NAME?</v>
      </c>
      <c r="Q163" s="10" t="e" cm="1">
        <f t="array" aca="1" ref="Q163" ca="1">BDC_P($N163)</f>
        <v>#NAME?</v>
      </c>
      <c r="R163" s="10" t="e" cm="1">
        <f t="array" aca="1" ref="R163" ca="1">BDC_MP($N163)</f>
        <v>#NAME?</v>
      </c>
      <c r="S163" s="10" t="e" cm="1">
        <f t="array" aca="1" ref="S163" ca="1">bdc_eom(N163)</f>
        <v>#NAME?</v>
      </c>
    </row>
    <row r="164" spans="12:19">
      <c r="L164" s="1" t="s">
        <v>121</v>
      </c>
      <c r="M164" s="1">
        <f t="shared" si="1"/>
        <v>7</v>
      </c>
      <c r="N164" s="14">
        <v>45837</v>
      </c>
      <c r="O164" s="14" t="e" cm="1">
        <f t="array" aca="1" ref="O164" ca="1">BDC_F($N164)</f>
        <v>#NAME?</v>
      </c>
      <c r="P164" s="14" t="e" cm="1">
        <f t="array" aca="1" ref="P164" ca="1">BDC_MF($N164)</f>
        <v>#NAME?</v>
      </c>
      <c r="Q164" s="10" t="e" cm="1">
        <f t="array" aca="1" ref="Q164" ca="1">BDC_P($N164)</f>
        <v>#NAME?</v>
      </c>
      <c r="R164" s="10" t="e" cm="1">
        <f t="array" aca="1" ref="R164" ca="1">BDC_MP($N164)</f>
        <v>#NAME?</v>
      </c>
      <c r="S164" s="10" t="e" cm="1">
        <f t="array" aca="1" ref="S164" ca="1">bdc_eom(N164)</f>
        <v>#NAME?</v>
      </c>
    </row>
    <row r="165" spans="12:19">
      <c r="L165" s="1" t="s">
        <v>123</v>
      </c>
      <c r="M165" s="1">
        <f t="shared" si="1"/>
        <v>1</v>
      </c>
      <c r="N165" s="14">
        <v>45838</v>
      </c>
      <c r="O165" s="14" t="e" cm="1">
        <f t="array" aca="1" ref="O165" ca="1">BDC_F($N165)</f>
        <v>#NAME?</v>
      </c>
      <c r="P165" s="14" t="e" cm="1">
        <f t="array" aca="1" ref="P165" ca="1">BDC_MF($N165)</f>
        <v>#NAME?</v>
      </c>
      <c r="Q165" s="10" t="e" cm="1">
        <f t="array" aca="1" ref="Q165" ca="1">BDC_P($N165)</f>
        <v>#NAME?</v>
      </c>
      <c r="R165" s="10" t="e" cm="1">
        <f t="array" aca="1" ref="R165" ca="1">BDC_MP($N165)</f>
        <v>#NAME?</v>
      </c>
      <c r="S165" s="10" t="e" cm="1">
        <f t="array" aca="1" ref="S165" ca="1">bdc_eom(N165)</f>
        <v>#NAME?</v>
      </c>
    </row>
    <row r="166" spans="12:19">
      <c r="L166" s="1" t="s">
        <v>125</v>
      </c>
      <c r="M166" s="1">
        <f t="shared" si="1"/>
        <v>2</v>
      </c>
      <c r="N166" s="14">
        <v>45839</v>
      </c>
      <c r="O166" s="14" t="e" cm="1">
        <f t="array" aca="1" ref="O166" ca="1">BDC_F($N166)</f>
        <v>#NAME?</v>
      </c>
      <c r="P166" s="14" t="e" cm="1">
        <f t="array" aca="1" ref="P166" ca="1">BDC_MF($N166)</f>
        <v>#NAME?</v>
      </c>
      <c r="Q166" s="10" t="e" cm="1">
        <f t="array" aca="1" ref="Q166" ca="1">BDC_P($N166)</f>
        <v>#NAME?</v>
      </c>
      <c r="R166" s="10" t="e" cm="1">
        <f t="array" aca="1" ref="R166" ca="1">BDC_MP($N166)</f>
        <v>#NAME?</v>
      </c>
      <c r="S166" s="10" t="e" cm="1">
        <f t="array" aca="1" ref="S166" ca="1">bdc_eom(N166)</f>
        <v>#NAME?</v>
      </c>
    </row>
    <row r="167" spans="12:19">
      <c r="L167" s="1" t="s">
        <v>127</v>
      </c>
      <c r="M167" s="1">
        <f t="shared" si="1"/>
        <v>3</v>
      </c>
      <c r="N167" s="14">
        <v>45840</v>
      </c>
      <c r="O167" s="14" t="e" cm="1">
        <f t="array" aca="1" ref="O167" ca="1">BDC_F($N167)</f>
        <v>#NAME?</v>
      </c>
      <c r="P167" s="14" t="e" cm="1">
        <f t="array" aca="1" ref="P167" ca="1">BDC_MF($N167)</f>
        <v>#NAME?</v>
      </c>
      <c r="Q167" s="10" t="e" cm="1">
        <f t="array" aca="1" ref="Q167" ca="1">BDC_P($N167)</f>
        <v>#NAME?</v>
      </c>
      <c r="R167" s="10" t="e" cm="1">
        <f t="array" aca="1" ref="R167" ca="1">BDC_MP($N167)</f>
        <v>#NAME?</v>
      </c>
      <c r="S167" s="10" t="e" cm="1">
        <f t="array" aca="1" ref="S167" ca="1">bdc_eom(N167)</f>
        <v>#NAME?</v>
      </c>
    </row>
    <row r="168" spans="12:19">
      <c r="L168" s="1" t="s">
        <v>129</v>
      </c>
      <c r="M168" s="1">
        <f t="shared" si="1"/>
        <v>4</v>
      </c>
      <c r="N168" s="14">
        <v>45841</v>
      </c>
      <c r="O168" s="14" t="e" cm="1">
        <f t="array" aca="1" ref="O168" ca="1">BDC_F($N168)</f>
        <v>#NAME?</v>
      </c>
      <c r="P168" s="14" t="e" cm="1">
        <f t="array" aca="1" ref="P168" ca="1">BDC_MF($N168)</f>
        <v>#NAME?</v>
      </c>
      <c r="Q168" s="10" t="e" cm="1">
        <f t="array" aca="1" ref="Q168" ca="1">BDC_P($N168)</f>
        <v>#NAME?</v>
      </c>
      <c r="R168" s="10" t="e" cm="1">
        <f t="array" aca="1" ref="R168" ca="1">BDC_MP($N168)</f>
        <v>#NAME?</v>
      </c>
      <c r="S168" s="10" t="e" cm="1">
        <f t="array" aca="1" ref="S168" ca="1">bdc_eom(N168)</f>
        <v>#NAME?</v>
      </c>
    </row>
    <row r="169" spans="12:19">
      <c r="L169" s="1" t="s">
        <v>130</v>
      </c>
      <c r="M169" s="1">
        <f t="shared" si="1"/>
        <v>5</v>
      </c>
      <c r="N169" s="14">
        <v>45842</v>
      </c>
      <c r="O169" s="14" t="e" cm="1">
        <f t="array" aca="1" ref="O169" ca="1">BDC_F($N169)</f>
        <v>#NAME?</v>
      </c>
      <c r="P169" s="14" t="e" cm="1">
        <f t="array" aca="1" ref="P169" ca="1">BDC_MF($N169)</f>
        <v>#NAME?</v>
      </c>
      <c r="Q169" s="10" t="e" cm="1">
        <f t="array" aca="1" ref="Q169" ca="1">BDC_P($N169)</f>
        <v>#NAME?</v>
      </c>
      <c r="R169" s="10" t="e" cm="1">
        <f t="array" aca="1" ref="R169" ca="1">BDC_MP($N169)</f>
        <v>#NAME?</v>
      </c>
      <c r="S169" s="10" t="e" cm="1">
        <f t="array" aca="1" ref="S169" ca="1">bdc_eom(N169)</f>
        <v>#NAME?</v>
      </c>
    </row>
    <row r="170" spans="12:19">
      <c r="L170" s="1" t="s">
        <v>119</v>
      </c>
      <c r="M170" s="1">
        <f t="shared" si="1"/>
        <v>6</v>
      </c>
      <c r="N170" s="14">
        <v>45843</v>
      </c>
      <c r="O170" s="14" t="e" cm="1">
        <f t="array" aca="1" ref="O170" ca="1">BDC_F($N170)</f>
        <v>#NAME?</v>
      </c>
      <c r="P170" s="14" t="e" cm="1">
        <f t="array" aca="1" ref="P170" ca="1">BDC_MF($N170)</f>
        <v>#NAME?</v>
      </c>
      <c r="Q170" s="10" t="e" cm="1">
        <f t="array" aca="1" ref="Q170" ca="1">BDC_P($N170)</f>
        <v>#NAME?</v>
      </c>
      <c r="R170" s="10" t="e" cm="1">
        <f t="array" aca="1" ref="R170" ca="1">BDC_MP($N170)</f>
        <v>#NAME?</v>
      </c>
      <c r="S170" s="10" t="e" cm="1">
        <f t="array" aca="1" ref="S170" ca="1">bdc_eom(N170)</f>
        <v>#NAME?</v>
      </c>
    </row>
    <row r="171" spans="12:19">
      <c r="L171" s="1" t="s">
        <v>121</v>
      </c>
      <c r="M171" s="1">
        <f t="shared" si="1"/>
        <v>7</v>
      </c>
      <c r="N171" s="14">
        <v>45844</v>
      </c>
      <c r="O171" s="14" t="e" cm="1">
        <f t="array" aca="1" ref="O171" ca="1">BDC_F($N171)</f>
        <v>#NAME?</v>
      </c>
      <c r="P171" s="14" t="e" cm="1">
        <f t="array" aca="1" ref="P171" ca="1">BDC_MF($N171)</f>
        <v>#NAME?</v>
      </c>
      <c r="Q171" s="10" t="e" cm="1">
        <f t="array" aca="1" ref="Q171" ca="1">BDC_P($N171)</f>
        <v>#NAME?</v>
      </c>
      <c r="R171" s="10" t="e" cm="1">
        <f t="array" aca="1" ref="R171" ca="1">BDC_MP($N171)</f>
        <v>#NAME?</v>
      </c>
      <c r="S171" s="10" t="e" cm="1">
        <f t="array" aca="1" ref="S171" ca="1">bdc_eom(N171)</f>
        <v>#NAME?</v>
      </c>
    </row>
    <row r="172" spans="12:19">
      <c r="L172" s="1" t="s">
        <v>123</v>
      </c>
      <c r="M172" s="1">
        <f t="shared" si="1"/>
        <v>1</v>
      </c>
      <c r="N172" s="14">
        <v>45845</v>
      </c>
      <c r="O172" s="14" t="e" cm="1">
        <f t="array" aca="1" ref="O172" ca="1">BDC_F($N172)</f>
        <v>#NAME?</v>
      </c>
      <c r="P172" s="14" t="e" cm="1">
        <f t="array" aca="1" ref="P172" ca="1">BDC_MF($N172)</f>
        <v>#NAME?</v>
      </c>
      <c r="Q172" s="10" t="e" cm="1">
        <f t="array" aca="1" ref="Q172" ca="1">BDC_P($N172)</f>
        <v>#NAME?</v>
      </c>
      <c r="R172" s="10" t="e" cm="1">
        <f t="array" aca="1" ref="R172" ca="1">BDC_MP($N172)</f>
        <v>#NAME?</v>
      </c>
      <c r="S172" s="10" t="e" cm="1">
        <f t="array" aca="1" ref="S172" ca="1">bdc_eom(N172)</f>
        <v>#NAME?</v>
      </c>
    </row>
    <row r="173" spans="12:19">
      <c r="L173" s="1" t="s">
        <v>125</v>
      </c>
      <c r="M173" s="1">
        <f t="shared" ref="M173:M236" si="2">WEEKDAY(N173,2)</f>
        <v>2</v>
      </c>
      <c r="N173" s="14">
        <v>45846</v>
      </c>
      <c r="O173" s="14" t="e" cm="1">
        <f t="array" aca="1" ref="O173" ca="1">BDC_F($N173)</f>
        <v>#NAME?</v>
      </c>
      <c r="P173" s="14" t="e" cm="1">
        <f t="array" aca="1" ref="P173" ca="1">BDC_MF($N173)</f>
        <v>#NAME?</v>
      </c>
      <c r="Q173" s="10" t="e" cm="1">
        <f t="array" aca="1" ref="Q173" ca="1">BDC_P($N173)</f>
        <v>#NAME?</v>
      </c>
      <c r="R173" s="10" t="e" cm="1">
        <f t="array" aca="1" ref="R173" ca="1">BDC_MP($N173)</f>
        <v>#NAME?</v>
      </c>
      <c r="S173" s="10" t="e" cm="1">
        <f t="array" aca="1" ref="S173" ca="1">bdc_eom(N173)</f>
        <v>#NAME?</v>
      </c>
    </row>
    <row r="174" spans="12:19">
      <c r="L174" s="1" t="s">
        <v>127</v>
      </c>
      <c r="M174" s="1">
        <f t="shared" si="2"/>
        <v>3</v>
      </c>
      <c r="N174" s="14">
        <v>45847</v>
      </c>
      <c r="O174" s="14" t="e" cm="1">
        <f t="array" aca="1" ref="O174" ca="1">BDC_F($N174)</f>
        <v>#NAME?</v>
      </c>
      <c r="P174" s="14" t="e" cm="1">
        <f t="array" aca="1" ref="P174" ca="1">BDC_MF($N174)</f>
        <v>#NAME?</v>
      </c>
      <c r="Q174" s="10" t="e" cm="1">
        <f t="array" aca="1" ref="Q174" ca="1">BDC_P($N174)</f>
        <v>#NAME?</v>
      </c>
      <c r="R174" s="10" t="e" cm="1">
        <f t="array" aca="1" ref="R174" ca="1">BDC_MP($N174)</f>
        <v>#NAME?</v>
      </c>
      <c r="S174" s="10" t="e" cm="1">
        <f t="array" aca="1" ref="S174" ca="1">bdc_eom(N174)</f>
        <v>#NAME?</v>
      </c>
    </row>
    <row r="175" spans="12:19">
      <c r="L175" s="1" t="s">
        <v>129</v>
      </c>
      <c r="M175" s="1">
        <f t="shared" si="2"/>
        <v>4</v>
      </c>
      <c r="N175" s="14">
        <v>45848</v>
      </c>
      <c r="O175" s="14" t="e" cm="1">
        <f t="array" aca="1" ref="O175" ca="1">BDC_F($N175)</f>
        <v>#NAME?</v>
      </c>
      <c r="P175" s="14" t="e" cm="1">
        <f t="array" aca="1" ref="P175" ca="1">BDC_MF($N175)</f>
        <v>#NAME?</v>
      </c>
      <c r="Q175" s="10" t="e" cm="1">
        <f t="array" aca="1" ref="Q175" ca="1">BDC_P($N175)</f>
        <v>#NAME?</v>
      </c>
      <c r="R175" s="10" t="e" cm="1">
        <f t="array" aca="1" ref="R175" ca="1">BDC_MP($N175)</f>
        <v>#NAME?</v>
      </c>
      <c r="S175" s="10" t="e" cm="1">
        <f t="array" aca="1" ref="S175" ca="1">bdc_eom(N175)</f>
        <v>#NAME?</v>
      </c>
    </row>
    <row r="176" spans="12:19">
      <c r="L176" s="1" t="s">
        <v>130</v>
      </c>
      <c r="M176" s="1">
        <f t="shared" si="2"/>
        <v>5</v>
      </c>
      <c r="N176" s="14">
        <v>45849</v>
      </c>
      <c r="O176" s="14" t="e" cm="1">
        <f t="array" aca="1" ref="O176" ca="1">BDC_F($N176)</f>
        <v>#NAME?</v>
      </c>
      <c r="P176" s="14" t="e" cm="1">
        <f t="array" aca="1" ref="P176" ca="1">BDC_MF($N176)</f>
        <v>#NAME?</v>
      </c>
      <c r="Q176" s="10" t="e" cm="1">
        <f t="array" aca="1" ref="Q176" ca="1">BDC_P($N176)</f>
        <v>#NAME?</v>
      </c>
      <c r="R176" s="10" t="e" cm="1">
        <f t="array" aca="1" ref="R176" ca="1">BDC_MP($N176)</f>
        <v>#NAME?</v>
      </c>
      <c r="S176" s="10" t="e" cm="1">
        <f t="array" aca="1" ref="S176" ca="1">bdc_eom(N176)</f>
        <v>#NAME?</v>
      </c>
    </row>
    <row r="177" spans="12:19">
      <c r="L177" s="1" t="s">
        <v>119</v>
      </c>
      <c r="M177" s="1">
        <f t="shared" si="2"/>
        <v>6</v>
      </c>
      <c r="N177" s="14">
        <v>45850</v>
      </c>
      <c r="O177" s="14" t="e" cm="1">
        <f t="array" aca="1" ref="O177" ca="1">BDC_F($N177)</f>
        <v>#NAME?</v>
      </c>
      <c r="P177" s="14" t="e" cm="1">
        <f t="array" aca="1" ref="P177" ca="1">BDC_MF($N177)</f>
        <v>#NAME?</v>
      </c>
      <c r="Q177" s="10" t="e" cm="1">
        <f t="array" aca="1" ref="Q177" ca="1">BDC_P($N177)</f>
        <v>#NAME?</v>
      </c>
      <c r="R177" s="10" t="e" cm="1">
        <f t="array" aca="1" ref="R177" ca="1">BDC_MP($N177)</f>
        <v>#NAME?</v>
      </c>
      <c r="S177" s="10" t="e" cm="1">
        <f t="array" aca="1" ref="S177" ca="1">bdc_eom(N177)</f>
        <v>#NAME?</v>
      </c>
    </row>
    <row r="178" spans="12:19">
      <c r="L178" s="1" t="s">
        <v>121</v>
      </c>
      <c r="M178" s="1">
        <f t="shared" si="2"/>
        <v>7</v>
      </c>
      <c r="N178" s="14">
        <v>45851</v>
      </c>
      <c r="O178" s="14" t="e" cm="1">
        <f t="array" aca="1" ref="O178" ca="1">BDC_F($N178)</f>
        <v>#NAME?</v>
      </c>
      <c r="P178" s="14" t="e" cm="1">
        <f t="array" aca="1" ref="P178" ca="1">BDC_MF($N178)</f>
        <v>#NAME?</v>
      </c>
      <c r="Q178" s="10" t="e" cm="1">
        <f t="array" aca="1" ref="Q178" ca="1">BDC_P($N178)</f>
        <v>#NAME?</v>
      </c>
      <c r="R178" s="10" t="e" cm="1">
        <f t="array" aca="1" ref="R178" ca="1">BDC_MP($N178)</f>
        <v>#NAME?</v>
      </c>
      <c r="S178" s="10" t="e" cm="1">
        <f t="array" aca="1" ref="S178" ca="1">bdc_eom(N178)</f>
        <v>#NAME?</v>
      </c>
    </row>
    <row r="179" spans="12:19">
      <c r="L179" s="1" t="s">
        <v>123</v>
      </c>
      <c r="M179" s="1">
        <f t="shared" si="2"/>
        <v>1</v>
      </c>
      <c r="N179" s="14">
        <v>45852</v>
      </c>
      <c r="O179" s="14" t="e" cm="1">
        <f t="array" aca="1" ref="O179" ca="1">BDC_F($N179)</f>
        <v>#NAME?</v>
      </c>
      <c r="P179" s="14" t="e" cm="1">
        <f t="array" aca="1" ref="P179" ca="1">BDC_MF($N179)</f>
        <v>#NAME?</v>
      </c>
      <c r="Q179" s="10" t="e" cm="1">
        <f t="array" aca="1" ref="Q179" ca="1">BDC_P($N179)</f>
        <v>#NAME?</v>
      </c>
      <c r="R179" s="10" t="e" cm="1">
        <f t="array" aca="1" ref="R179" ca="1">BDC_MP($N179)</f>
        <v>#NAME?</v>
      </c>
      <c r="S179" s="10" t="e" cm="1">
        <f t="array" aca="1" ref="S179" ca="1">bdc_eom(N179)</f>
        <v>#NAME?</v>
      </c>
    </row>
    <row r="180" spans="12:19">
      <c r="L180" s="1" t="s">
        <v>125</v>
      </c>
      <c r="M180" s="1">
        <f t="shared" si="2"/>
        <v>2</v>
      </c>
      <c r="N180" s="14">
        <v>45853</v>
      </c>
      <c r="O180" s="14" t="e" cm="1">
        <f t="array" aca="1" ref="O180" ca="1">BDC_F($N180)</f>
        <v>#NAME?</v>
      </c>
      <c r="P180" s="14" t="e" cm="1">
        <f t="array" aca="1" ref="P180" ca="1">BDC_MF($N180)</f>
        <v>#NAME?</v>
      </c>
      <c r="Q180" s="10" t="e" cm="1">
        <f t="array" aca="1" ref="Q180" ca="1">BDC_P($N180)</f>
        <v>#NAME?</v>
      </c>
      <c r="R180" s="10" t="e" cm="1">
        <f t="array" aca="1" ref="R180" ca="1">BDC_MP($N180)</f>
        <v>#NAME?</v>
      </c>
      <c r="S180" s="10" t="e" cm="1">
        <f t="array" aca="1" ref="S180" ca="1">bdc_eom(N180)</f>
        <v>#NAME?</v>
      </c>
    </row>
    <row r="181" spans="12:19">
      <c r="L181" s="1" t="s">
        <v>127</v>
      </c>
      <c r="M181" s="1">
        <f t="shared" si="2"/>
        <v>3</v>
      </c>
      <c r="N181" s="14">
        <v>45854</v>
      </c>
      <c r="O181" s="14" t="e" cm="1">
        <f t="array" aca="1" ref="O181" ca="1">BDC_F($N181)</f>
        <v>#NAME?</v>
      </c>
      <c r="P181" s="14" t="e" cm="1">
        <f t="array" aca="1" ref="P181" ca="1">BDC_MF($N181)</f>
        <v>#NAME?</v>
      </c>
      <c r="Q181" s="10" t="e" cm="1">
        <f t="array" aca="1" ref="Q181" ca="1">BDC_P($N181)</f>
        <v>#NAME?</v>
      </c>
      <c r="R181" s="10" t="e" cm="1">
        <f t="array" aca="1" ref="R181" ca="1">BDC_MP($N181)</f>
        <v>#NAME?</v>
      </c>
      <c r="S181" s="10" t="e" cm="1">
        <f t="array" aca="1" ref="S181" ca="1">bdc_eom(N181)</f>
        <v>#NAME?</v>
      </c>
    </row>
    <row r="182" spans="12:19">
      <c r="L182" s="1" t="s">
        <v>129</v>
      </c>
      <c r="M182" s="1">
        <f t="shared" si="2"/>
        <v>4</v>
      </c>
      <c r="N182" s="14">
        <v>45855</v>
      </c>
      <c r="O182" s="14" t="e" cm="1">
        <f t="array" aca="1" ref="O182" ca="1">BDC_F($N182)</f>
        <v>#NAME?</v>
      </c>
      <c r="P182" s="14" t="e" cm="1">
        <f t="array" aca="1" ref="P182" ca="1">BDC_MF($N182)</f>
        <v>#NAME?</v>
      </c>
      <c r="Q182" s="10" t="e" cm="1">
        <f t="array" aca="1" ref="Q182" ca="1">BDC_P($N182)</f>
        <v>#NAME?</v>
      </c>
      <c r="R182" s="10" t="e" cm="1">
        <f t="array" aca="1" ref="R182" ca="1">BDC_MP($N182)</f>
        <v>#NAME?</v>
      </c>
      <c r="S182" s="10" t="e" cm="1">
        <f t="array" aca="1" ref="S182" ca="1">bdc_eom(N182)</f>
        <v>#NAME?</v>
      </c>
    </row>
    <row r="183" spans="12:19">
      <c r="L183" s="1" t="s">
        <v>130</v>
      </c>
      <c r="M183" s="1">
        <f t="shared" si="2"/>
        <v>5</v>
      </c>
      <c r="N183" s="14">
        <v>45856</v>
      </c>
      <c r="O183" s="14" t="e" cm="1">
        <f t="array" aca="1" ref="O183" ca="1">BDC_F($N183)</f>
        <v>#NAME?</v>
      </c>
      <c r="P183" s="14" t="e" cm="1">
        <f t="array" aca="1" ref="P183" ca="1">BDC_MF($N183)</f>
        <v>#NAME?</v>
      </c>
      <c r="Q183" s="10" t="e" cm="1">
        <f t="array" aca="1" ref="Q183" ca="1">BDC_P($N183)</f>
        <v>#NAME?</v>
      </c>
      <c r="R183" s="10" t="e" cm="1">
        <f t="array" aca="1" ref="R183" ca="1">BDC_MP($N183)</f>
        <v>#NAME?</v>
      </c>
      <c r="S183" s="10" t="e" cm="1">
        <f t="array" aca="1" ref="S183" ca="1">bdc_eom(N183)</f>
        <v>#NAME?</v>
      </c>
    </row>
    <row r="184" spans="12:19">
      <c r="L184" s="1" t="s">
        <v>119</v>
      </c>
      <c r="M184" s="1">
        <f t="shared" si="2"/>
        <v>6</v>
      </c>
      <c r="N184" s="14">
        <v>45857</v>
      </c>
      <c r="O184" s="14" t="e" cm="1">
        <f t="array" aca="1" ref="O184" ca="1">BDC_F($N184)</f>
        <v>#NAME?</v>
      </c>
      <c r="P184" s="14" t="e" cm="1">
        <f t="array" aca="1" ref="P184" ca="1">BDC_MF($N184)</f>
        <v>#NAME?</v>
      </c>
      <c r="Q184" s="10" t="e" cm="1">
        <f t="array" aca="1" ref="Q184" ca="1">BDC_P($N184)</f>
        <v>#NAME?</v>
      </c>
      <c r="R184" s="10" t="e" cm="1">
        <f t="array" aca="1" ref="R184" ca="1">BDC_MP($N184)</f>
        <v>#NAME?</v>
      </c>
      <c r="S184" s="10" t="e" cm="1">
        <f t="array" aca="1" ref="S184" ca="1">bdc_eom(N184)</f>
        <v>#NAME?</v>
      </c>
    </row>
    <row r="185" spans="12:19">
      <c r="L185" s="1" t="s">
        <v>121</v>
      </c>
      <c r="M185" s="1">
        <f t="shared" si="2"/>
        <v>7</v>
      </c>
      <c r="N185" s="14">
        <v>45858</v>
      </c>
      <c r="O185" s="14" t="e" cm="1">
        <f t="array" aca="1" ref="O185" ca="1">BDC_F($N185)</f>
        <v>#NAME?</v>
      </c>
      <c r="P185" s="14" t="e" cm="1">
        <f t="array" aca="1" ref="P185" ca="1">BDC_MF($N185)</f>
        <v>#NAME?</v>
      </c>
      <c r="Q185" s="10" t="e" cm="1">
        <f t="array" aca="1" ref="Q185" ca="1">BDC_P($N185)</f>
        <v>#NAME?</v>
      </c>
      <c r="R185" s="10" t="e" cm="1">
        <f t="array" aca="1" ref="R185" ca="1">BDC_MP($N185)</f>
        <v>#NAME?</v>
      </c>
      <c r="S185" s="10" t="e" cm="1">
        <f t="array" aca="1" ref="S185" ca="1">bdc_eom(N185)</f>
        <v>#NAME?</v>
      </c>
    </row>
    <row r="186" spans="12:19">
      <c r="L186" s="1" t="s">
        <v>123</v>
      </c>
      <c r="M186" s="1">
        <f t="shared" si="2"/>
        <v>1</v>
      </c>
      <c r="N186" s="14">
        <v>45859</v>
      </c>
      <c r="O186" s="14" t="e" cm="1">
        <f t="array" aca="1" ref="O186" ca="1">BDC_F($N186)</f>
        <v>#NAME?</v>
      </c>
      <c r="P186" s="14" t="e" cm="1">
        <f t="array" aca="1" ref="P186" ca="1">BDC_MF($N186)</f>
        <v>#NAME?</v>
      </c>
      <c r="Q186" s="10" t="e" cm="1">
        <f t="array" aca="1" ref="Q186" ca="1">BDC_P($N186)</f>
        <v>#NAME?</v>
      </c>
      <c r="R186" s="10" t="e" cm="1">
        <f t="array" aca="1" ref="R186" ca="1">BDC_MP($N186)</f>
        <v>#NAME?</v>
      </c>
      <c r="S186" s="10" t="e" cm="1">
        <f t="array" aca="1" ref="S186" ca="1">bdc_eom(N186)</f>
        <v>#NAME?</v>
      </c>
    </row>
    <row r="187" spans="12:19">
      <c r="L187" s="1" t="s">
        <v>125</v>
      </c>
      <c r="M187" s="1">
        <f t="shared" si="2"/>
        <v>2</v>
      </c>
      <c r="N187" s="14">
        <v>45860</v>
      </c>
      <c r="O187" s="14" t="e" cm="1">
        <f t="array" aca="1" ref="O187" ca="1">BDC_F($N187)</f>
        <v>#NAME?</v>
      </c>
      <c r="P187" s="14" t="e" cm="1">
        <f t="array" aca="1" ref="P187" ca="1">BDC_MF($N187)</f>
        <v>#NAME?</v>
      </c>
      <c r="Q187" s="10" t="e" cm="1">
        <f t="array" aca="1" ref="Q187" ca="1">BDC_P($N187)</f>
        <v>#NAME?</v>
      </c>
      <c r="R187" s="10" t="e" cm="1">
        <f t="array" aca="1" ref="R187" ca="1">BDC_MP($N187)</f>
        <v>#NAME?</v>
      </c>
      <c r="S187" s="10" t="e" cm="1">
        <f t="array" aca="1" ref="S187" ca="1">bdc_eom(N187)</f>
        <v>#NAME?</v>
      </c>
    </row>
    <row r="188" spans="12:19">
      <c r="L188" s="1" t="s">
        <v>127</v>
      </c>
      <c r="M188" s="1">
        <f t="shared" si="2"/>
        <v>3</v>
      </c>
      <c r="N188" s="14">
        <v>45861</v>
      </c>
      <c r="O188" s="14" t="e" cm="1">
        <f t="array" aca="1" ref="O188" ca="1">BDC_F($N188)</f>
        <v>#NAME?</v>
      </c>
      <c r="P188" s="14" t="e" cm="1">
        <f t="array" aca="1" ref="P188" ca="1">BDC_MF($N188)</f>
        <v>#NAME?</v>
      </c>
      <c r="Q188" s="10" t="e" cm="1">
        <f t="array" aca="1" ref="Q188" ca="1">BDC_P($N188)</f>
        <v>#NAME?</v>
      </c>
      <c r="R188" s="10" t="e" cm="1">
        <f t="array" aca="1" ref="R188" ca="1">BDC_MP($N188)</f>
        <v>#NAME?</v>
      </c>
      <c r="S188" s="10" t="e" cm="1">
        <f t="array" aca="1" ref="S188" ca="1">bdc_eom(N188)</f>
        <v>#NAME?</v>
      </c>
    </row>
    <row r="189" spans="12:19">
      <c r="L189" s="1" t="s">
        <v>129</v>
      </c>
      <c r="M189" s="1">
        <f t="shared" si="2"/>
        <v>4</v>
      </c>
      <c r="N189" s="14">
        <v>45862</v>
      </c>
      <c r="O189" s="14" t="e" cm="1">
        <f t="array" aca="1" ref="O189" ca="1">BDC_F($N189)</f>
        <v>#NAME?</v>
      </c>
      <c r="P189" s="14" t="e" cm="1">
        <f t="array" aca="1" ref="P189" ca="1">BDC_MF($N189)</f>
        <v>#NAME?</v>
      </c>
      <c r="Q189" s="10" t="e" cm="1">
        <f t="array" aca="1" ref="Q189" ca="1">BDC_P($N189)</f>
        <v>#NAME?</v>
      </c>
      <c r="R189" s="10" t="e" cm="1">
        <f t="array" aca="1" ref="R189" ca="1">BDC_MP($N189)</f>
        <v>#NAME?</v>
      </c>
      <c r="S189" s="10" t="e" cm="1">
        <f t="array" aca="1" ref="S189" ca="1">bdc_eom(N189)</f>
        <v>#NAME?</v>
      </c>
    </row>
    <row r="190" spans="12:19">
      <c r="L190" s="1" t="s">
        <v>130</v>
      </c>
      <c r="M190" s="1">
        <f t="shared" si="2"/>
        <v>5</v>
      </c>
      <c r="N190" s="14">
        <v>45863</v>
      </c>
      <c r="O190" s="14" t="e" cm="1">
        <f t="array" aca="1" ref="O190" ca="1">BDC_F($N190)</f>
        <v>#NAME?</v>
      </c>
      <c r="P190" s="14" t="e" cm="1">
        <f t="array" aca="1" ref="P190" ca="1">BDC_MF($N190)</f>
        <v>#NAME?</v>
      </c>
      <c r="Q190" s="10" t="e" cm="1">
        <f t="array" aca="1" ref="Q190" ca="1">BDC_P($N190)</f>
        <v>#NAME?</v>
      </c>
      <c r="R190" s="10" t="e" cm="1">
        <f t="array" aca="1" ref="R190" ca="1">BDC_MP($N190)</f>
        <v>#NAME?</v>
      </c>
      <c r="S190" s="10" t="e" cm="1">
        <f t="array" aca="1" ref="S190" ca="1">bdc_eom(N190)</f>
        <v>#NAME?</v>
      </c>
    </row>
    <row r="191" spans="12:19">
      <c r="L191" s="1" t="s">
        <v>119</v>
      </c>
      <c r="M191" s="1">
        <f t="shared" si="2"/>
        <v>6</v>
      </c>
      <c r="N191" s="14">
        <v>45864</v>
      </c>
      <c r="O191" s="14" t="e" cm="1">
        <f t="array" aca="1" ref="O191" ca="1">BDC_F($N191)</f>
        <v>#NAME?</v>
      </c>
      <c r="P191" s="14" t="e" cm="1">
        <f t="array" aca="1" ref="P191" ca="1">BDC_MF($N191)</f>
        <v>#NAME?</v>
      </c>
      <c r="Q191" s="10" t="e" cm="1">
        <f t="array" aca="1" ref="Q191" ca="1">BDC_P($N191)</f>
        <v>#NAME?</v>
      </c>
      <c r="R191" s="10" t="e" cm="1">
        <f t="array" aca="1" ref="R191" ca="1">BDC_MP($N191)</f>
        <v>#NAME?</v>
      </c>
      <c r="S191" s="10" t="e" cm="1">
        <f t="array" aca="1" ref="S191" ca="1">bdc_eom(N191)</f>
        <v>#NAME?</v>
      </c>
    </row>
    <row r="192" spans="12:19">
      <c r="L192" s="1" t="s">
        <v>121</v>
      </c>
      <c r="M192" s="1">
        <f t="shared" si="2"/>
        <v>7</v>
      </c>
      <c r="N192" s="14">
        <v>45865</v>
      </c>
      <c r="O192" s="14" t="e" cm="1">
        <f t="array" aca="1" ref="O192" ca="1">BDC_F($N192)</f>
        <v>#NAME?</v>
      </c>
      <c r="P192" s="14" t="e" cm="1">
        <f t="array" aca="1" ref="P192" ca="1">BDC_MF($N192)</f>
        <v>#NAME?</v>
      </c>
      <c r="Q192" s="10" t="e" cm="1">
        <f t="array" aca="1" ref="Q192" ca="1">BDC_P($N192)</f>
        <v>#NAME?</v>
      </c>
      <c r="R192" s="10" t="e" cm="1">
        <f t="array" aca="1" ref="R192" ca="1">BDC_MP($N192)</f>
        <v>#NAME?</v>
      </c>
      <c r="S192" s="10" t="e" cm="1">
        <f t="array" aca="1" ref="S192" ca="1">bdc_eom(N192)</f>
        <v>#NAME?</v>
      </c>
    </row>
    <row r="193" spans="12:19">
      <c r="L193" s="1" t="s">
        <v>123</v>
      </c>
      <c r="M193" s="1">
        <f t="shared" si="2"/>
        <v>1</v>
      </c>
      <c r="N193" s="14">
        <v>45866</v>
      </c>
      <c r="O193" s="14" t="e" cm="1">
        <f t="array" aca="1" ref="O193" ca="1">BDC_F($N193)</f>
        <v>#NAME?</v>
      </c>
      <c r="P193" s="14" t="e" cm="1">
        <f t="array" aca="1" ref="P193" ca="1">BDC_MF($N193)</f>
        <v>#NAME?</v>
      </c>
      <c r="Q193" s="10" t="e" cm="1">
        <f t="array" aca="1" ref="Q193" ca="1">BDC_P($N193)</f>
        <v>#NAME?</v>
      </c>
      <c r="R193" s="10" t="e" cm="1">
        <f t="array" aca="1" ref="R193" ca="1">BDC_MP($N193)</f>
        <v>#NAME?</v>
      </c>
      <c r="S193" s="10" t="e" cm="1">
        <f t="array" aca="1" ref="S193" ca="1">bdc_eom(N193)</f>
        <v>#NAME?</v>
      </c>
    </row>
    <row r="194" spans="12:19">
      <c r="L194" s="1" t="s">
        <v>125</v>
      </c>
      <c r="M194" s="1">
        <f t="shared" si="2"/>
        <v>2</v>
      </c>
      <c r="N194" s="14">
        <v>45867</v>
      </c>
      <c r="O194" s="14" t="e" cm="1">
        <f t="array" aca="1" ref="O194" ca="1">BDC_F($N194)</f>
        <v>#NAME?</v>
      </c>
      <c r="P194" s="14" t="e" cm="1">
        <f t="array" aca="1" ref="P194" ca="1">BDC_MF($N194)</f>
        <v>#NAME?</v>
      </c>
      <c r="Q194" s="10" t="e" cm="1">
        <f t="array" aca="1" ref="Q194" ca="1">BDC_P($N194)</f>
        <v>#NAME?</v>
      </c>
      <c r="R194" s="10" t="e" cm="1">
        <f t="array" aca="1" ref="R194" ca="1">BDC_MP($N194)</f>
        <v>#NAME?</v>
      </c>
      <c r="S194" s="10" t="e" cm="1">
        <f t="array" aca="1" ref="S194" ca="1">bdc_eom(N194)</f>
        <v>#NAME?</v>
      </c>
    </row>
    <row r="195" spans="12:19">
      <c r="L195" s="1" t="s">
        <v>127</v>
      </c>
      <c r="M195" s="1">
        <f t="shared" si="2"/>
        <v>3</v>
      </c>
      <c r="N195" s="14">
        <v>45868</v>
      </c>
      <c r="O195" s="14" t="e" cm="1">
        <f t="array" aca="1" ref="O195" ca="1">BDC_F($N195)</f>
        <v>#NAME?</v>
      </c>
      <c r="P195" s="14" t="e" cm="1">
        <f t="array" aca="1" ref="P195" ca="1">BDC_MF($N195)</f>
        <v>#NAME?</v>
      </c>
      <c r="Q195" s="10" t="e" cm="1">
        <f t="array" aca="1" ref="Q195" ca="1">BDC_P($N195)</f>
        <v>#NAME?</v>
      </c>
      <c r="R195" s="10" t="e" cm="1">
        <f t="array" aca="1" ref="R195" ca="1">BDC_MP($N195)</f>
        <v>#NAME?</v>
      </c>
      <c r="S195" s="10" t="e" cm="1">
        <f t="array" aca="1" ref="S195" ca="1">bdc_eom(N195)</f>
        <v>#NAME?</v>
      </c>
    </row>
    <row r="196" spans="12:19">
      <c r="L196" s="1" t="s">
        <v>129</v>
      </c>
      <c r="M196" s="1">
        <f t="shared" si="2"/>
        <v>4</v>
      </c>
      <c r="N196" s="14">
        <v>45869</v>
      </c>
      <c r="O196" s="14" t="e" cm="1">
        <f t="array" aca="1" ref="O196" ca="1">BDC_F($N196)</f>
        <v>#NAME?</v>
      </c>
      <c r="P196" s="14" t="e" cm="1">
        <f t="array" aca="1" ref="P196" ca="1">BDC_MF($N196)</f>
        <v>#NAME?</v>
      </c>
      <c r="Q196" s="10" t="e" cm="1">
        <f t="array" aca="1" ref="Q196" ca="1">BDC_P($N196)</f>
        <v>#NAME?</v>
      </c>
      <c r="R196" s="10" t="e" cm="1">
        <f t="array" aca="1" ref="R196" ca="1">BDC_MP($N196)</f>
        <v>#NAME?</v>
      </c>
      <c r="S196" s="10" t="e" cm="1">
        <f t="array" aca="1" ref="S196" ca="1">bdc_eom(N196)</f>
        <v>#NAME?</v>
      </c>
    </row>
    <row r="197" spans="12:19">
      <c r="L197" s="1" t="s">
        <v>130</v>
      </c>
      <c r="M197" s="1">
        <f t="shared" si="2"/>
        <v>5</v>
      </c>
      <c r="N197" s="14">
        <v>45870</v>
      </c>
      <c r="O197" s="14" t="e" cm="1">
        <f t="array" aca="1" ref="O197" ca="1">BDC_F($N197)</f>
        <v>#NAME?</v>
      </c>
      <c r="P197" s="14" t="e" cm="1">
        <f t="array" aca="1" ref="P197" ca="1">BDC_MF($N197)</f>
        <v>#NAME?</v>
      </c>
      <c r="Q197" s="10" t="e" cm="1">
        <f t="array" aca="1" ref="Q197" ca="1">BDC_P($N197)</f>
        <v>#NAME?</v>
      </c>
      <c r="R197" s="10" t="e" cm="1">
        <f t="array" aca="1" ref="R197" ca="1">BDC_MP($N197)</f>
        <v>#NAME?</v>
      </c>
      <c r="S197" s="10" t="e" cm="1">
        <f t="array" aca="1" ref="S197" ca="1">bdc_eom(N197)</f>
        <v>#NAME?</v>
      </c>
    </row>
    <row r="198" spans="12:19">
      <c r="L198" s="1" t="s">
        <v>119</v>
      </c>
      <c r="M198" s="1">
        <f t="shared" si="2"/>
        <v>6</v>
      </c>
      <c r="N198" s="14">
        <v>45871</v>
      </c>
      <c r="O198" s="14" t="e" cm="1">
        <f t="array" aca="1" ref="O198" ca="1">BDC_F($N198)</f>
        <v>#NAME?</v>
      </c>
      <c r="P198" s="14" t="e" cm="1">
        <f t="array" aca="1" ref="P198" ca="1">BDC_MF($N198)</f>
        <v>#NAME?</v>
      </c>
      <c r="Q198" s="10" t="e" cm="1">
        <f t="array" aca="1" ref="Q198" ca="1">BDC_P($N198)</f>
        <v>#NAME?</v>
      </c>
      <c r="R198" s="10" t="e" cm="1">
        <f t="array" aca="1" ref="R198" ca="1">BDC_MP($N198)</f>
        <v>#NAME?</v>
      </c>
      <c r="S198" s="10" t="e" cm="1">
        <f t="array" aca="1" ref="S198" ca="1">bdc_eom(N198)</f>
        <v>#NAME?</v>
      </c>
    </row>
    <row r="199" spans="12:19">
      <c r="L199" s="1" t="s">
        <v>121</v>
      </c>
      <c r="M199" s="1">
        <f t="shared" si="2"/>
        <v>7</v>
      </c>
      <c r="N199" s="14">
        <v>45872</v>
      </c>
      <c r="O199" s="14" t="e" cm="1">
        <f t="array" aca="1" ref="O199" ca="1">BDC_F($N199)</f>
        <v>#NAME?</v>
      </c>
      <c r="P199" s="14" t="e" cm="1">
        <f t="array" aca="1" ref="P199" ca="1">BDC_MF($N199)</f>
        <v>#NAME?</v>
      </c>
      <c r="Q199" s="10" t="e" cm="1">
        <f t="array" aca="1" ref="Q199" ca="1">BDC_P($N199)</f>
        <v>#NAME?</v>
      </c>
      <c r="R199" s="10" t="e" cm="1">
        <f t="array" aca="1" ref="R199" ca="1">BDC_MP($N199)</f>
        <v>#NAME?</v>
      </c>
      <c r="S199" s="10" t="e" cm="1">
        <f t="array" aca="1" ref="S199" ca="1">bdc_eom(N199)</f>
        <v>#NAME?</v>
      </c>
    </row>
    <row r="200" spans="12:19">
      <c r="L200" s="1" t="s">
        <v>123</v>
      </c>
      <c r="M200" s="1">
        <f t="shared" si="2"/>
        <v>1</v>
      </c>
      <c r="N200" s="14">
        <v>45873</v>
      </c>
      <c r="O200" s="14" t="e" cm="1">
        <f t="array" aca="1" ref="O200" ca="1">BDC_F($N200)</f>
        <v>#NAME?</v>
      </c>
      <c r="P200" s="14" t="e" cm="1">
        <f t="array" aca="1" ref="P200" ca="1">BDC_MF($N200)</f>
        <v>#NAME?</v>
      </c>
      <c r="Q200" s="10" t="e" cm="1">
        <f t="array" aca="1" ref="Q200" ca="1">BDC_P($N200)</f>
        <v>#NAME?</v>
      </c>
      <c r="R200" s="10" t="e" cm="1">
        <f t="array" aca="1" ref="R200" ca="1">BDC_MP($N200)</f>
        <v>#NAME?</v>
      </c>
      <c r="S200" s="10" t="e" cm="1">
        <f t="array" aca="1" ref="S200" ca="1">bdc_eom(N200)</f>
        <v>#NAME?</v>
      </c>
    </row>
    <row r="201" spans="12:19">
      <c r="L201" s="1" t="s">
        <v>125</v>
      </c>
      <c r="M201" s="1">
        <f t="shared" si="2"/>
        <v>2</v>
      </c>
      <c r="N201" s="14">
        <v>45874</v>
      </c>
      <c r="O201" s="14" t="e" cm="1">
        <f t="array" aca="1" ref="O201" ca="1">BDC_F($N201)</f>
        <v>#NAME?</v>
      </c>
      <c r="P201" s="14" t="e" cm="1">
        <f t="array" aca="1" ref="P201" ca="1">BDC_MF($N201)</f>
        <v>#NAME?</v>
      </c>
      <c r="Q201" s="10" t="e" cm="1">
        <f t="array" aca="1" ref="Q201" ca="1">BDC_P($N201)</f>
        <v>#NAME?</v>
      </c>
      <c r="R201" s="10" t="e" cm="1">
        <f t="array" aca="1" ref="R201" ca="1">BDC_MP($N201)</f>
        <v>#NAME?</v>
      </c>
      <c r="S201" s="10" t="e" cm="1">
        <f t="array" aca="1" ref="S201" ca="1">bdc_eom(N201)</f>
        <v>#NAME?</v>
      </c>
    </row>
    <row r="202" spans="12:19">
      <c r="L202" s="1" t="s">
        <v>127</v>
      </c>
      <c r="M202" s="1">
        <f t="shared" si="2"/>
        <v>3</v>
      </c>
      <c r="N202" s="14">
        <v>45875</v>
      </c>
      <c r="O202" s="14" t="e" cm="1">
        <f t="array" aca="1" ref="O202" ca="1">BDC_F($N202)</f>
        <v>#NAME?</v>
      </c>
      <c r="P202" s="14" t="e" cm="1">
        <f t="array" aca="1" ref="P202" ca="1">BDC_MF($N202)</f>
        <v>#NAME?</v>
      </c>
      <c r="Q202" s="10" t="e" cm="1">
        <f t="array" aca="1" ref="Q202" ca="1">BDC_P($N202)</f>
        <v>#NAME?</v>
      </c>
      <c r="R202" s="10" t="e" cm="1">
        <f t="array" aca="1" ref="R202" ca="1">BDC_MP($N202)</f>
        <v>#NAME?</v>
      </c>
      <c r="S202" s="10" t="e" cm="1">
        <f t="array" aca="1" ref="S202" ca="1">bdc_eom(N202)</f>
        <v>#NAME?</v>
      </c>
    </row>
    <row r="203" spans="12:19">
      <c r="L203" s="1" t="s">
        <v>129</v>
      </c>
      <c r="M203" s="1">
        <f t="shared" si="2"/>
        <v>4</v>
      </c>
      <c r="N203" s="14">
        <v>45876</v>
      </c>
      <c r="O203" s="14" t="e" cm="1">
        <f t="array" aca="1" ref="O203" ca="1">BDC_F($N203)</f>
        <v>#NAME?</v>
      </c>
      <c r="P203" s="14" t="e" cm="1">
        <f t="array" aca="1" ref="P203" ca="1">BDC_MF($N203)</f>
        <v>#NAME?</v>
      </c>
      <c r="Q203" s="10" t="e" cm="1">
        <f t="array" aca="1" ref="Q203" ca="1">BDC_P($N203)</f>
        <v>#NAME?</v>
      </c>
      <c r="R203" s="10" t="e" cm="1">
        <f t="array" aca="1" ref="R203" ca="1">BDC_MP($N203)</f>
        <v>#NAME?</v>
      </c>
      <c r="S203" s="10" t="e" cm="1">
        <f t="array" aca="1" ref="S203" ca="1">bdc_eom(N203)</f>
        <v>#NAME?</v>
      </c>
    </row>
    <row r="204" spans="12:19">
      <c r="L204" s="1" t="s">
        <v>130</v>
      </c>
      <c r="M204" s="1">
        <f t="shared" si="2"/>
        <v>5</v>
      </c>
      <c r="N204" s="14">
        <v>45877</v>
      </c>
      <c r="O204" s="14" t="e" cm="1">
        <f t="array" aca="1" ref="O204" ca="1">BDC_F($N204)</f>
        <v>#NAME?</v>
      </c>
      <c r="P204" s="14" t="e" cm="1">
        <f t="array" aca="1" ref="P204" ca="1">BDC_MF($N204)</f>
        <v>#NAME?</v>
      </c>
      <c r="Q204" s="10" t="e" cm="1">
        <f t="array" aca="1" ref="Q204" ca="1">BDC_P($N204)</f>
        <v>#NAME?</v>
      </c>
      <c r="R204" s="10" t="e" cm="1">
        <f t="array" aca="1" ref="R204" ca="1">BDC_MP($N204)</f>
        <v>#NAME?</v>
      </c>
      <c r="S204" s="10" t="e" cm="1">
        <f t="array" aca="1" ref="S204" ca="1">bdc_eom(N204)</f>
        <v>#NAME?</v>
      </c>
    </row>
    <row r="205" spans="12:19">
      <c r="L205" s="1" t="s">
        <v>119</v>
      </c>
      <c r="M205" s="1">
        <f t="shared" si="2"/>
        <v>6</v>
      </c>
      <c r="N205" s="14">
        <v>45878</v>
      </c>
      <c r="O205" s="14" t="e" cm="1">
        <f t="array" aca="1" ref="O205" ca="1">BDC_F($N205)</f>
        <v>#NAME?</v>
      </c>
      <c r="P205" s="14" t="e" cm="1">
        <f t="array" aca="1" ref="P205" ca="1">BDC_MF($N205)</f>
        <v>#NAME?</v>
      </c>
      <c r="Q205" s="10" t="e" cm="1">
        <f t="array" aca="1" ref="Q205" ca="1">BDC_P($N205)</f>
        <v>#NAME?</v>
      </c>
      <c r="R205" s="10" t="e" cm="1">
        <f t="array" aca="1" ref="R205" ca="1">BDC_MP($N205)</f>
        <v>#NAME?</v>
      </c>
      <c r="S205" s="10" t="e" cm="1">
        <f t="array" aca="1" ref="S205" ca="1">bdc_eom(N205)</f>
        <v>#NAME?</v>
      </c>
    </row>
    <row r="206" spans="12:19">
      <c r="L206" s="1" t="s">
        <v>121</v>
      </c>
      <c r="M206" s="1">
        <f t="shared" si="2"/>
        <v>7</v>
      </c>
      <c r="N206" s="14">
        <v>45879</v>
      </c>
      <c r="O206" s="14" t="e" cm="1">
        <f t="array" aca="1" ref="O206" ca="1">BDC_F($N206)</f>
        <v>#NAME?</v>
      </c>
      <c r="P206" s="14" t="e" cm="1">
        <f t="array" aca="1" ref="P206" ca="1">BDC_MF($N206)</f>
        <v>#NAME?</v>
      </c>
      <c r="Q206" s="10" t="e" cm="1">
        <f t="array" aca="1" ref="Q206" ca="1">BDC_P($N206)</f>
        <v>#NAME?</v>
      </c>
      <c r="R206" s="10" t="e" cm="1">
        <f t="array" aca="1" ref="R206" ca="1">BDC_MP($N206)</f>
        <v>#NAME?</v>
      </c>
      <c r="S206" s="10" t="e" cm="1">
        <f t="array" aca="1" ref="S206" ca="1">bdc_eom(N206)</f>
        <v>#NAME?</v>
      </c>
    </row>
    <row r="207" spans="12:19">
      <c r="L207" s="1" t="s">
        <v>123</v>
      </c>
      <c r="M207" s="1">
        <f t="shared" si="2"/>
        <v>1</v>
      </c>
      <c r="N207" s="14">
        <v>45880</v>
      </c>
      <c r="O207" s="14" t="e" cm="1">
        <f t="array" aca="1" ref="O207" ca="1">BDC_F($N207)</f>
        <v>#NAME?</v>
      </c>
      <c r="P207" s="14" t="e" cm="1">
        <f t="array" aca="1" ref="P207" ca="1">BDC_MF($N207)</f>
        <v>#NAME?</v>
      </c>
      <c r="Q207" s="10" t="e" cm="1">
        <f t="array" aca="1" ref="Q207" ca="1">BDC_P($N207)</f>
        <v>#NAME?</v>
      </c>
      <c r="R207" s="10" t="e" cm="1">
        <f t="array" aca="1" ref="R207" ca="1">BDC_MP($N207)</f>
        <v>#NAME?</v>
      </c>
      <c r="S207" s="10" t="e" cm="1">
        <f t="array" aca="1" ref="S207" ca="1">bdc_eom(N207)</f>
        <v>#NAME?</v>
      </c>
    </row>
    <row r="208" spans="12:19">
      <c r="L208" s="1" t="s">
        <v>125</v>
      </c>
      <c r="M208" s="1">
        <f t="shared" si="2"/>
        <v>2</v>
      </c>
      <c r="N208" s="14">
        <v>45881</v>
      </c>
      <c r="O208" s="14" t="e" cm="1">
        <f t="array" aca="1" ref="O208" ca="1">BDC_F($N208)</f>
        <v>#NAME?</v>
      </c>
      <c r="P208" s="14" t="e" cm="1">
        <f t="array" aca="1" ref="P208" ca="1">BDC_MF($N208)</f>
        <v>#NAME?</v>
      </c>
      <c r="Q208" s="10" t="e" cm="1">
        <f t="array" aca="1" ref="Q208" ca="1">BDC_P($N208)</f>
        <v>#NAME?</v>
      </c>
      <c r="R208" s="10" t="e" cm="1">
        <f t="array" aca="1" ref="R208" ca="1">BDC_MP($N208)</f>
        <v>#NAME?</v>
      </c>
      <c r="S208" s="10" t="e" cm="1">
        <f t="array" aca="1" ref="S208" ca="1">bdc_eom(N208)</f>
        <v>#NAME?</v>
      </c>
    </row>
    <row r="209" spans="12:19">
      <c r="L209" s="1" t="s">
        <v>127</v>
      </c>
      <c r="M209" s="1">
        <f t="shared" si="2"/>
        <v>3</v>
      </c>
      <c r="N209" s="14">
        <v>45882</v>
      </c>
      <c r="O209" s="14" t="e" cm="1">
        <f t="array" aca="1" ref="O209" ca="1">BDC_F($N209)</f>
        <v>#NAME?</v>
      </c>
      <c r="P209" s="14" t="e" cm="1">
        <f t="array" aca="1" ref="P209" ca="1">BDC_MF($N209)</f>
        <v>#NAME?</v>
      </c>
      <c r="Q209" s="10" t="e" cm="1">
        <f t="array" aca="1" ref="Q209" ca="1">BDC_P($N209)</f>
        <v>#NAME?</v>
      </c>
      <c r="R209" s="10" t="e" cm="1">
        <f t="array" aca="1" ref="R209" ca="1">BDC_MP($N209)</f>
        <v>#NAME?</v>
      </c>
      <c r="S209" s="10" t="e" cm="1">
        <f t="array" aca="1" ref="S209" ca="1">bdc_eom(N209)</f>
        <v>#NAME?</v>
      </c>
    </row>
    <row r="210" spans="12:19">
      <c r="L210" s="1" t="s">
        <v>129</v>
      </c>
      <c r="M210" s="1">
        <f t="shared" si="2"/>
        <v>4</v>
      </c>
      <c r="N210" s="14">
        <v>45883</v>
      </c>
      <c r="O210" s="14" t="e" cm="1">
        <f t="array" aca="1" ref="O210" ca="1">BDC_F($N210)</f>
        <v>#NAME?</v>
      </c>
      <c r="P210" s="14" t="e" cm="1">
        <f t="array" aca="1" ref="P210" ca="1">BDC_MF($N210)</f>
        <v>#NAME?</v>
      </c>
      <c r="Q210" s="10" t="e" cm="1">
        <f t="array" aca="1" ref="Q210" ca="1">BDC_P($N210)</f>
        <v>#NAME?</v>
      </c>
      <c r="R210" s="10" t="e" cm="1">
        <f t="array" aca="1" ref="R210" ca="1">BDC_MP($N210)</f>
        <v>#NAME?</v>
      </c>
      <c r="S210" s="10" t="e" cm="1">
        <f t="array" aca="1" ref="S210" ca="1">bdc_eom(N210)</f>
        <v>#NAME?</v>
      </c>
    </row>
    <row r="211" spans="12:19">
      <c r="L211" s="1" t="s">
        <v>130</v>
      </c>
      <c r="M211" s="1">
        <f t="shared" si="2"/>
        <v>5</v>
      </c>
      <c r="N211" s="14">
        <v>45884</v>
      </c>
      <c r="O211" s="14" t="e" cm="1">
        <f t="array" aca="1" ref="O211" ca="1">BDC_F($N211)</f>
        <v>#NAME?</v>
      </c>
      <c r="P211" s="14" t="e" cm="1">
        <f t="array" aca="1" ref="P211" ca="1">BDC_MF($N211)</f>
        <v>#NAME?</v>
      </c>
      <c r="Q211" s="10" t="e" cm="1">
        <f t="array" aca="1" ref="Q211" ca="1">BDC_P($N211)</f>
        <v>#NAME?</v>
      </c>
      <c r="R211" s="10" t="e" cm="1">
        <f t="array" aca="1" ref="R211" ca="1">BDC_MP($N211)</f>
        <v>#NAME?</v>
      </c>
      <c r="S211" s="10" t="e" cm="1">
        <f t="array" aca="1" ref="S211" ca="1">bdc_eom(N211)</f>
        <v>#NAME?</v>
      </c>
    </row>
    <row r="212" spans="12:19">
      <c r="L212" s="1" t="s">
        <v>119</v>
      </c>
      <c r="M212" s="1">
        <f t="shared" si="2"/>
        <v>6</v>
      </c>
      <c r="N212" s="14">
        <v>45885</v>
      </c>
      <c r="O212" s="14" t="e" cm="1">
        <f t="array" aca="1" ref="O212" ca="1">BDC_F($N212)</f>
        <v>#NAME?</v>
      </c>
      <c r="P212" s="14" t="e" cm="1">
        <f t="array" aca="1" ref="P212" ca="1">BDC_MF($N212)</f>
        <v>#NAME?</v>
      </c>
      <c r="Q212" s="10" t="e" cm="1">
        <f t="array" aca="1" ref="Q212" ca="1">BDC_P($N212)</f>
        <v>#NAME?</v>
      </c>
      <c r="R212" s="10" t="e" cm="1">
        <f t="array" aca="1" ref="R212" ca="1">BDC_MP($N212)</f>
        <v>#NAME?</v>
      </c>
      <c r="S212" s="10" t="e" cm="1">
        <f t="array" aca="1" ref="S212" ca="1">bdc_eom(N212)</f>
        <v>#NAME?</v>
      </c>
    </row>
    <row r="213" spans="12:19">
      <c r="L213" s="1" t="s">
        <v>121</v>
      </c>
      <c r="M213" s="1">
        <f t="shared" si="2"/>
        <v>7</v>
      </c>
      <c r="N213" s="14">
        <v>45886</v>
      </c>
      <c r="O213" s="14" t="e" cm="1">
        <f t="array" aca="1" ref="O213" ca="1">BDC_F($N213)</f>
        <v>#NAME?</v>
      </c>
      <c r="P213" s="14" t="e" cm="1">
        <f t="array" aca="1" ref="P213" ca="1">BDC_MF($N213)</f>
        <v>#NAME?</v>
      </c>
      <c r="Q213" s="10" t="e" cm="1">
        <f t="array" aca="1" ref="Q213" ca="1">BDC_P($N213)</f>
        <v>#NAME?</v>
      </c>
      <c r="R213" s="10" t="e" cm="1">
        <f t="array" aca="1" ref="R213" ca="1">BDC_MP($N213)</f>
        <v>#NAME?</v>
      </c>
      <c r="S213" s="10" t="e" cm="1">
        <f t="array" aca="1" ref="S213" ca="1">bdc_eom(N213)</f>
        <v>#NAME?</v>
      </c>
    </row>
    <row r="214" spans="12:19">
      <c r="L214" s="1" t="s">
        <v>123</v>
      </c>
      <c r="M214" s="1">
        <f t="shared" si="2"/>
        <v>1</v>
      </c>
      <c r="N214" s="14">
        <v>45887</v>
      </c>
      <c r="O214" s="14" t="e" cm="1">
        <f t="array" aca="1" ref="O214" ca="1">BDC_F($N214)</f>
        <v>#NAME?</v>
      </c>
      <c r="P214" s="14" t="e" cm="1">
        <f t="array" aca="1" ref="P214" ca="1">BDC_MF($N214)</f>
        <v>#NAME?</v>
      </c>
      <c r="Q214" s="10" t="e" cm="1">
        <f t="array" aca="1" ref="Q214" ca="1">BDC_P($N214)</f>
        <v>#NAME?</v>
      </c>
      <c r="R214" s="10" t="e" cm="1">
        <f t="array" aca="1" ref="R214" ca="1">BDC_MP($N214)</f>
        <v>#NAME?</v>
      </c>
      <c r="S214" s="10" t="e" cm="1">
        <f t="array" aca="1" ref="S214" ca="1">bdc_eom(N214)</f>
        <v>#NAME?</v>
      </c>
    </row>
    <row r="215" spans="12:19">
      <c r="L215" s="1" t="s">
        <v>125</v>
      </c>
      <c r="M215" s="1">
        <f t="shared" si="2"/>
        <v>2</v>
      </c>
      <c r="N215" s="14">
        <v>45888</v>
      </c>
      <c r="O215" s="14" t="e" cm="1">
        <f t="array" aca="1" ref="O215" ca="1">BDC_F($N215)</f>
        <v>#NAME?</v>
      </c>
      <c r="P215" s="14" t="e" cm="1">
        <f t="array" aca="1" ref="P215" ca="1">BDC_MF($N215)</f>
        <v>#NAME?</v>
      </c>
      <c r="Q215" s="10" t="e" cm="1">
        <f t="array" aca="1" ref="Q215" ca="1">BDC_P($N215)</f>
        <v>#NAME?</v>
      </c>
      <c r="R215" s="10" t="e" cm="1">
        <f t="array" aca="1" ref="R215" ca="1">BDC_MP($N215)</f>
        <v>#NAME?</v>
      </c>
      <c r="S215" s="10" t="e" cm="1">
        <f t="array" aca="1" ref="S215" ca="1">bdc_eom(N215)</f>
        <v>#NAME?</v>
      </c>
    </row>
    <row r="216" spans="12:19">
      <c r="L216" s="1" t="s">
        <v>127</v>
      </c>
      <c r="M216" s="1">
        <f t="shared" si="2"/>
        <v>3</v>
      </c>
      <c r="N216" s="14">
        <v>45889</v>
      </c>
      <c r="O216" s="14" t="e" cm="1">
        <f t="array" aca="1" ref="O216" ca="1">BDC_F($N216)</f>
        <v>#NAME?</v>
      </c>
      <c r="P216" s="14" t="e" cm="1">
        <f t="array" aca="1" ref="P216" ca="1">BDC_MF($N216)</f>
        <v>#NAME?</v>
      </c>
      <c r="Q216" s="10" t="e" cm="1">
        <f t="array" aca="1" ref="Q216" ca="1">BDC_P($N216)</f>
        <v>#NAME?</v>
      </c>
      <c r="R216" s="10" t="e" cm="1">
        <f t="array" aca="1" ref="R216" ca="1">BDC_MP($N216)</f>
        <v>#NAME?</v>
      </c>
      <c r="S216" s="10" t="e" cm="1">
        <f t="array" aca="1" ref="S216" ca="1">bdc_eom(N216)</f>
        <v>#NAME?</v>
      </c>
    </row>
    <row r="217" spans="12:19">
      <c r="L217" s="1" t="s">
        <v>129</v>
      </c>
      <c r="M217" s="1">
        <f t="shared" si="2"/>
        <v>4</v>
      </c>
      <c r="N217" s="14">
        <v>45890</v>
      </c>
      <c r="O217" s="14" t="e" cm="1">
        <f t="array" aca="1" ref="O217" ca="1">BDC_F($N217)</f>
        <v>#NAME?</v>
      </c>
      <c r="P217" s="14" t="e" cm="1">
        <f t="array" aca="1" ref="P217" ca="1">BDC_MF($N217)</f>
        <v>#NAME?</v>
      </c>
      <c r="Q217" s="10" t="e" cm="1">
        <f t="array" aca="1" ref="Q217" ca="1">BDC_P($N217)</f>
        <v>#NAME?</v>
      </c>
      <c r="R217" s="10" t="e" cm="1">
        <f t="array" aca="1" ref="R217" ca="1">BDC_MP($N217)</f>
        <v>#NAME?</v>
      </c>
      <c r="S217" s="10" t="e" cm="1">
        <f t="array" aca="1" ref="S217" ca="1">bdc_eom(N217)</f>
        <v>#NAME?</v>
      </c>
    </row>
    <row r="218" spans="12:19">
      <c r="L218" s="1" t="s">
        <v>130</v>
      </c>
      <c r="M218" s="1">
        <f t="shared" si="2"/>
        <v>5</v>
      </c>
      <c r="N218" s="14">
        <v>45891</v>
      </c>
      <c r="O218" s="14" t="e" cm="1">
        <f t="array" aca="1" ref="O218" ca="1">BDC_F($N218)</f>
        <v>#NAME?</v>
      </c>
      <c r="P218" s="14" t="e" cm="1">
        <f t="array" aca="1" ref="P218" ca="1">BDC_MF($N218)</f>
        <v>#NAME?</v>
      </c>
      <c r="Q218" s="10" t="e" cm="1">
        <f t="array" aca="1" ref="Q218" ca="1">BDC_P($N218)</f>
        <v>#NAME?</v>
      </c>
      <c r="R218" s="10" t="e" cm="1">
        <f t="array" aca="1" ref="R218" ca="1">BDC_MP($N218)</f>
        <v>#NAME?</v>
      </c>
      <c r="S218" s="10" t="e" cm="1">
        <f t="array" aca="1" ref="S218" ca="1">bdc_eom(N218)</f>
        <v>#NAME?</v>
      </c>
    </row>
    <row r="219" spans="12:19">
      <c r="L219" s="1" t="s">
        <v>119</v>
      </c>
      <c r="M219" s="1">
        <f t="shared" si="2"/>
        <v>6</v>
      </c>
      <c r="N219" s="14">
        <v>45892</v>
      </c>
      <c r="O219" s="14" t="e" cm="1">
        <f t="array" aca="1" ref="O219" ca="1">BDC_F($N219)</f>
        <v>#NAME?</v>
      </c>
      <c r="P219" s="14" t="e" cm="1">
        <f t="array" aca="1" ref="P219" ca="1">BDC_MF($N219)</f>
        <v>#NAME?</v>
      </c>
      <c r="Q219" s="10" t="e" cm="1">
        <f t="array" aca="1" ref="Q219" ca="1">BDC_P($N219)</f>
        <v>#NAME?</v>
      </c>
      <c r="R219" s="10" t="e" cm="1">
        <f t="array" aca="1" ref="R219" ca="1">BDC_MP($N219)</f>
        <v>#NAME?</v>
      </c>
      <c r="S219" s="10" t="e" cm="1">
        <f t="array" aca="1" ref="S219" ca="1">bdc_eom(N219)</f>
        <v>#NAME?</v>
      </c>
    </row>
    <row r="220" spans="12:19">
      <c r="L220" s="1" t="s">
        <v>121</v>
      </c>
      <c r="M220" s="1">
        <f t="shared" si="2"/>
        <v>7</v>
      </c>
      <c r="N220" s="14">
        <v>45893</v>
      </c>
      <c r="O220" s="14" t="e" cm="1">
        <f t="array" aca="1" ref="O220" ca="1">BDC_F($N220)</f>
        <v>#NAME?</v>
      </c>
      <c r="P220" s="14" t="e" cm="1">
        <f t="array" aca="1" ref="P220" ca="1">BDC_MF($N220)</f>
        <v>#NAME?</v>
      </c>
      <c r="Q220" s="10" t="e" cm="1">
        <f t="array" aca="1" ref="Q220" ca="1">BDC_P($N220)</f>
        <v>#NAME?</v>
      </c>
      <c r="R220" s="10" t="e" cm="1">
        <f t="array" aca="1" ref="R220" ca="1">BDC_MP($N220)</f>
        <v>#NAME?</v>
      </c>
      <c r="S220" s="10" t="e" cm="1">
        <f t="array" aca="1" ref="S220" ca="1">bdc_eom(N220)</f>
        <v>#NAME?</v>
      </c>
    </row>
    <row r="221" spans="12:19">
      <c r="L221" s="1" t="s">
        <v>123</v>
      </c>
      <c r="M221" s="1">
        <f t="shared" si="2"/>
        <v>1</v>
      </c>
      <c r="N221" s="14">
        <v>45894</v>
      </c>
      <c r="O221" s="14" t="e" cm="1">
        <f t="array" aca="1" ref="O221" ca="1">BDC_F($N221)</f>
        <v>#NAME?</v>
      </c>
      <c r="P221" s="14" t="e" cm="1">
        <f t="array" aca="1" ref="P221" ca="1">BDC_MF($N221)</f>
        <v>#NAME?</v>
      </c>
      <c r="Q221" s="10" t="e" cm="1">
        <f t="array" aca="1" ref="Q221" ca="1">BDC_P($N221)</f>
        <v>#NAME?</v>
      </c>
      <c r="R221" s="10" t="e" cm="1">
        <f t="array" aca="1" ref="R221" ca="1">BDC_MP($N221)</f>
        <v>#NAME?</v>
      </c>
      <c r="S221" s="10" t="e" cm="1">
        <f t="array" aca="1" ref="S221" ca="1">bdc_eom(N221)</f>
        <v>#NAME?</v>
      </c>
    </row>
    <row r="222" spans="12:19">
      <c r="L222" s="1" t="s">
        <v>125</v>
      </c>
      <c r="M222" s="1">
        <f t="shared" si="2"/>
        <v>2</v>
      </c>
      <c r="N222" s="14">
        <v>45895</v>
      </c>
      <c r="O222" s="14" t="e" cm="1">
        <f t="array" aca="1" ref="O222" ca="1">BDC_F($N222)</f>
        <v>#NAME?</v>
      </c>
      <c r="P222" s="14" t="e" cm="1">
        <f t="array" aca="1" ref="P222" ca="1">BDC_MF($N222)</f>
        <v>#NAME?</v>
      </c>
      <c r="Q222" s="10" t="e" cm="1">
        <f t="array" aca="1" ref="Q222" ca="1">BDC_P($N222)</f>
        <v>#NAME?</v>
      </c>
      <c r="R222" s="10" t="e" cm="1">
        <f t="array" aca="1" ref="R222" ca="1">BDC_MP($N222)</f>
        <v>#NAME?</v>
      </c>
      <c r="S222" s="10" t="e" cm="1">
        <f t="array" aca="1" ref="S222" ca="1">bdc_eom(N222)</f>
        <v>#NAME?</v>
      </c>
    </row>
    <row r="223" spans="12:19">
      <c r="L223" s="1" t="s">
        <v>127</v>
      </c>
      <c r="M223" s="1">
        <f t="shared" si="2"/>
        <v>3</v>
      </c>
      <c r="N223" s="14">
        <v>45896</v>
      </c>
      <c r="O223" s="14" t="e" cm="1">
        <f t="array" aca="1" ref="O223" ca="1">BDC_F($N223)</f>
        <v>#NAME?</v>
      </c>
      <c r="P223" s="14" t="e" cm="1">
        <f t="array" aca="1" ref="P223" ca="1">BDC_MF($N223)</f>
        <v>#NAME?</v>
      </c>
      <c r="Q223" s="10" t="e" cm="1">
        <f t="array" aca="1" ref="Q223" ca="1">BDC_P($N223)</f>
        <v>#NAME?</v>
      </c>
      <c r="R223" s="10" t="e" cm="1">
        <f t="array" aca="1" ref="R223" ca="1">BDC_MP($N223)</f>
        <v>#NAME?</v>
      </c>
      <c r="S223" s="10" t="e" cm="1">
        <f t="array" aca="1" ref="S223" ca="1">bdc_eom(N223)</f>
        <v>#NAME?</v>
      </c>
    </row>
    <row r="224" spans="12:19">
      <c r="L224" s="1" t="s">
        <v>129</v>
      </c>
      <c r="M224" s="1">
        <f t="shared" si="2"/>
        <v>4</v>
      </c>
      <c r="N224" s="14">
        <v>45897</v>
      </c>
      <c r="O224" s="14" t="e" cm="1">
        <f t="array" aca="1" ref="O224" ca="1">BDC_F($N224)</f>
        <v>#NAME?</v>
      </c>
      <c r="P224" s="14" t="e" cm="1">
        <f t="array" aca="1" ref="P224" ca="1">BDC_MF($N224)</f>
        <v>#NAME?</v>
      </c>
      <c r="Q224" s="10" t="e" cm="1">
        <f t="array" aca="1" ref="Q224" ca="1">BDC_P($N224)</f>
        <v>#NAME?</v>
      </c>
      <c r="R224" s="10" t="e" cm="1">
        <f t="array" aca="1" ref="R224" ca="1">BDC_MP($N224)</f>
        <v>#NAME?</v>
      </c>
      <c r="S224" s="10" t="e" cm="1">
        <f t="array" aca="1" ref="S224" ca="1">bdc_eom(N224)</f>
        <v>#NAME?</v>
      </c>
    </row>
    <row r="225" spans="12:19">
      <c r="L225" s="1" t="s">
        <v>130</v>
      </c>
      <c r="M225" s="1">
        <f t="shared" si="2"/>
        <v>5</v>
      </c>
      <c r="N225" s="14">
        <v>45898</v>
      </c>
      <c r="O225" s="14" t="e" cm="1">
        <f t="array" aca="1" ref="O225" ca="1">BDC_F($N225)</f>
        <v>#NAME?</v>
      </c>
      <c r="P225" s="14" t="e" cm="1">
        <f t="array" aca="1" ref="P225" ca="1">BDC_MF($N225)</f>
        <v>#NAME?</v>
      </c>
      <c r="Q225" s="10" t="e" cm="1">
        <f t="array" aca="1" ref="Q225" ca="1">BDC_P($N225)</f>
        <v>#NAME?</v>
      </c>
      <c r="R225" s="10" t="e" cm="1">
        <f t="array" aca="1" ref="R225" ca="1">BDC_MP($N225)</f>
        <v>#NAME?</v>
      </c>
      <c r="S225" s="10" t="e" cm="1">
        <f t="array" aca="1" ref="S225" ca="1">bdc_eom(N225)</f>
        <v>#NAME?</v>
      </c>
    </row>
    <row r="226" spans="12:19">
      <c r="L226" s="1" t="s">
        <v>119</v>
      </c>
      <c r="M226" s="1">
        <f t="shared" si="2"/>
        <v>6</v>
      </c>
      <c r="N226" s="14">
        <v>45899</v>
      </c>
      <c r="O226" s="14" t="e" cm="1">
        <f t="array" aca="1" ref="O226" ca="1">BDC_F($N226)</f>
        <v>#NAME?</v>
      </c>
      <c r="P226" s="14" t="e" cm="1">
        <f t="array" aca="1" ref="P226" ca="1">BDC_MF($N226)</f>
        <v>#NAME?</v>
      </c>
      <c r="Q226" s="10" t="e" cm="1">
        <f t="array" aca="1" ref="Q226" ca="1">BDC_P($N226)</f>
        <v>#NAME?</v>
      </c>
      <c r="R226" s="10" t="e" cm="1">
        <f t="array" aca="1" ref="R226" ca="1">BDC_MP($N226)</f>
        <v>#NAME?</v>
      </c>
      <c r="S226" s="10" t="e" cm="1">
        <f t="array" aca="1" ref="S226" ca="1">bdc_eom(N226)</f>
        <v>#NAME?</v>
      </c>
    </row>
    <row r="227" spans="12:19">
      <c r="L227" s="1" t="s">
        <v>121</v>
      </c>
      <c r="M227" s="1">
        <f t="shared" si="2"/>
        <v>7</v>
      </c>
      <c r="N227" s="14">
        <v>45900</v>
      </c>
      <c r="O227" s="14" t="e" cm="1">
        <f t="array" aca="1" ref="O227" ca="1">BDC_F($N227)</f>
        <v>#NAME?</v>
      </c>
      <c r="P227" s="14" t="e" cm="1">
        <f t="array" aca="1" ref="P227" ca="1">BDC_MF($N227)</f>
        <v>#NAME?</v>
      </c>
      <c r="Q227" s="10" t="e" cm="1">
        <f t="array" aca="1" ref="Q227" ca="1">BDC_P($N227)</f>
        <v>#NAME?</v>
      </c>
      <c r="R227" s="10" t="e" cm="1">
        <f t="array" aca="1" ref="R227" ca="1">BDC_MP($N227)</f>
        <v>#NAME?</v>
      </c>
      <c r="S227" s="10" t="e" cm="1">
        <f t="array" aca="1" ref="S227" ca="1">bdc_eom(N227)</f>
        <v>#NAME?</v>
      </c>
    </row>
    <row r="228" spans="12:19">
      <c r="L228" s="1" t="s">
        <v>123</v>
      </c>
      <c r="M228" s="1">
        <f t="shared" si="2"/>
        <v>1</v>
      </c>
      <c r="N228" s="14">
        <v>45901</v>
      </c>
      <c r="O228" s="14" t="e" cm="1">
        <f t="array" aca="1" ref="O228" ca="1">BDC_F($N228)</f>
        <v>#NAME?</v>
      </c>
      <c r="P228" s="14" t="e" cm="1">
        <f t="array" aca="1" ref="P228" ca="1">BDC_MF($N228)</f>
        <v>#NAME?</v>
      </c>
      <c r="Q228" s="10" t="e" cm="1">
        <f t="array" aca="1" ref="Q228" ca="1">BDC_P($N228)</f>
        <v>#NAME?</v>
      </c>
      <c r="R228" s="10" t="e" cm="1">
        <f t="array" aca="1" ref="R228" ca="1">BDC_MP($N228)</f>
        <v>#NAME?</v>
      </c>
      <c r="S228" s="10" t="e" cm="1">
        <f t="array" aca="1" ref="S228" ca="1">bdc_eom(N228)</f>
        <v>#NAME?</v>
      </c>
    </row>
    <row r="229" spans="12:19">
      <c r="L229" s="1" t="s">
        <v>125</v>
      </c>
      <c r="M229" s="1">
        <f t="shared" si="2"/>
        <v>2</v>
      </c>
      <c r="N229" s="14">
        <v>45902</v>
      </c>
      <c r="O229" s="14" t="e" cm="1">
        <f t="array" aca="1" ref="O229" ca="1">BDC_F($N229)</f>
        <v>#NAME?</v>
      </c>
      <c r="P229" s="14" t="e" cm="1">
        <f t="array" aca="1" ref="P229" ca="1">BDC_MF($N229)</f>
        <v>#NAME?</v>
      </c>
      <c r="Q229" s="10" t="e" cm="1">
        <f t="array" aca="1" ref="Q229" ca="1">BDC_P($N229)</f>
        <v>#NAME?</v>
      </c>
      <c r="R229" s="10" t="e" cm="1">
        <f t="array" aca="1" ref="R229" ca="1">BDC_MP($N229)</f>
        <v>#NAME?</v>
      </c>
      <c r="S229" s="10" t="e" cm="1">
        <f t="array" aca="1" ref="S229" ca="1">bdc_eom(N229)</f>
        <v>#NAME?</v>
      </c>
    </row>
    <row r="230" spans="12:19">
      <c r="L230" s="1" t="s">
        <v>127</v>
      </c>
      <c r="M230" s="1">
        <f t="shared" si="2"/>
        <v>3</v>
      </c>
      <c r="N230" s="14">
        <v>45903</v>
      </c>
      <c r="O230" s="14" t="e" cm="1">
        <f t="array" aca="1" ref="O230" ca="1">BDC_F($N230)</f>
        <v>#NAME?</v>
      </c>
      <c r="P230" s="14" t="e" cm="1">
        <f t="array" aca="1" ref="P230" ca="1">BDC_MF($N230)</f>
        <v>#NAME?</v>
      </c>
      <c r="Q230" s="10" t="e" cm="1">
        <f t="array" aca="1" ref="Q230" ca="1">BDC_P($N230)</f>
        <v>#NAME?</v>
      </c>
      <c r="R230" s="10" t="e" cm="1">
        <f t="array" aca="1" ref="R230" ca="1">BDC_MP($N230)</f>
        <v>#NAME?</v>
      </c>
      <c r="S230" s="10" t="e" cm="1">
        <f t="array" aca="1" ref="S230" ca="1">bdc_eom(N230)</f>
        <v>#NAME?</v>
      </c>
    </row>
    <row r="231" spans="12:19">
      <c r="L231" s="1" t="s">
        <v>129</v>
      </c>
      <c r="M231" s="1">
        <f t="shared" si="2"/>
        <v>4</v>
      </c>
      <c r="N231" s="14">
        <v>45904</v>
      </c>
      <c r="O231" s="14" t="e" cm="1">
        <f t="array" aca="1" ref="O231" ca="1">BDC_F($N231)</f>
        <v>#NAME?</v>
      </c>
      <c r="P231" s="14" t="e" cm="1">
        <f t="array" aca="1" ref="P231" ca="1">BDC_MF($N231)</f>
        <v>#NAME?</v>
      </c>
      <c r="Q231" s="10" t="e" cm="1">
        <f t="array" aca="1" ref="Q231" ca="1">BDC_P($N231)</f>
        <v>#NAME?</v>
      </c>
      <c r="R231" s="10" t="e" cm="1">
        <f t="array" aca="1" ref="R231" ca="1">BDC_MP($N231)</f>
        <v>#NAME?</v>
      </c>
      <c r="S231" s="10" t="e" cm="1">
        <f t="array" aca="1" ref="S231" ca="1">bdc_eom(N231)</f>
        <v>#NAME?</v>
      </c>
    </row>
    <row r="232" spans="12:19">
      <c r="L232" s="1" t="s">
        <v>130</v>
      </c>
      <c r="M232" s="1">
        <f t="shared" si="2"/>
        <v>5</v>
      </c>
      <c r="N232" s="14">
        <v>45905</v>
      </c>
      <c r="O232" s="14" t="e" cm="1">
        <f t="array" aca="1" ref="O232" ca="1">BDC_F($N232)</f>
        <v>#NAME?</v>
      </c>
      <c r="P232" s="14" t="e" cm="1">
        <f t="array" aca="1" ref="P232" ca="1">BDC_MF($N232)</f>
        <v>#NAME?</v>
      </c>
      <c r="Q232" s="10" t="e" cm="1">
        <f t="array" aca="1" ref="Q232" ca="1">BDC_P($N232)</f>
        <v>#NAME?</v>
      </c>
      <c r="R232" s="10" t="e" cm="1">
        <f t="array" aca="1" ref="R232" ca="1">BDC_MP($N232)</f>
        <v>#NAME?</v>
      </c>
      <c r="S232" s="10" t="e" cm="1">
        <f t="array" aca="1" ref="S232" ca="1">bdc_eom(N232)</f>
        <v>#NAME?</v>
      </c>
    </row>
    <row r="233" spans="12:19">
      <c r="L233" s="1" t="s">
        <v>119</v>
      </c>
      <c r="M233" s="1">
        <f t="shared" si="2"/>
        <v>6</v>
      </c>
      <c r="N233" s="14">
        <v>45906</v>
      </c>
      <c r="O233" s="14" t="e" cm="1">
        <f t="array" aca="1" ref="O233" ca="1">BDC_F($N233)</f>
        <v>#NAME?</v>
      </c>
      <c r="P233" s="14" t="e" cm="1">
        <f t="array" aca="1" ref="P233" ca="1">BDC_MF($N233)</f>
        <v>#NAME?</v>
      </c>
      <c r="Q233" s="10" t="e" cm="1">
        <f t="array" aca="1" ref="Q233" ca="1">BDC_P($N233)</f>
        <v>#NAME?</v>
      </c>
      <c r="R233" s="10" t="e" cm="1">
        <f t="array" aca="1" ref="R233" ca="1">BDC_MP($N233)</f>
        <v>#NAME?</v>
      </c>
      <c r="S233" s="10" t="e" cm="1">
        <f t="array" aca="1" ref="S233" ca="1">bdc_eom(N233)</f>
        <v>#NAME?</v>
      </c>
    </row>
    <row r="234" spans="12:19">
      <c r="L234" s="1" t="s">
        <v>121</v>
      </c>
      <c r="M234" s="1">
        <f t="shared" si="2"/>
        <v>7</v>
      </c>
      <c r="N234" s="14">
        <v>45907</v>
      </c>
      <c r="O234" s="14" t="e" cm="1">
        <f t="array" aca="1" ref="O234" ca="1">BDC_F($N234)</f>
        <v>#NAME?</v>
      </c>
      <c r="P234" s="14" t="e" cm="1">
        <f t="array" aca="1" ref="P234" ca="1">BDC_MF($N234)</f>
        <v>#NAME?</v>
      </c>
      <c r="Q234" s="10" t="e" cm="1">
        <f t="array" aca="1" ref="Q234" ca="1">BDC_P($N234)</f>
        <v>#NAME?</v>
      </c>
      <c r="R234" s="10" t="e" cm="1">
        <f t="array" aca="1" ref="R234" ca="1">BDC_MP($N234)</f>
        <v>#NAME?</v>
      </c>
      <c r="S234" s="10" t="e" cm="1">
        <f t="array" aca="1" ref="S234" ca="1">bdc_eom(N234)</f>
        <v>#NAME?</v>
      </c>
    </row>
    <row r="235" spans="12:19">
      <c r="L235" s="1" t="s">
        <v>123</v>
      </c>
      <c r="M235" s="1">
        <f t="shared" si="2"/>
        <v>1</v>
      </c>
      <c r="N235" s="14">
        <v>45908</v>
      </c>
      <c r="O235" s="14" t="e" cm="1">
        <f t="array" aca="1" ref="O235" ca="1">BDC_F($N235)</f>
        <v>#NAME?</v>
      </c>
      <c r="P235" s="14" t="e" cm="1">
        <f t="array" aca="1" ref="P235" ca="1">BDC_MF($N235)</f>
        <v>#NAME?</v>
      </c>
      <c r="Q235" s="10" t="e" cm="1">
        <f t="array" aca="1" ref="Q235" ca="1">BDC_P($N235)</f>
        <v>#NAME?</v>
      </c>
      <c r="R235" s="10" t="e" cm="1">
        <f t="array" aca="1" ref="R235" ca="1">BDC_MP($N235)</f>
        <v>#NAME?</v>
      </c>
      <c r="S235" s="10" t="e" cm="1">
        <f t="array" aca="1" ref="S235" ca="1">bdc_eom(N235)</f>
        <v>#NAME?</v>
      </c>
    </row>
    <row r="236" spans="12:19">
      <c r="L236" s="1" t="s">
        <v>125</v>
      </c>
      <c r="M236" s="1">
        <f t="shared" si="2"/>
        <v>2</v>
      </c>
      <c r="N236" s="14">
        <v>45909</v>
      </c>
      <c r="O236" s="14" t="e" cm="1">
        <f t="array" aca="1" ref="O236" ca="1">BDC_F($N236)</f>
        <v>#NAME?</v>
      </c>
      <c r="P236" s="14" t="e" cm="1">
        <f t="array" aca="1" ref="P236" ca="1">BDC_MF($N236)</f>
        <v>#NAME?</v>
      </c>
      <c r="Q236" s="10" t="e" cm="1">
        <f t="array" aca="1" ref="Q236" ca="1">BDC_P($N236)</f>
        <v>#NAME?</v>
      </c>
      <c r="R236" s="10" t="e" cm="1">
        <f t="array" aca="1" ref="R236" ca="1">BDC_MP($N236)</f>
        <v>#NAME?</v>
      </c>
      <c r="S236" s="10" t="e" cm="1">
        <f t="array" aca="1" ref="S236" ca="1">bdc_eom(N236)</f>
        <v>#NAME?</v>
      </c>
    </row>
    <row r="237" spans="12:19">
      <c r="L237" s="1" t="s">
        <v>127</v>
      </c>
      <c r="M237" s="1">
        <f t="shared" ref="M237:M288" si="3">WEEKDAY(N237,2)</f>
        <v>3</v>
      </c>
      <c r="N237" s="14">
        <v>45910</v>
      </c>
      <c r="O237" s="14" t="e" cm="1">
        <f t="array" aca="1" ref="O237" ca="1">BDC_F($N237)</f>
        <v>#NAME?</v>
      </c>
      <c r="P237" s="14" t="e" cm="1">
        <f t="array" aca="1" ref="P237" ca="1">BDC_MF($N237)</f>
        <v>#NAME?</v>
      </c>
      <c r="Q237" s="10" t="e" cm="1">
        <f t="array" aca="1" ref="Q237" ca="1">BDC_P($N237)</f>
        <v>#NAME?</v>
      </c>
      <c r="R237" s="10" t="e" cm="1">
        <f t="array" aca="1" ref="R237" ca="1">BDC_MP($N237)</f>
        <v>#NAME?</v>
      </c>
      <c r="S237" s="10" t="e" cm="1">
        <f t="array" aca="1" ref="S237" ca="1">bdc_eom(N237)</f>
        <v>#NAME?</v>
      </c>
    </row>
    <row r="238" spans="12:19">
      <c r="L238" s="1" t="s">
        <v>129</v>
      </c>
      <c r="M238" s="1">
        <f t="shared" si="3"/>
        <v>4</v>
      </c>
      <c r="N238" s="14">
        <v>45911</v>
      </c>
      <c r="O238" s="14" t="e" cm="1">
        <f t="array" aca="1" ref="O238" ca="1">BDC_F($N238)</f>
        <v>#NAME?</v>
      </c>
      <c r="P238" s="14" t="e" cm="1">
        <f t="array" aca="1" ref="P238" ca="1">BDC_MF($N238)</f>
        <v>#NAME?</v>
      </c>
      <c r="Q238" s="10" t="e" cm="1">
        <f t="array" aca="1" ref="Q238" ca="1">BDC_P($N238)</f>
        <v>#NAME?</v>
      </c>
      <c r="R238" s="10" t="e" cm="1">
        <f t="array" aca="1" ref="R238" ca="1">BDC_MP($N238)</f>
        <v>#NAME?</v>
      </c>
      <c r="S238" s="10" t="e" cm="1">
        <f t="array" aca="1" ref="S238" ca="1">bdc_eom(N238)</f>
        <v>#NAME?</v>
      </c>
    </row>
    <row r="239" spans="12:19">
      <c r="L239" s="1" t="s">
        <v>130</v>
      </c>
      <c r="M239" s="1">
        <f t="shared" si="3"/>
        <v>5</v>
      </c>
      <c r="N239" s="14">
        <v>45912</v>
      </c>
      <c r="O239" s="14" t="e" cm="1">
        <f t="array" aca="1" ref="O239" ca="1">BDC_F($N239)</f>
        <v>#NAME?</v>
      </c>
      <c r="P239" s="14" t="e" cm="1">
        <f t="array" aca="1" ref="P239" ca="1">BDC_MF($N239)</f>
        <v>#NAME?</v>
      </c>
      <c r="Q239" s="10" t="e" cm="1">
        <f t="array" aca="1" ref="Q239" ca="1">BDC_P($N239)</f>
        <v>#NAME?</v>
      </c>
      <c r="R239" s="10" t="e" cm="1">
        <f t="array" aca="1" ref="R239" ca="1">BDC_MP($N239)</f>
        <v>#NAME?</v>
      </c>
      <c r="S239" s="10" t="e" cm="1">
        <f t="array" aca="1" ref="S239" ca="1">bdc_eom(N239)</f>
        <v>#NAME?</v>
      </c>
    </row>
    <row r="240" spans="12:19">
      <c r="L240" s="1" t="s">
        <v>119</v>
      </c>
      <c r="M240" s="1">
        <f t="shared" si="3"/>
        <v>6</v>
      </c>
      <c r="N240" s="14">
        <v>45913</v>
      </c>
      <c r="O240" s="14" t="e" cm="1">
        <f t="array" aca="1" ref="O240" ca="1">BDC_F($N240)</f>
        <v>#NAME?</v>
      </c>
      <c r="P240" s="14" t="e" cm="1">
        <f t="array" aca="1" ref="P240" ca="1">BDC_MF($N240)</f>
        <v>#NAME?</v>
      </c>
      <c r="Q240" s="10" t="e" cm="1">
        <f t="array" aca="1" ref="Q240" ca="1">BDC_P($N240)</f>
        <v>#NAME?</v>
      </c>
      <c r="R240" s="10" t="e" cm="1">
        <f t="array" aca="1" ref="R240" ca="1">BDC_MP($N240)</f>
        <v>#NAME?</v>
      </c>
      <c r="S240" s="10" t="e" cm="1">
        <f t="array" aca="1" ref="S240" ca="1">bdc_eom(N240)</f>
        <v>#NAME?</v>
      </c>
    </row>
    <row r="241" spans="12:19">
      <c r="L241" s="1" t="s">
        <v>121</v>
      </c>
      <c r="M241" s="1">
        <f t="shared" si="3"/>
        <v>7</v>
      </c>
      <c r="N241" s="14">
        <v>45914</v>
      </c>
      <c r="O241" s="14" t="e" cm="1">
        <f t="array" aca="1" ref="O241" ca="1">BDC_F($N241)</f>
        <v>#NAME?</v>
      </c>
      <c r="P241" s="14" t="e" cm="1">
        <f t="array" aca="1" ref="P241" ca="1">BDC_MF($N241)</f>
        <v>#NAME?</v>
      </c>
      <c r="Q241" s="10" t="e" cm="1">
        <f t="array" aca="1" ref="Q241" ca="1">BDC_P($N241)</f>
        <v>#NAME?</v>
      </c>
      <c r="R241" s="10" t="e" cm="1">
        <f t="array" aca="1" ref="R241" ca="1">BDC_MP($N241)</f>
        <v>#NAME?</v>
      </c>
      <c r="S241" s="10" t="e" cm="1">
        <f t="array" aca="1" ref="S241" ca="1">bdc_eom(N241)</f>
        <v>#NAME?</v>
      </c>
    </row>
    <row r="242" spans="12:19">
      <c r="L242" s="1" t="s">
        <v>123</v>
      </c>
      <c r="M242" s="1">
        <f t="shared" si="3"/>
        <v>1</v>
      </c>
      <c r="N242" s="14">
        <v>45915</v>
      </c>
      <c r="O242" s="14" t="e" cm="1">
        <f t="array" aca="1" ref="O242" ca="1">BDC_F($N242)</f>
        <v>#NAME?</v>
      </c>
      <c r="P242" s="14" t="e" cm="1">
        <f t="array" aca="1" ref="P242" ca="1">BDC_MF($N242)</f>
        <v>#NAME?</v>
      </c>
      <c r="Q242" s="10" t="e" cm="1">
        <f t="array" aca="1" ref="Q242" ca="1">BDC_P($N242)</f>
        <v>#NAME?</v>
      </c>
      <c r="R242" s="10" t="e" cm="1">
        <f t="array" aca="1" ref="R242" ca="1">BDC_MP($N242)</f>
        <v>#NAME?</v>
      </c>
      <c r="S242" s="10" t="e" cm="1">
        <f t="array" aca="1" ref="S242" ca="1">bdc_eom(N242)</f>
        <v>#NAME?</v>
      </c>
    </row>
    <row r="243" spans="12:19">
      <c r="L243" s="1" t="s">
        <v>125</v>
      </c>
      <c r="M243" s="1">
        <f t="shared" si="3"/>
        <v>2</v>
      </c>
      <c r="N243" s="14">
        <v>45916</v>
      </c>
      <c r="O243" s="14" t="e" cm="1">
        <f t="array" aca="1" ref="O243" ca="1">BDC_F($N243)</f>
        <v>#NAME?</v>
      </c>
      <c r="P243" s="14" t="e" cm="1">
        <f t="array" aca="1" ref="P243" ca="1">BDC_MF($N243)</f>
        <v>#NAME?</v>
      </c>
      <c r="Q243" s="10" t="e" cm="1">
        <f t="array" aca="1" ref="Q243" ca="1">BDC_P($N243)</f>
        <v>#NAME?</v>
      </c>
      <c r="R243" s="10" t="e" cm="1">
        <f t="array" aca="1" ref="R243" ca="1">BDC_MP($N243)</f>
        <v>#NAME?</v>
      </c>
      <c r="S243" s="10" t="e" cm="1">
        <f t="array" aca="1" ref="S243" ca="1">bdc_eom(N243)</f>
        <v>#NAME?</v>
      </c>
    </row>
    <row r="244" spans="12:19">
      <c r="L244" s="1" t="s">
        <v>127</v>
      </c>
      <c r="M244" s="1">
        <f t="shared" si="3"/>
        <v>3</v>
      </c>
      <c r="N244" s="14">
        <v>45917</v>
      </c>
      <c r="O244" s="14" t="e" cm="1">
        <f t="array" aca="1" ref="O244" ca="1">BDC_F($N244)</f>
        <v>#NAME?</v>
      </c>
      <c r="P244" s="14" t="e" cm="1">
        <f t="array" aca="1" ref="P244" ca="1">BDC_MF($N244)</f>
        <v>#NAME?</v>
      </c>
      <c r="Q244" s="10" t="e" cm="1">
        <f t="array" aca="1" ref="Q244" ca="1">BDC_P($N244)</f>
        <v>#NAME?</v>
      </c>
      <c r="R244" s="10" t="e" cm="1">
        <f t="array" aca="1" ref="R244" ca="1">BDC_MP($N244)</f>
        <v>#NAME?</v>
      </c>
      <c r="S244" s="10" t="e" cm="1">
        <f t="array" aca="1" ref="S244" ca="1">bdc_eom(N244)</f>
        <v>#NAME?</v>
      </c>
    </row>
    <row r="245" spans="12:19">
      <c r="L245" s="1" t="s">
        <v>129</v>
      </c>
      <c r="M245" s="1">
        <f t="shared" si="3"/>
        <v>4</v>
      </c>
      <c r="N245" s="14">
        <v>45918</v>
      </c>
      <c r="O245" s="14" t="e" cm="1">
        <f t="array" aca="1" ref="O245" ca="1">BDC_F($N245)</f>
        <v>#NAME?</v>
      </c>
      <c r="P245" s="14" t="e" cm="1">
        <f t="array" aca="1" ref="P245" ca="1">BDC_MF($N245)</f>
        <v>#NAME?</v>
      </c>
      <c r="Q245" s="10" t="e" cm="1">
        <f t="array" aca="1" ref="Q245" ca="1">BDC_P($N245)</f>
        <v>#NAME?</v>
      </c>
      <c r="R245" s="10" t="e" cm="1">
        <f t="array" aca="1" ref="R245" ca="1">BDC_MP($N245)</f>
        <v>#NAME?</v>
      </c>
      <c r="S245" s="10" t="e" cm="1">
        <f t="array" aca="1" ref="S245" ca="1">bdc_eom(N245)</f>
        <v>#NAME?</v>
      </c>
    </row>
    <row r="246" spans="12:19">
      <c r="L246" s="1" t="s">
        <v>130</v>
      </c>
      <c r="M246" s="1">
        <f t="shared" si="3"/>
        <v>5</v>
      </c>
      <c r="N246" s="14">
        <v>45919</v>
      </c>
      <c r="O246" s="14" t="e" cm="1">
        <f t="array" aca="1" ref="O246" ca="1">BDC_F($N246)</f>
        <v>#NAME?</v>
      </c>
      <c r="P246" s="14" t="e" cm="1">
        <f t="array" aca="1" ref="P246" ca="1">BDC_MF($N246)</f>
        <v>#NAME?</v>
      </c>
      <c r="Q246" s="10" t="e" cm="1">
        <f t="array" aca="1" ref="Q246" ca="1">BDC_P($N246)</f>
        <v>#NAME?</v>
      </c>
      <c r="R246" s="10" t="e" cm="1">
        <f t="array" aca="1" ref="R246" ca="1">BDC_MP($N246)</f>
        <v>#NAME?</v>
      </c>
      <c r="S246" s="10" t="e" cm="1">
        <f t="array" aca="1" ref="S246" ca="1">bdc_eom(N246)</f>
        <v>#NAME?</v>
      </c>
    </row>
    <row r="247" spans="12:19">
      <c r="L247" s="1" t="s">
        <v>119</v>
      </c>
      <c r="M247" s="1">
        <f t="shared" si="3"/>
        <v>6</v>
      </c>
      <c r="N247" s="14">
        <v>45920</v>
      </c>
      <c r="O247" s="14" t="e" cm="1">
        <f t="array" aca="1" ref="O247" ca="1">BDC_F($N247)</f>
        <v>#NAME?</v>
      </c>
      <c r="P247" s="14" t="e" cm="1">
        <f t="array" aca="1" ref="P247" ca="1">BDC_MF($N247)</f>
        <v>#NAME?</v>
      </c>
      <c r="Q247" s="10" t="e" cm="1">
        <f t="array" aca="1" ref="Q247" ca="1">BDC_P($N247)</f>
        <v>#NAME?</v>
      </c>
      <c r="R247" s="10" t="e" cm="1">
        <f t="array" aca="1" ref="R247" ca="1">BDC_MP($N247)</f>
        <v>#NAME?</v>
      </c>
      <c r="S247" s="10" t="e" cm="1">
        <f t="array" aca="1" ref="S247" ca="1">bdc_eom(N247)</f>
        <v>#NAME?</v>
      </c>
    </row>
    <row r="248" spans="12:19">
      <c r="L248" s="1" t="s">
        <v>121</v>
      </c>
      <c r="M248" s="1">
        <f t="shared" si="3"/>
        <v>7</v>
      </c>
      <c r="N248" s="14">
        <v>45921</v>
      </c>
      <c r="O248" s="14" t="e" cm="1">
        <f t="array" aca="1" ref="O248" ca="1">BDC_F($N248)</f>
        <v>#NAME?</v>
      </c>
      <c r="P248" s="14" t="e" cm="1">
        <f t="array" aca="1" ref="P248" ca="1">BDC_MF($N248)</f>
        <v>#NAME?</v>
      </c>
      <c r="Q248" s="10" t="e" cm="1">
        <f t="array" aca="1" ref="Q248" ca="1">BDC_P($N248)</f>
        <v>#NAME?</v>
      </c>
      <c r="R248" s="10" t="e" cm="1">
        <f t="array" aca="1" ref="R248" ca="1">BDC_MP($N248)</f>
        <v>#NAME?</v>
      </c>
      <c r="S248" s="10" t="e" cm="1">
        <f t="array" aca="1" ref="S248" ca="1">bdc_eom(N248)</f>
        <v>#NAME?</v>
      </c>
    </row>
    <row r="249" spans="12:19">
      <c r="L249" s="1" t="s">
        <v>123</v>
      </c>
      <c r="M249" s="1">
        <f t="shared" si="3"/>
        <v>1</v>
      </c>
      <c r="N249" s="14">
        <v>45922</v>
      </c>
      <c r="O249" s="14" t="e" cm="1">
        <f t="array" aca="1" ref="O249" ca="1">BDC_F($N249)</f>
        <v>#NAME?</v>
      </c>
      <c r="P249" s="14" t="e" cm="1">
        <f t="array" aca="1" ref="P249" ca="1">BDC_MF($N249)</f>
        <v>#NAME?</v>
      </c>
      <c r="Q249" s="10" t="e" cm="1">
        <f t="array" aca="1" ref="Q249" ca="1">BDC_P($N249)</f>
        <v>#NAME?</v>
      </c>
      <c r="R249" s="10" t="e" cm="1">
        <f t="array" aca="1" ref="R249" ca="1">BDC_MP($N249)</f>
        <v>#NAME?</v>
      </c>
      <c r="S249" s="10" t="e" cm="1">
        <f t="array" aca="1" ref="S249" ca="1">bdc_eom(N249)</f>
        <v>#NAME?</v>
      </c>
    </row>
    <row r="250" spans="12:19">
      <c r="L250" s="1" t="s">
        <v>125</v>
      </c>
      <c r="M250" s="1">
        <f t="shared" si="3"/>
        <v>2</v>
      </c>
      <c r="N250" s="14">
        <v>45923</v>
      </c>
      <c r="O250" s="14" t="e" cm="1">
        <f t="array" aca="1" ref="O250" ca="1">BDC_F($N250)</f>
        <v>#NAME?</v>
      </c>
      <c r="P250" s="14" t="e" cm="1">
        <f t="array" aca="1" ref="P250" ca="1">BDC_MF($N250)</f>
        <v>#NAME?</v>
      </c>
      <c r="Q250" s="10" t="e" cm="1">
        <f t="array" aca="1" ref="Q250" ca="1">BDC_P($N250)</f>
        <v>#NAME?</v>
      </c>
      <c r="R250" s="10" t="e" cm="1">
        <f t="array" aca="1" ref="R250" ca="1">BDC_MP($N250)</f>
        <v>#NAME?</v>
      </c>
      <c r="S250" s="10" t="e" cm="1">
        <f t="array" aca="1" ref="S250" ca="1">bdc_eom(N250)</f>
        <v>#NAME?</v>
      </c>
    </row>
    <row r="251" spans="12:19">
      <c r="L251" s="1" t="s">
        <v>127</v>
      </c>
      <c r="M251" s="1">
        <f t="shared" si="3"/>
        <v>3</v>
      </c>
      <c r="N251" s="14">
        <v>45924</v>
      </c>
      <c r="O251" s="14" t="e" cm="1">
        <f t="array" aca="1" ref="O251" ca="1">BDC_F($N251)</f>
        <v>#NAME?</v>
      </c>
      <c r="P251" s="14" t="e" cm="1">
        <f t="array" aca="1" ref="P251" ca="1">BDC_MF($N251)</f>
        <v>#NAME?</v>
      </c>
      <c r="Q251" s="10" t="e" cm="1">
        <f t="array" aca="1" ref="Q251" ca="1">BDC_P($N251)</f>
        <v>#NAME?</v>
      </c>
      <c r="R251" s="10" t="e" cm="1">
        <f t="array" aca="1" ref="R251" ca="1">BDC_MP($N251)</f>
        <v>#NAME?</v>
      </c>
      <c r="S251" s="10" t="e" cm="1">
        <f t="array" aca="1" ref="S251" ca="1">bdc_eom(N251)</f>
        <v>#NAME?</v>
      </c>
    </row>
    <row r="252" spans="12:19">
      <c r="L252" s="1" t="s">
        <v>129</v>
      </c>
      <c r="M252" s="1">
        <f t="shared" si="3"/>
        <v>4</v>
      </c>
      <c r="N252" s="14">
        <v>45925</v>
      </c>
      <c r="O252" s="14" t="e" cm="1">
        <f t="array" aca="1" ref="O252" ca="1">BDC_F($N252)</f>
        <v>#NAME?</v>
      </c>
      <c r="P252" s="14" t="e" cm="1">
        <f t="array" aca="1" ref="P252" ca="1">BDC_MF($N252)</f>
        <v>#NAME?</v>
      </c>
      <c r="Q252" s="10" t="e" cm="1">
        <f t="array" aca="1" ref="Q252" ca="1">BDC_P($N252)</f>
        <v>#NAME?</v>
      </c>
      <c r="R252" s="10" t="e" cm="1">
        <f t="array" aca="1" ref="R252" ca="1">BDC_MP($N252)</f>
        <v>#NAME?</v>
      </c>
      <c r="S252" s="10" t="e" cm="1">
        <f t="array" aca="1" ref="S252" ca="1">bdc_eom(N252)</f>
        <v>#NAME?</v>
      </c>
    </row>
    <row r="253" spans="12:19">
      <c r="L253" s="1" t="s">
        <v>130</v>
      </c>
      <c r="M253" s="1">
        <f t="shared" si="3"/>
        <v>5</v>
      </c>
      <c r="N253" s="14">
        <v>45926</v>
      </c>
      <c r="O253" s="14" t="e" cm="1">
        <f t="array" aca="1" ref="O253" ca="1">BDC_F($N253)</f>
        <v>#NAME?</v>
      </c>
      <c r="P253" s="14" t="e" cm="1">
        <f t="array" aca="1" ref="P253" ca="1">BDC_MF($N253)</f>
        <v>#NAME?</v>
      </c>
      <c r="Q253" s="10" t="e" cm="1">
        <f t="array" aca="1" ref="Q253" ca="1">BDC_P($N253)</f>
        <v>#NAME?</v>
      </c>
      <c r="R253" s="10" t="e" cm="1">
        <f t="array" aca="1" ref="R253" ca="1">BDC_MP($N253)</f>
        <v>#NAME?</v>
      </c>
      <c r="S253" s="10" t="e" cm="1">
        <f t="array" aca="1" ref="S253" ca="1">bdc_eom(N253)</f>
        <v>#NAME?</v>
      </c>
    </row>
    <row r="254" spans="12:19">
      <c r="L254" s="1" t="s">
        <v>119</v>
      </c>
      <c r="M254" s="1">
        <f t="shared" si="3"/>
        <v>6</v>
      </c>
      <c r="N254" s="14">
        <v>45927</v>
      </c>
      <c r="O254" s="14" t="e" cm="1">
        <f t="array" aca="1" ref="O254" ca="1">BDC_F($N254)</f>
        <v>#NAME?</v>
      </c>
      <c r="P254" s="14" t="e" cm="1">
        <f t="array" aca="1" ref="P254" ca="1">BDC_MF($N254)</f>
        <v>#NAME?</v>
      </c>
      <c r="Q254" s="10" t="e" cm="1">
        <f t="array" aca="1" ref="Q254" ca="1">BDC_P($N254)</f>
        <v>#NAME?</v>
      </c>
      <c r="R254" s="10" t="e" cm="1">
        <f t="array" aca="1" ref="R254" ca="1">BDC_MP($N254)</f>
        <v>#NAME?</v>
      </c>
      <c r="S254" s="10" t="e" cm="1">
        <f t="array" aca="1" ref="S254" ca="1">bdc_eom(N254)</f>
        <v>#NAME?</v>
      </c>
    </row>
    <row r="255" spans="12:19">
      <c r="L255" s="1" t="s">
        <v>121</v>
      </c>
      <c r="M255" s="1">
        <f t="shared" si="3"/>
        <v>7</v>
      </c>
      <c r="N255" s="14">
        <v>45928</v>
      </c>
      <c r="O255" s="14" t="e" cm="1">
        <f t="array" aca="1" ref="O255" ca="1">BDC_F($N255)</f>
        <v>#NAME?</v>
      </c>
      <c r="P255" s="14" t="e" cm="1">
        <f t="array" aca="1" ref="P255" ca="1">BDC_MF($N255)</f>
        <v>#NAME?</v>
      </c>
      <c r="Q255" s="10" t="e" cm="1">
        <f t="array" aca="1" ref="Q255" ca="1">BDC_P($N255)</f>
        <v>#NAME?</v>
      </c>
      <c r="R255" s="10" t="e" cm="1">
        <f t="array" aca="1" ref="R255" ca="1">BDC_MP($N255)</f>
        <v>#NAME?</v>
      </c>
      <c r="S255" s="10" t="e" cm="1">
        <f t="array" aca="1" ref="S255" ca="1">bdc_eom(N255)</f>
        <v>#NAME?</v>
      </c>
    </row>
    <row r="256" spans="12:19">
      <c r="L256" s="1" t="s">
        <v>123</v>
      </c>
      <c r="M256" s="1">
        <f t="shared" si="3"/>
        <v>1</v>
      </c>
      <c r="N256" s="14">
        <v>45929</v>
      </c>
      <c r="O256" s="14" t="e" cm="1">
        <f t="array" aca="1" ref="O256" ca="1">BDC_F($N256)</f>
        <v>#NAME?</v>
      </c>
      <c r="P256" s="14" t="e" cm="1">
        <f t="array" aca="1" ref="P256" ca="1">BDC_MF($N256)</f>
        <v>#NAME?</v>
      </c>
      <c r="Q256" s="10" t="e" cm="1">
        <f t="array" aca="1" ref="Q256" ca="1">BDC_P($N256)</f>
        <v>#NAME?</v>
      </c>
      <c r="R256" s="10" t="e" cm="1">
        <f t="array" aca="1" ref="R256" ca="1">BDC_MP($N256)</f>
        <v>#NAME?</v>
      </c>
      <c r="S256" s="10" t="e" cm="1">
        <f t="array" aca="1" ref="S256" ca="1">bdc_eom(N256)</f>
        <v>#NAME?</v>
      </c>
    </row>
    <row r="257" spans="12:19">
      <c r="L257" s="1" t="s">
        <v>125</v>
      </c>
      <c r="M257" s="1">
        <f t="shared" si="3"/>
        <v>2</v>
      </c>
      <c r="N257" s="14">
        <v>45930</v>
      </c>
      <c r="O257" s="14" t="e" cm="1">
        <f t="array" aca="1" ref="O257" ca="1">BDC_F($N257)</f>
        <v>#NAME?</v>
      </c>
      <c r="P257" s="14" t="e" cm="1">
        <f t="array" aca="1" ref="P257" ca="1">BDC_MF($N257)</f>
        <v>#NAME?</v>
      </c>
      <c r="Q257" s="10" t="e" cm="1">
        <f t="array" aca="1" ref="Q257" ca="1">BDC_P($N257)</f>
        <v>#NAME?</v>
      </c>
      <c r="R257" s="10" t="e" cm="1">
        <f t="array" aca="1" ref="R257" ca="1">BDC_MP($N257)</f>
        <v>#NAME?</v>
      </c>
      <c r="S257" s="10" t="e" cm="1">
        <f t="array" aca="1" ref="S257" ca="1">bdc_eom(N257)</f>
        <v>#NAME?</v>
      </c>
    </row>
    <row r="258" spans="12:19">
      <c r="L258" s="1" t="s">
        <v>127</v>
      </c>
      <c r="M258" s="1">
        <f t="shared" si="3"/>
        <v>3</v>
      </c>
      <c r="N258" s="14">
        <v>45931</v>
      </c>
      <c r="O258" s="14" t="e" cm="1">
        <f t="array" aca="1" ref="O258" ca="1">BDC_F($N258)</f>
        <v>#NAME?</v>
      </c>
      <c r="P258" s="14" t="e" cm="1">
        <f t="array" aca="1" ref="P258" ca="1">BDC_MF($N258)</f>
        <v>#NAME?</v>
      </c>
      <c r="Q258" s="10" t="e" cm="1">
        <f t="array" aca="1" ref="Q258" ca="1">BDC_P($N258)</f>
        <v>#NAME?</v>
      </c>
      <c r="R258" s="10" t="e" cm="1">
        <f t="array" aca="1" ref="R258" ca="1">BDC_MP($N258)</f>
        <v>#NAME?</v>
      </c>
      <c r="S258" s="10" t="e" cm="1">
        <f t="array" aca="1" ref="S258" ca="1">bdc_eom(N258)</f>
        <v>#NAME?</v>
      </c>
    </row>
    <row r="259" spans="12:19">
      <c r="L259" s="1" t="s">
        <v>129</v>
      </c>
      <c r="M259" s="1">
        <f t="shared" si="3"/>
        <v>4</v>
      </c>
      <c r="N259" s="14">
        <v>45932</v>
      </c>
      <c r="O259" s="14" t="e" cm="1">
        <f t="array" aca="1" ref="O259" ca="1">BDC_F($N259)</f>
        <v>#NAME?</v>
      </c>
      <c r="P259" s="14" t="e" cm="1">
        <f t="array" aca="1" ref="P259" ca="1">BDC_MF($N259)</f>
        <v>#NAME?</v>
      </c>
      <c r="Q259" s="10" t="e" cm="1">
        <f t="array" aca="1" ref="Q259" ca="1">BDC_P($N259)</f>
        <v>#NAME?</v>
      </c>
      <c r="R259" s="10" t="e" cm="1">
        <f t="array" aca="1" ref="R259" ca="1">BDC_MP($N259)</f>
        <v>#NAME?</v>
      </c>
      <c r="S259" s="10" t="e" cm="1">
        <f t="array" aca="1" ref="S259" ca="1">bdc_eom(N259)</f>
        <v>#NAME?</v>
      </c>
    </row>
    <row r="260" spans="12:19">
      <c r="L260" s="1" t="s">
        <v>130</v>
      </c>
      <c r="M260" s="1">
        <f t="shared" si="3"/>
        <v>5</v>
      </c>
      <c r="N260" s="14">
        <v>45933</v>
      </c>
      <c r="O260" s="14" t="e" cm="1">
        <f t="array" aca="1" ref="O260" ca="1">BDC_F($N260)</f>
        <v>#NAME?</v>
      </c>
      <c r="P260" s="14" t="e" cm="1">
        <f t="array" aca="1" ref="P260" ca="1">BDC_MF($N260)</f>
        <v>#NAME?</v>
      </c>
      <c r="Q260" s="10" t="e" cm="1">
        <f t="array" aca="1" ref="Q260" ca="1">BDC_P($N260)</f>
        <v>#NAME?</v>
      </c>
      <c r="R260" s="10" t="e" cm="1">
        <f t="array" aca="1" ref="R260" ca="1">BDC_MP($N260)</f>
        <v>#NAME?</v>
      </c>
      <c r="S260" s="10" t="e" cm="1">
        <f t="array" aca="1" ref="S260" ca="1">bdc_eom(N260)</f>
        <v>#NAME?</v>
      </c>
    </row>
    <row r="261" spans="12:19">
      <c r="L261" s="1" t="s">
        <v>119</v>
      </c>
      <c r="M261" s="1">
        <f t="shared" si="3"/>
        <v>6</v>
      </c>
      <c r="N261" s="14">
        <v>45934</v>
      </c>
      <c r="O261" s="14" t="e" cm="1">
        <f t="array" aca="1" ref="O261" ca="1">BDC_F($N261)</f>
        <v>#NAME?</v>
      </c>
      <c r="P261" s="14" t="e" cm="1">
        <f t="array" aca="1" ref="P261" ca="1">BDC_MF($N261)</f>
        <v>#NAME?</v>
      </c>
      <c r="Q261" s="10" t="e" cm="1">
        <f t="array" aca="1" ref="Q261" ca="1">BDC_P($N261)</f>
        <v>#NAME?</v>
      </c>
      <c r="R261" s="10" t="e" cm="1">
        <f t="array" aca="1" ref="R261" ca="1">BDC_MP($N261)</f>
        <v>#NAME?</v>
      </c>
      <c r="S261" s="10" t="e" cm="1">
        <f t="array" aca="1" ref="S261" ca="1">bdc_eom(N261)</f>
        <v>#NAME?</v>
      </c>
    </row>
    <row r="262" spans="12:19">
      <c r="L262" s="1" t="s">
        <v>121</v>
      </c>
      <c r="M262" s="1">
        <f t="shared" si="3"/>
        <v>7</v>
      </c>
      <c r="N262" s="14">
        <v>45935</v>
      </c>
      <c r="O262" s="14" t="e" cm="1">
        <f t="array" aca="1" ref="O262" ca="1">BDC_F($N262)</f>
        <v>#NAME?</v>
      </c>
      <c r="P262" s="14" t="e" cm="1">
        <f t="array" aca="1" ref="P262" ca="1">BDC_MF($N262)</f>
        <v>#NAME?</v>
      </c>
      <c r="Q262" s="10" t="e" cm="1">
        <f t="array" aca="1" ref="Q262" ca="1">BDC_P($N262)</f>
        <v>#NAME?</v>
      </c>
      <c r="R262" s="10" t="e" cm="1">
        <f t="array" aca="1" ref="R262" ca="1">BDC_MP($N262)</f>
        <v>#NAME?</v>
      </c>
      <c r="S262" s="10" t="e" cm="1">
        <f t="array" aca="1" ref="S262" ca="1">bdc_eom(N262)</f>
        <v>#NAME?</v>
      </c>
    </row>
    <row r="263" spans="12:19">
      <c r="L263" s="1" t="s">
        <v>123</v>
      </c>
      <c r="M263" s="1">
        <f t="shared" si="3"/>
        <v>1</v>
      </c>
      <c r="N263" s="14">
        <v>45936</v>
      </c>
      <c r="O263" s="14" t="e" cm="1">
        <f t="array" aca="1" ref="O263" ca="1">BDC_F($N263)</f>
        <v>#NAME?</v>
      </c>
      <c r="P263" s="14" t="e" cm="1">
        <f t="array" aca="1" ref="P263" ca="1">BDC_MF($N263)</f>
        <v>#NAME?</v>
      </c>
      <c r="Q263" s="10" t="e" cm="1">
        <f t="array" aca="1" ref="Q263" ca="1">BDC_P($N263)</f>
        <v>#NAME?</v>
      </c>
      <c r="R263" s="10" t="e" cm="1">
        <f t="array" aca="1" ref="R263" ca="1">BDC_MP($N263)</f>
        <v>#NAME?</v>
      </c>
      <c r="S263" s="10" t="e" cm="1">
        <f t="array" aca="1" ref="S263" ca="1">bdc_eom(N263)</f>
        <v>#NAME?</v>
      </c>
    </row>
    <row r="264" spans="12:19">
      <c r="L264" s="1" t="s">
        <v>125</v>
      </c>
      <c r="M264" s="1">
        <f t="shared" si="3"/>
        <v>2</v>
      </c>
      <c r="N264" s="14">
        <v>45937</v>
      </c>
      <c r="O264" s="14" t="e" cm="1">
        <f t="array" aca="1" ref="O264" ca="1">BDC_F($N264)</f>
        <v>#NAME?</v>
      </c>
      <c r="P264" s="14" t="e" cm="1">
        <f t="array" aca="1" ref="P264" ca="1">BDC_MF($N264)</f>
        <v>#NAME?</v>
      </c>
      <c r="Q264" s="10" t="e" cm="1">
        <f t="array" aca="1" ref="Q264" ca="1">BDC_P($N264)</f>
        <v>#NAME?</v>
      </c>
      <c r="R264" s="10" t="e" cm="1">
        <f t="array" aca="1" ref="R264" ca="1">BDC_MP($N264)</f>
        <v>#NAME?</v>
      </c>
      <c r="S264" s="10" t="e" cm="1">
        <f t="array" aca="1" ref="S264" ca="1">bdc_eom(N264)</f>
        <v>#NAME?</v>
      </c>
    </row>
    <row r="265" spans="12:19">
      <c r="L265" s="1" t="s">
        <v>127</v>
      </c>
      <c r="M265" s="1">
        <f t="shared" si="3"/>
        <v>3</v>
      </c>
      <c r="N265" s="14">
        <v>45938</v>
      </c>
      <c r="O265" s="14" t="e" cm="1">
        <f t="array" aca="1" ref="O265" ca="1">BDC_F($N265)</f>
        <v>#NAME?</v>
      </c>
      <c r="P265" s="14" t="e" cm="1">
        <f t="array" aca="1" ref="P265" ca="1">BDC_MF($N265)</f>
        <v>#NAME?</v>
      </c>
      <c r="Q265" s="10" t="e" cm="1">
        <f t="array" aca="1" ref="Q265" ca="1">BDC_P($N265)</f>
        <v>#NAME?</v>
      </c>
      <c r="R265" s="10" t="e" cm="1">
        <f t="array" aca="1" ref="R265" ca="1">BDC_MP($N265)</f>
        <v>#NAME?</v>
      </c>
      <c r="S265" s="10" t="e" cm="1">
        <f t="array" aca="1" ref="S265" ca="1">bdc_eom(N265)</f>
        <v>#NAME?</v>
      </c>
    </row>
    <row r="266" spans="12:19">
      <c r="L266" s="1" t="s">
        <v>129</v>
      </c>
      <c r="M266" s="1">
        <f t="shared" si="3"/>
        <v>4</v>
      </c>
      <c r="N266" s="14">
        <v>45939</v>
      </c>
      <c r="O266" s="14" t="e" cm="1">
        <f t="array" aca="1" ref="O266" ca="1">BDC_F($N266)</f>
        <v>#NAME?</v>
      </c>
      <c r="P266" s="14" t="e" cm="1">
        <f t="array" aca="1" ref="P266" ca="1">BDC_MF($N266)</f>
        <v>#NAME?</v>
      </c>
      <c r="Q266" s="10" t="e" cm="1">
        <f t="array" aca="1" ref="Q266" ca="1">BDC_P($N266)</f>
        <v>#NAME?</v>
      </c>
      <c r="R266" s="10" t="e" cm="1">
        <f t="array" aca="1" ref="R266" ca="1">BDC_MP($N266)</f>
        <v>#NAME?</v>
      </c>
      <c r="S266" s="10" t="e" cm="1">
        <f t="array" aca="1" ref="S266" ca="1">bdc_eom(N266)</f>
        <v>#NAME?</v>
      </c>
    </row>
    <row r="267" spans="12:19">
      <c r="L267" s="1" t="s">
        <v>130</v>
      </c>
      <c r="M267" s="1">
        <f t="shared" si="3"/>
        <v>5</v>
      </c>
      <c r="N267" s="14">
        <v>45940</v>
      </c>
      <c r="O267" s="14" t="e" cm="1">
        <f t="array" aca="1" ref="O267" ca="1">BDC_F($N267)</f>
        <v>#NAME?</v>
      </c>
      <c r="P267" s="14" t="e" cm="1">
        <f t="array" aca="1" ref="P267" ca="1">BDC_MF($N267)</f>
        <v>#NAME?</v>
      </c>
      <c r="Q267" s="10" t="e" cm="1">
        <f t="array" aca="1" ref="Q267" ca="1">BDC_P($N267)</f>
        <v>#NAME?</v>
      </c>
      <c r="R267" s="10" t="e" cm="1">
        <f t="array" aca="1" ref="R267" ca="1">BDC_MP($N267)</f>
        <v>#NAME?</v>
      </c>
      <c r="S267" s="10" t="e" cm="1">
        <f t="array" aca="1" ref="S267" ca="1">bdc_eom(N267)</f>
        <v>#NAME?</v>
      </c>
    </row>
    <row r="268" spans="12:19">
      <c r="L268" s="1" t="s">
        <v>119</v>
      </c>
      <c r="M268" s="1">
        <f t="shared" si="3"/>
        <v>6</v>
      </c>
      <c r="N268" s="14">
        <v>45941</v>
      </c>
      <c r="O268" s="14" t="e" cm="1">
        <f t="array" aca="1" ref="O268" ca="1">BDC_F($N268)</f>
        <v>#NAME?</v>
      </c>
      <c r="P268" s="14" t="e" cm="1">
        <f t="array" aca="1" ref="P268" ca="1">BDC_MF($N268)</f>
        <v>#NAME?</v>
      </c>
      <c r="Q268" s="10" t="e" cm="1">
        <f t="array" aca="1" ref="Q268" ca="1">BDC_P($N268)</f>
        <v>#NAME?</v>
      </c>
      <c r="R268" s="10" t="e" cm="1">
        <f t="array" aca="1" ref="R268" ca="1">BDC_MP($N268)</f>
        <v>#NAME?</v>
      </c>
      <c r="S268" s="10" t="e" cm="1">
        <f t="array" aca="1" ref="S268" ca="1">bdc_eom(N268)</f>
        <v>#NAME?</v>
      </c>
    </row>
    <row r="269" spans="12:19">
      <c r="L269" s="1" t="s">
        <v>121</v>
      </c>
      <c r="M269" s="1">
        <f t="shared" si="3"/>
        <v>7</v>
      </c>
      <c r="N269" s="14">
        <v>45942</v>
      </c>
      <c r="O269" s="14" t="e" cm="1">
        <f t="array" aca="1" ref="O269" ca="1">BDC_F($N269)</f>
        <v>#NAME?</v>
      </c>
      <c r="P269" s="14" t="e" cm="1">
        <f t="array" aca="1" ref="P269" ca="1">BDC_MF($N269)</f>
        <v>#NAME?</v>
      </c>
      <c r="Q269" s="10" t="e" cm="1">
        <f t="array" aca="1" ref="Q269" ca="1">BDC_P($N269)</f>
        <v>#NAME?</v>
      </c>
      <c r="R269" s="10" t="e" cm="1">
        <f t="array" aca="1" ref="R269" ca="1">BDC_MP($N269)</f>
        <v>#NAME?</v>
      </c>
      <c r="S269" s="10" t="e" cm="1">
        <f t="array" aca="1" ref="S269" ca="1">bdc_eom(N269)</f>
        <v>#NAME?</v>
      </c>
    </row>
    <row r="270" spans="12:19">
      <c r="L270" s="1" t="s">
        <v>123</v>
      </c>
      <c r="M270" s="1">
        <f t="shared" si="3"/>
        <v>1</v>
      </c>
      <c r="N270" s="14">
        <v>45943</v>
      </c>
      <c r="O270" s="14" t="e" cm="1">
        <f t="array" aca="1" ref="O270" ca="1">BDC_F($N270)</f>
        <v>#NAME?</v>
      </c>
      <c r="P270" s="14" t="e" cm="1">
        <f t="array" aca="1" ref="P270" ca="1">BDC_MF($N270)</f>
        <v>#NAME?</v>
      </c>
      <c r="Q270" s="10" t="e" cm="1">
        <f t="array" aca="1" ref="Q270" ca="1">BDC_P($N270)</f>
        <v>#NAME?</v>
      </c>
      <c r="R270" s="10" t="e" cm="1">
        <f t="array" aca="1" ref="R270" ca="1">BDC_MP($N270)</f>
        <v>#NAME?</v>
      </c>
      <c r="S270" s="10" t="e" cm="1">
        <f t="array" aca="1" ref="S270" ca="1">bdc_eom(N270)</f>
        <v>#NAME?</v>
      </c>
    </row>
    <row r="271" spans="12:19">
      <c r="L271" s="1" t="s">
        <v>125</v>
      </c>
      <c r="M271" s="1">
        <f t="shared" si="3"/>
        <v>2</v>
      </c>
      <c r="N271" s="14">
        <v>45944</v>
      </c>
      <c r="O271" s="14" t="e" cm="1">
        <f t="array" aca="1" ref="O271" ca="1">BDC_F($N271)</f>
        <v>#NAME?</v>
      </c>
      <c r="P271" s="14" t="e" cm="1">
        <f t="array" aca="1" ref="P271" ca="1">BDC_MF($N271)</f>
        <v>#NAME?</v>
      </c>
      <c r="Q271" s="10" t="e" cm="1">
        <f t="array" aca="1" ref="Q271" ca="1">BDC_P($N271)</f>
        <v>#NAME?</v>
      </c>
      <c r="R271" s="10" t="e" cm="1">
        <f t="array" aca="1" ref="R271" ca="1">BDC_MP($N271)</f>
        <v>#NAME?</v>
      </c>
      <c r="S271" s="10" t="e" cm="1">
        <f t="array" aca="1" ref="S271" ca="1">bdc_eom(N271)</f>
        <v>#NAME?</v>
      </c>
    </row>
    <row r="272" spans="12:19">
      <c r="L272" s="1" t="s">
        <v>127</v>
      </c>
      <c r="M272" s="1">
        <f t="shared" si="3"/>
        <v>3</v>
      </c>
      <c r="N272" s="14">
        <v>45945</v>
      </c>
      <c r="O272" s="14" t="e" cm="1">
        <f t="array" aca="1" ref="O272" ca="1">BDC_F($N272)</f>
        <v>#NAME?</v>
      </c>
      <c r="P272" s="14" t="e" cm="1">
        <f t="array" aca="1" ref="P272" ca="1">BDC_MF($N272)</f>
        <v>#NAME?</v>
      </c>
      <c r="Q272" s="10" t="e" cm="1">
        <f t="array" aca="1" ref="Q272" ca="1">BDC_P($N272)</f>
        <v>#NAME?</v>
      </c>
      <c r="R272" s="10" t="e" cm="1">
        <f t="array" aca="1" ref="R272" ca="1">BDC_MP($N272)</f>
        <v>#NAME?</v>
      </c>
      <c r="S272" s="10" t="e" cm="1">
        <f t="array" aca="1" ref="S272" ca="1">bdc_eom(N272)</f>
        <v>#NAME?</v>
      </c>
    </row>
    <row r="273" spans="12:19">
      <c r="L273" s="1" t="s">
        <v>129</v>
      </c>
      <c r="M273" s="1">
        <f t="shared" si="3"/>
        <v>4</v>
      </c>
      <c r="N273" s="14">
        <v>45946</v>
      </c>
      <c r="O273" s="14" t="e" cm="1">
        <f t="array" aca="1" ref="O273" ca="1">BDC_F($N273)</f>
        <v>#NAME?</v>
      </c>
      <c r="P273" s="14" t="e" cm="1">
        <f t="array" aca="1" ref="P273" ca="1">BDC_MF($N273)</f>
        <v>#NAME?</v>
      </c>
      <c r="Q273" s="10" t="e" cm="1">
        <f t="array" aca="1" ref="Q273" ca="1">BDC_P($N273)</f>
        <v>#NAME?</v>
      </c>
      <c r="R273" s="10" t="e" cm="1">
        <f t="array" aca="1" ref="R273" ca="1">BDC_MP($N273)</f>
        <v>#NAME?</v>
      </c>
      <c r="S273" s="10" t="e" cm="1">
        <f t="array" aca="1" ref="S273" ca="1">bdc_eom(N273)</f>
        <v>#NAME?</v>
      </c>
    </row>
    <row r="274" spans="12:19">
      <c r="L274" s="1" t="s">
        <v>130</v>
      </c>
      <c r="M274" s="1">
        <f t="shared" si="3"/>
        <v>5</v>
      </c>
      <c r="N274" s="14">
        <v>45947</v>
      </c>
      <c r="O274" s="14" t="e" cm="1">
        <f t="array" aca="1" ref="O274" ca="1">BDC_F($N274)</f>
        <v>#NAME?</v>
      </c>
      <c r="P274" s="14" t="e" cm="1">
        <f t="array" aca="1" ref="P274" ca="1">BDC_MF($N274)</f>
        <v>#NAME?</v>
      </c>
      <c r="Q274" s="10" t="e" cm="1">
        <f t="array" aca="1" ref="Q274" ca="1">BDC_P($N274)</f>
        <v>#NAME?</v>
      </c>
      <c r="R274" s="10" t="e" cm="1">
        <f t="array" aca="1" ref="R274" ca="1">BDC_MP($N274)</f>
        <v>#NAME?</v>
      </c>
      <c r="S274" s="10" t="e" cm="1">
        <f t="array" aca="1" ref="S274" ca="1">bdc_eom(N274)</f>
        <v>#NAME?</v>
      </c>
    </row>
    <row r="275" spans="12:19">
      <c r="L275" s="1" t="s">
        <v>119</v>
      </c>
      <c r="M275" s="1">
        <f t="shared" si="3"/>
        <v>6</v>
      </c>
      <c r="N275" s="14">
        <v>45948</v>
      </c>
      <c r="O275" s="14" t="e" cm="1">
        <f t="array" aca="1" ref="O275" ca="1">BDC_F($N275)</f>
        <v>#NAME?</v>
      </c>
      <c r="P275" s="14" t="e" cm="1">
        <f t="array" aca="1" ref="P275" ca="1">BDC_MF($N275)</f>
        <v>#NAME?</v>
      </c>
      <c r="Q275" s="10" t="e" cm="1">
        <f t="array" aca="1" ref="Q275" ca="1">BDC_P($N275)</f>
        <v>#NAME?</v>
      </c>
      <c r="R275" s="10" t="e" cm="1">
        <f t="array" aca="1" ref="R275" ca="1">BDC_MP($N275)</f>
        <v>#NAME?</v>
      </c>
      <c r="S275" s="10" t="e" cm="1">
        <f t="array" aca="1" ref="S275" ca="1">bdc_eom(N275)</f>
        <v>#NAME?</v>
      </c>
    </row>
    <row r="276" spans="12:19">
      <c r="L276" s="1" t="s">
        <v>121</v>
      </c>
      <c r="M276" s="1">
        <f t="shared" si="3"/>
        <v>7</v>
      </c>
      <c r="N276" s="14">
        <v>45949</v>
      </c>
      <c r="O276" s="14" t="e" cm="1">
        <f t="array" aca="1" ref="O276" ca="1">BDC_F($N276)</f>
        <v>#NAME?</v>
      </c>
      <c r="P276" s="14" t="e" cm="1">
        <f t="array" aca="1" ref="P276" ca="1">BDC_MF($N276)</f>
        <v>#NAME?</v>
      </c>
      <c r="Q276" s="10" t="e" cm="1">
        <f t="array" aca="1" ref="Q276" ca="1">BDC_P($N276)</f>
        <v>#NAME?</v>
      </c>
      <c r="R276" s="10" t="e" cm="1">
        <f t="array" aca="1" ref="R276" ca="1">BDC_MP($N276)</f>
        <v>#NAME?</v>
      </c>
      <c r="S276" s="10" t="e" cm="1">
        <f t="array" aca="1" ref="S276" ca="1">bdc_eom(N276)</f>
        <v>#NAME?</v>
      </c>
    </row>
    <row r="277" spans="12:19">
      <c r="L277" s="1" t="s">
        <v>123</v>
      </c>
      <c r="M277" s="1">
        <f t="shared" si="3"/>
        <v>1</v>
      </c>
      <c r="N277" s="14">
        <v>45950</v>
      </c>
      <c r="O277" s="14" t="e" cm="1">
        <f t="array" aca="1" ref="O277" ca="1">BDC_F($N277)</f>
        <v>#NAME?</v>
      </c>
      <c r="P277" s="14" t="e" cm="1">
        <f t="array" aca="1" ref="P277" ca="1">BDC_MF($N277)</f>
        <v>#NAME?</v>
      </c>
      <c r="Q277" s="10" t="e" cm="1">
        <f t="array" aca="1" ref="Q277" ca="1">BDC_P($N277)</f>
        <v>#NAME?</v>
      </c>
      <c r="R277" s="10" t="e" cm="1">
        <f t="array" aca="1" ref="R277" ca="1">BDC_MP($N277)</f>
        <v>#NAME?</v>
      </c>
      <c r="S277" s="10" t="e" cm="1">
        <f t="array" aca="1" ref="S277" ca="1">bdc_eom(N277)</f>
        <v>#NAME?</v>
      </c>
    </row>
    <row r="278" spans="12:19">
      <c r="L278" s="1" t="s">
        <v>125</v>
      </c>
      <c r="M278" s="1">
        <f t="shared" si="3"/>
        <v>2</v>
      </c>
      <c r="N278" s="14">
        <v>45951</v>
      </c>
      <c r="O278" s="14" t="e" cm="1">
        <f t="array" aca="1" ref="O278" ca="1">BDC_F($N278)</f>
        <v>#NAME?</v>
      </c>
      <c r="P278" s="14" t="e" cm="1">
        <f t="array" aca="1" ref="P278" ca="1">BDC_MF($N278)</f>
        <v>#NAME?</v>
      </c>
      <c r="Q278" s="10" t="e" cm="1">
        <f t="array" aca="1" ref="Q278" ca="1">BDC_P($N278)</f>
        <v>#NAME?</v>
      </c>
      <c r="R278" s="10" t="e" cm="1">
        <f t="array" aca="1" ref="R278" ca="1">BDC_MP($N278)</f>
        <v>#NAME?</v>
      </c>
      <c r="S278" s="10" t="e" cm="1">
        <f t="array" aca="1" ref="S278" ca="1">bdc_eom(N278)</f>
        <v>#NAME?</v>
      </c>
    </row>
    <row r="279" spans="12:19">
      <c r="L279" s="1" t="s">
        <v>127</v>
      </c>
      <c r="M279" s="1">
        <f t="shared" si="3"/>
        <v>3</v>
      </c>
      <c r="N279" s="14">
        <v>45952</v>
      </c>
      <c r="O279" s="14" t="e" cm="1">
        <f t="array" aca="1" ref="O279" ca="1">BDC_F($N279)</f>
        <v>#NAME?</v>
      </c>
      <c r="P279" s="14" t="e" cm="1">
        <f t="array" aca="1" ref="P279" ca="1">BDC_MF($N279)</f>
        <v>#NAME?</v>
      </c>
      <c r="Q279" s="10" t="e" cm="1">
        <f t="array" aca="1" ref="Q279" ca="1">BDC_P($N279)</f>
        <v>#NAME?</v>
      </c>
      <c r="R279" s="10" t="e" cm="1">
        <f t="array" aca="1" ref="R279" ca="1">BDC_MP($N279)</f>
        <v>#NAME?</v>
      </c>
      <c r="S279" s="10" t="e" cm="1">
        <f t="array" aca="1" ref="S279" ca="1">bdc_eom(N279)</f>
        <v>#NAME?</v>
      </c>
    </row>
    <row r="280" spans="12:19">
      <c r="L280" s="1" t="s">
        <v>129</v>
      </c>
      <c r="M280" s="1">
        <f t="shared" si="3"/>
        <v>4</v>
      </c>
      <c r="N280" s="14">
        <v>45953</v>
      </c>
      <c r="O280" s="14" t="e" cm="1">
        <f t="array" aca="1" ref="O280" ca="1">BDC_F($N280)</f>
        <v>#NAME?</v>
      </c>
      <c r="P280" s="14" t="e" cm="1">
        <f t="array" aca="1" ref="P280" ca="1">BDC_MF($N280)</f>
        <v>#NAME?</v>
      </c>
      <c r="Q280" s="10" t="e" cm="1">
        <f t="array" aca="1" ref="Q280" ca="1">BDC_P($N280)</f>
        <v>#NAME?</v>
      </c>
      <c r="R280" s="10" t="e" cm="1">
        <f t="array" aca="1" ref="R280" ca="1">BDC_MP($N280)</f>
        <v>#NAME?</v>
      </c>
      <c r="S280" s="10" t="e" cm="1">
        <f t="array" aca="1" ref="S280" ca="1">bdc_eom(N280)</f>
        <v>#NAME?</v>
      </c>
    </row>
    <row r="281" spans="12:19">
      <c r="L281" s="1" t="s">
        <v>130</v>
      </c>
      <c r="M281" s="1">
        <f t="shared" si="3"/>
        <v>5</v>
      </c>
      <c r="N281" s="14">
        <v>45954</v>
      </c>
      <c r="O281" s="14" t="e" cm="1">
        <f t="array" aca="1" ref="O281" ca="1">BDC_F($N281)</f>
        <v>#NAME?</v>
      </c>
      <c r="P281" s="14" t="e" cm="1">
        <f t="array" aca="1" ref="P281" ca="1">BDC_MF($N281)</f>
        <v>#NAME?</v>
      </c>
      <c r="Q281" s="10" t="e" cm="1">
        <f t="array" aca="1" ref="Q281" ca="1">BDC_P($N281)</f>
        <v>#NAME?</v>
      </c>
      <c r="R281" s="10" t="e" cm="1">
        <f t="array" aca="1" ref="R281" ca="1">BDC_MP($N281)</f>
        <v>#NAME?</v>
      </c>
      <c r="S281" s="10" t="e" cm="1">
        <f t="array" aca="1" ref="S281" ca="1">bdc_eom(N281)</f>
        <v>#NAME?</v>
      </c>
    </row>
    <row r="282" spans="12:19">
      <c r="L282" s="1" t="s">
        <v>119</v>
      </c>
      <c r="M282" s="1">
        <f t="shared" si="3"/>
        <v>6</v>
      </c>
      <c r="N282" s="14">
        <v>45955</v>
      </c>
      <c r="O282" s="14" t="e" cm="1">
        <f t="array" aca="1" ref="O282" ca="1">BDC_F($N282)</f>
        <v>#NAME?</v>
      </c>
      <c r="P282" s="14" t="e" cm="1">
        <f t="array" aca="1" ref="P282" ca="1">BDC_MF($N282)</f>
        <v>#NAME?</v>
      </c>
      <c r="Q282" s="10" t="e" cm="1">
        <f t="array" aca="1" ref="Q282" ca="1">BDC_P($N282)</f>
        <v>#NAME?</v>
      </c>
      <c r="R282" s="10" t="e" cm="1">
        <f t="array" aca="1" ref="R282" ca="1">BDC_MP($N282)</f>
        <v>#NAME?</v>
      </c>
      <c r="S282" s="10" t="e" cm="1">
        <f t="array" aca="1" ref="S282" ca="1">bdc_eom(N282)</f>
        <v>#NAME?</v>
      </c>
    </row>
    <row r="283" spans="12:19">
      <c r="L283" s="1" t="s">
        <v>121</v>
      </c>
      <c r="M283" s="1">
        <f t="shared" si="3"/>
        <v>7</v>
      </c>
      <c r="N283" s="14">
        <v>45956</v>
      </c>
      <c r="O283" s="14" t="e" cm="1">
        <f t="array" aca="1" ref="O283" ca="1">BDC_F($N283)</f>
        <v>#NAME?</v>
      </c>
      <c r="P283" s="14" t="e" cm="1">
        <f t="array" aca="1" ref="P283" ca="1">BDC_MF($N283)</f>
        <v>#NAME?</v>
      </c>
      <c r="Q283" s="10" t="e" cm="1">
        <f t="array" aca="1" ref="Q283" ca="1">BDC_P($N283)</f>
        <v>#NAME?</v>
      </c>
      <c r="R283" s="10" t="e" cm="1">
        <f t="array" aca="1" ref="R283" ca="1">BDC_MP($N283)</f>
        <v>#NAME?</v>
      </c>
      <c r="S283" s="10" t="e" cm="1">
        <f t="array" aca="1" ref="S283" ca="1">bdc_eom(N283)</f>
        <v>#NAME?</v>
      </c>
    </row>
    <row r="284" spans="12:19">
      <c r="L284" s="1" t="s">
        <v>123</v>
      </c>
      <c r="M284" s="1">
        <f t="shared" si="3"/>
        <v>1</v>
      </c>
      <c r="N284" s="14">
        <v>45957</v>
      </c>
      <c r="O284" s="14" t="e" cm="1">
        <f t="array" aca="1" ref="O284" ca="1">BDC_F($N284)</f>
        <v>#NAME?</v>
      </c>
      <c r="P284" s="14" t="e" cm="1">
        <f t="array" aca="1" ref="P284" ca="1">BDC_MF($N284)</f>
        <v>#NAME?</v>
      </c>
      <c r="Q284" s="10" t="e" cm="1">
        <f t="array" aca="1" ref="Q284" ca="1">BDC_P($N284)</f>
        <v>#NAME?</v>
      </c>
      <c r="R284" s="10" t="e" cm="1">
        <f t="array" aca="1" ref="R284" ca="1">BDC_MP($N284)</f>
        <v>#NAME?</v>
      </c>
      <c r="S284" s="10" t="e" cm="1">
        <f t="array" aca="1" ref="S284" ca="1">bdc_eom(N284)</f>
        <v>#NAME?</v>
      </c>
    </row>
    <row r="285" spans="12:19">
      <c r="L285" s="1" t="s">
        <v>125</v>
      </c>
      <c r="M285" s="1">
        <f t="shared" si="3"/>
        <v>2</v>
      </c>
      <c r="N285" s="14">
        <v>45958</v>
      </c>
      <c r="O285" s="14" t="e" cm="1">
        <f t="array" aca="1" ref="O285" ca="1">BDC_F($N285)</f>
        <v>#NAME?</v>
      </c>
      <c r="P285" s="14" t="e" cm="1">
        <f t="array" aca="1" ref="P285" ca="1">BDC_MF($N285)</f>
        <v>#NAME?</v>
      </c>
      <c r="Q285" s="10" t="e" cm="1">
        <f t="array" aca="1" ref="Q285" ca="1">BDC_P($N285)</f>
        <v>#NAME?</v>
      </c>
      <c r="R285" s="10" t="e" cm="1">
        <f t="array" aca="1" ref="R285" ca="1">BDC_MP($N285)</f>
        <v>#NAME?</v>
      </c>
      <c r="S285" s="10" t="e" cm="1">
        <f t="array" aca="1" ref="S285" ca="1">bdc_eom(N285)</f>
        <v>#NAME?</v>
      </c>
    </row>
    <row r="286" spans="12:19">
      <c r="L286" s="1" t="s">
        <v>127</v>
      </c>
      <c r="M286" s="1">
        <f t="shared" si="3"/>
        <v>3</v>
      </c>
      <c r="N286" s="14">
        <v>45959</v>
      </c>
      <c r="O286" s="14" t="e" cm="1">
        <f t="array" aca="1" ref="O286" ca="1">BDC_F($N286)</f>
        <v>#NAME?</v>
      </c>
      <c r="P286" s="14" t="e" cm="1">
        <f t="array" aca="1" ref="P286" ca="1">BDC_MF($N286)</f>
        <v>#NAME?</v>
      </c>
      <c r="Q286" s="10" t="e" cm="1">
        <f t="array" aca="1" ref="Q286" ca="1">BDC_P($N286)</f>
        <v>#NAME?</v>
      </c>
      <c r="R286" s="10" t="e" cm="1">
        <f t="array" aca="1" ref="R286" ca="1">BDC_MP($N286)</f>
        <v>#NAME?</v>
      </c>
      <c r="S286" s="10" t="e" cm="1">
        <f t="array" aca="1" ref="S286" ca="1">bdc_eom(N286)</f>
        <v>#NAME?</v>
      </c>
    </row>
    <row r="287" spans="12:19">
      <c r="L287" s="1" t="s">
        <v>129</v>
      </c>
      <c r="M287" s="1">
        <f t="shared" si="3"/>
        <v>4</v>
      </c>
      <c r="N287" s="14">
        <v>45960</v>
      </c>
      <c r="O287" s="14" t="e" cm="1">
        <f t="array" aca="1" ref="O287" ca="1">BDC_F($N287)</f>
        <v>#NAME?</v>
      </c>
      <c r="P287" s="14" t="e" cm="1">
        <f t="array" aca="1" ref="P287" ca="1">BDC_MF($N287)</f>
        <v>#NAME?</v>
      </c>
      <c r="Q287" s="10" t="e" cm="1">
        <f t="array" aca="1" ref="Q287" ca="1">BDC_P($N287)</f>
        <v>#NAME?</v>
      </c>
      <c r="R287" s="10" t="e" cm="1">
        <f t="array" aca="1" ref="R287" ca="1">BDC_MP($N287)</f>
        <v>#NAME?</v>
      </c>
      <c r="S287" s="10" t="e" cm="1">
        <f t="array" aca="1" ref="S287" ca="1">bdc_eom(N287)</f>
        <v>#NAME?</v>
      </c>
    </row>
    <row r="288" spans="12:19">
      <c r="L288" s="1" t="s">
        <v>130</v>
      </c>
      <c r="M288" s="1">
        <f t="shared" si="3"/>
        <v>5</v>
      </c>
      <c r="N288" s="14">
        <v>45961</v>
      </c>
      <c r="O288" s="14" t="e" cm="1">
        <f t="array" aca="1" ref="O288" ca="1">BDC_F($N288)</f>
        <v>#NAME?</v>
      </c>
      <c r="P288" s="14" t="e" cm="1">
        <f t="array" aca="1" ref="P288" ca="1">BDC_MF($N288)</f>
        <v>#NAME?</v>
      </c>
      <c r="Q288" s="10" t="e" cm="1">
        <f t="array" aca="1" ref="Q288" ca="1">BDC_P($N288)</f>
        <v>#NAME?</v>
      </c>
      <c r="R288" s="10" t="e" cm="1">
        <f t="array" aca="1" ref="R288" ca="1">BDC_MP($N288)</f>
        <v>#NAME?</v>
      </c>
      <c r="S288" s="10" t="e" cm="1">
        <f t="array" aca="1" ref="S288" ca="1">bdc_eom(N288)</f>
        <v>#NAME?</v>
      </c>
    </row>
  </sheetData>
  <autoFilter ref="L43:S148"/>
  <phoneticPr fontId="2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B341"/>
  <sheetViews>
    <sheetView workbookViewId="0">
      <selection activeCell="G23" sqref="G23"/>
    </sheetView>
  </sheetViews>
  <sheetFormatPr defaultColWidth="9" defaultRowHeight="16.5"/>
  <cols>
    <col min="1" max="1" width="9" style="1"/>
    <col min="2" max="2" width="11.125" style="1" bestFit="1" customWidth="1"/>
    <col min="3" max="16384" width="9" style="1"/>
  </cols>
  <sheetData>
    <row r="1" spans="2:2">
      <c r="B1" s="23" t="s">
        <v>137</v>
      </c>
    </row>
    <row r="2" spans="2:2">
      <c r="B2" s="24" t="s">
        <v>138</v>
      </c>
    </row>
    <row r="3" spans="2:2">
      <c r="B3" s="24" t="s">
        <v>139</v>
      </c>
    </row>
    <row r="4" spans="2:2">
      <c r="B4" s="24" t="s">
        <v>140</v>
      </c>
    </row>
    <row r="5" spans="2:2">
      <c r="B5" s="24" t="s">
        <v>141</v>
      </c>
    </row>
    <row r="6" spans="2:2">
      <c r="B6" s="24" t="s">
        <v>142</v>
      </c>
    </row>
    <row r="7" spans="2:2">
      <c r="B7" s="24" t="s">
        <v>143</v>
      </c>
    </row>
    <row r="8" spans="2:2">
      <c r="B8" s="24" t="s">
        <v>144</v>
      </c>
    </row>
    <row r="9" spans="2:2">
      <c r="B9" s="24" t="s">
        <v>145</v>
      </c>
    </row>
    <row r="10" spans="2:2">
      <c r="B10" s="24" t="s">
        <v>146</v>
      </c>
    </row>
    <row r="11" spans="2:2">
      <c r="B11" s="24" t="s">
        <v>147</v>
      </c>
    </row>
    <row r="12" spans="2:2">
      <c r="B12" s="24" t="s">
        <v>148</v>
      </c>
    </row>
    <row r="13" spans="2:2">
      <c r="B13" s="24" t="s">
        <v>149</v>
      </c>
    </row>
    <row r="14" spans="2:2">
      <c r="B14" s="24" t="s">
        <v>150</v>
      </c>
    </row>
    <row r="15" spans="2:2">
      <c r="B15" s="24" t="s">
        <v>151</v>
      </c>
    </row>
    <row r="16" spans="2:2">
      <c r="B16" s="24" t="s">
        <v>152</v>
      </c>
    </row>
    <row r="17" spans="2:2">
      <c r="B17" s="24" t="s">
        <v>153</v>
      </c>
    </row>
    <row r="18" spans="2:2">
      <c r="B18" s="24" t="s">
        <v>154</v>
      </c>
    </row>
    <row r="19" spans="2:2">
      <c r="B19" s="24" t="s">
        <v>155</v>
      </c>
    </row>
    <row r="20" spans="2:2">
      <c r="B20" s="24" t="s">
        <v>156</v>
      </c>
    </row>
    <row r="21" spans="2:2">
      <c r="B21" s="24" t="s">
        <v>157</v>
      </c>
    </row>
    <row r="22" spans="2:2">
      <c r="B22" s="24" t="s">
        <v>158</v>
      </c>
    </row>
    <row r="23" spans="2:2">
      <c r="B23" s="24" t="s">
        <v>159</v>
      </c>
    </row>
    <row r="24" spans="2:2">
      <c r="B24" s="24" t="s">
        <v>160</v>
      </c>
    </row>
    <row r="25" spans="2:2">
      <c r="B25" s="24" t="s">
        <v>161</v>
      </c>
    </row>
    <row r="26" spans="2:2">
      <c r="B26" s="24" t="s">
        <v>162</v>
      </c>
    </row>
    <row r="27" spans="2:2">
      <c r="B27" s="24" t="s">
        <v>163</v>
      </c>
    </row>
    <row r="28" spans="2:2">
      <c r="B28" s="24" t="s">
        <v>164</v>
      </c>
    </row>
    <row r="29" spans="2:2">
      <c r="B29" s="24" t="s">
        <v>165</v>
      </c>
    </row>
    <row r="30" spans="2:2">
      <c r="B30" s="24" t="s">
        <v>166</v>
      </c>
    </row>
    <row r="31" spans="2:2">
      <c r="B31" s="24" t="s">
        <v>167</v>
      </c>
    </row>
    <row r="32" spans="2:2">
      <c r="B32" s="24" t="s">
        <v>168</v>
      </c>
    </row>
    <row r="33" spans="2:2">
      <c r="B33" s="24" t="s">
        <v>169</v>
      </c>
    </row>
    <row r="34" spans="2:2">
      <c r="B34" s="24" t="s">
        <v>170</v>
      </c>
    </row>
    <row r="35" spans="2:2">
      <c r="B35" s="24" t="s">
        <v>171</v>
      </c>
    </row>
    <row r="36" spans="2:2">
      <c r="B36" s="24" t="s">
        <v>172</v>
      </c>
    </row>
    <row r="37" spans="2:2">
      <c r="B37" s="24" t="s">
        <v>173</v>
      </c>
    </row>
    <row r="38" spans="2:2">
      <c r="B38" s="24" t="s">
        <v>174</v>
      </c>
    </row>
    <row r="39" spans="2:2">
      <c r="B39" s="24" t="s">
        <v>175</v>
      </c>
    </row>
    <row r="40" spans="2:2">
      <c r="B40" s="24" t="s">
        <v>176</v>
      </c>
    </row>
    <row r="41" spans="2:2">
      <c r="B41" s="24" t="s">
        <v>177</v>
      </c>
    </row>
    <row r="42" spans="2:2">
      <c r="B42" s="24" t="s">
        <v>178</v>
      </c>
    </row>
    <row r="43" spans="2:2">
      <c r="B43" s="24" t="s">
        <v>179</v>
      </c>
    </row>
    <row r="44" spans="2:2">
      <c r="B44" s="24" t="s">
        <v>180</v>
      </c>
    </row>
    <row r="45" spans="2:2">
      <c r="B45" s="24" t="s">
        <v>181</v>
      </c>
    </row>
    <row r="46" spans="2:2">
      <c r="B46" s="24" t="s">
        <v>182</v>
      </c>
    </row>
    <row r="47" spans="2:2">
      <c r="B47" s="24" t="s">
        <v>183</v>
      </c>
    </row>
    <row r="48" spans="2:2">
      <c r="B48" s="24" t="s">
        <v>184</v>
      </c>
    </row>
    <row r="49" spans="2:2">
      <c r="B49" s="24" t="s">
        <v>185</v>
      </c>
    </row>
    <row r="50" spans="2:2">
      <c r="B50" s="24" t="s">
        <v>186</v>
      </c>
    </row>
    <row r="51" spans="2:2">
      <c r="B51" s="24" t="s">
        <v>187</v>
      </c>
    </row>
    <row r="52" spans="2:2">
      <c r="B52" s="24" t="s">
        <v>188</v>
      </c>
    </row>
    <row r="53" spans="2:2">
      <c r="B53" s="24" t="s">
        <v>189</v>
      </c>
    </row>
    <row r="54" spans="2:2">
      <c r="B54" s="24" t="s">
        <v>190</v>
      </c>
    </row>
    <row r="55" spans="2:2">
      <c r="B55" s="24" t="s">
        <v>191</v>
      </c>
    </row>
    <row r="56" spans="2:2">
      <c r="B56" s="24" t="s">
        <v>192</v>
      </c>
    </row>
    <row r="57" spans="2:2">
      <c r="B57" s="24" t="s">
        <v>193</v>
      </c>
    </row>
    <row r="58" spans="2:2">
      <c r="B58" s="24" t="s">
        <v>194</v>
      </c>
    </row>
    <row r="59" spans="2:2">
      <c r="B59" s="24" t="s">
        <v>195</v>
      </c>
    </row>
    <row r="60" spans="2:2">
      <c r="B60" s="24" t="s">
        <v>196</v>
      </c>
    </row>
    <row r="61" spans="2:2">
      <c r="B61" s="24" t="s">
        <v>197</v>
      </c>
    </row>
    <row r="62" spans="2:2">
      <c r="B62" s="24" t="s">
        <v>198</v>
      </c>
    </row>
    <row r="63" spans="2:2">
      <c r="B63" s="24" t="s">
        <v>199</v>
      </c>
    </row>
    <row r="64" spans="2:2">
      <c r="B64" s="24" t="s">
        <v>200</v>
      </c>
    </row>
    <row r="65" spans="2:2">
      <c r="B65" s="24" t="s">
        <v>201</v>
      </c>
    </row>
    <row r="66" spans="2:2">
      <c r="B66" s="24" t="s">
        <v>202</v>
      </c>
    </row>
    <row r="67" spans="2:2">
      <c r="B67" s="24" t="s">
        <v>203</v>
      </c>
    </row>
    <row r="68" spans="2:2">
      <c r="B68" s="24" t="s">
        <v>204</v>
      </c>
    </row>
    <row r="69" spans="2:2">
      <c r="B69" s="24" t="s">
        <v>205</v>
      </c>
    </row>
    <row r="70" spans="2:2">
      <c r="B70" s="24" t="s">
        <v>206</v>
      </c>
    </row>
    <row r="71" spans="2:2">
      <c r="B71" s="24" t="s">
        <v>207</v>
      </c>
    </row>
    <row r="72" spans="2:2">
      <c r="B72" s="24" t="s">
        <v>208</v>
      </c>
    </row>
    <row r="73" spans="2:2">
      <c r="B73" s="24" t="s">
        <v>209</v>
      </c>
    </row>
    <row r="74" spans="2:2">
      <c r="B74" s="24" t="s">
        <v>210</v>
      </c>
    </row>
    <row r="75" spans="2:2">
      <c r="B75" s="24" t="s">
        <v>211</v>
      </c>
    </row>
    <row r="76" spans="2:2">
      <c r="B76" s="24" t="s">
        <v>212</v>
      </c>
    </row>
    <row r="77" spans="2:2">
      <c r="B77" s="24" t="s">
        <v>213</v>
      </c>
    </row>
    <row r="78" spans="2:2">
      <c r="B78" s="24" t="s">
        <v>214</v>
      </c>
    </row>
    <row r="79" spans="2:2">
      <c r="B79" s="24" t="s">
        <v>215</v>
      </c>
    </row>
    <row r="80" spans="2:2">
      <c r="B80" s="24" t="s">
        <v>216</v>
      </c>
    </row>
    <row r="81" spans="2:2">
      <c r="B81" s="24" t="s">
        <v>217</v>
      </c>
    </row>
    <row r="82" spans="2:2">
      <c r="B82" s="24" t="s">
        <v>218</v>
      </c>
    </row>
    <row r="83" spans="2:2">
      <c r="B83" s="24" t="s">
        <v>219</v>
      </c>
    </row>
    <row r="84" spans="2:2">
      <c r="B84" s="24" t="s">
        <v>220</v>
      </c>
    </row>
    <row r="85" spans="2:2">
      <c r="B85" s="24" t="s">
        <v>221</v>
      </c>
    </row>
    <row r="86" spans="2:2">
      <c r="B86" s="24" t="s">
        <v>222</v>
      </c>
    </row>
    <row r="87" spans="2:2">
      <c r="B87" s="24" t="s">
        <v>223</v>
      </c>
    </row>
    <row r="88" spans="2:2">
      <c r="B88" s="24" t="s">
        <v>224</v>
      </c>
    </row>
    <row r="89" spans="2:2">
      <c r="B89" s="24" t="s">
        <v>225</v>
      </c>
    </row>
    <row r="90" spans="2:2">
      <c r="B90" s="24" t="s">
        <v>226</v>
      </c>
    </row>
    <row r="91" spans="2:2">
      <c r="B91" s="24" t="s">
        <v>227</v>
      </c>
    </row>
    <row r="92" spans="2:2">
      <c r="B92" s="24" t="s">
        <v>228</v>
      </c>
    </row>
    <row r="93" spans="2:2">
      <c r="B93" s="24" t="s">
        <v>229</v>
      </c>
    </row>
    <row r="94" spans="2:2">
      <c r="B94" s="24" t="s">
        <v>230</v>
      </c>
    </row>
    <row r="95" spans="2:2">
      <c r="B95" s="24" t="s">
        <v>231</v>
      </c>
    </row>
    <row r="96" spans="2:2">
      <c r="B96" s="24" t="s">
        <v>232</v>
      </c>
    </row>
    <row r="97" spans="2:2">
      <c r="B97" s="24" t="s">
        <v>233</v>
      </c>
    </row>
    <row r="98" spans="2:2">
      <c r="B98" s="24" t="s">
        <v>234</v>
      </c>
    </row>
    <row r="99" spans="2:2">
      <c r="B99" s="24" t="s">
        <v>235</v>
      </c>
    </row>
    <row r="100" spans="2:2">
      <c r="B100" s="24" t="s">
        <v>236</v>
      </c>
    </row>
    <row r="101" spans="2:2">
      <c r="B101" s="24" t="s">
        <v>237</v>
      </c>
    </row>
    <row r="102" spans="2:2">
      <c r="B102" s="24" t="s">
        <v>238</v>
      </c>
    </row>
    <row r="103" spans="2:2">
      <c r="B103" s="24" t="s">
        <v>239</v>
      </c>
    </row>
    <row r="104" spans="2:2">
      <c r="B104" s="24" t="s">
        <v>240</v>
      </c>
    </row>
    <row r="105" spans="2:2">
      <c r="B105" s="24" t="s">
        <v>241</v>
      </c>
    </row>
    <row r="106" spans="2:2">
      <c r="B106" s="24" t="s">
        <v>242</v>
      </c>
    </row>
    <row r="107" spans="2:2">
      <c r="B107" s="24" t="s">
        <v>243</v>
      </c>
    </row>
    <row r="108" spans="2:2">
      <c r="B108" s="24" t="s">
        <v>244</v>
      </c>
    </row>
    <row r="109" spans="2:2">
      <c r="B109" s="24" t="s">
        <v>245</v>
      </c>
    </row>
    <row r="110" spans="2:2">
      <c r="B110" s="24" t="s">
        <v>246</v>
      </c>
    </row>
    <row r="111" spans="2:2">
      <c r="B111" s="24" t="s">
        <v>247</v>
      </c>
    </row>
    <row r="112" spans="2:2">
      <c r="B112" s="24" t="s">
        <v>248</v>
      </c>
    </row>
    <row r="113" spans="2:2">
      <c r="B113" s="24" t="s">
        <v>249</v>
      </c>
    </row>
    <row r="114" spans="2:2">
      <c r="B114" s="24" t="s">
        <v>250</v>
      </c>
    </row>
    <row r="115" spans="2:2">
      <c r="B115" s="24" t="s">
        <v>251</v>
      </c>
    </row>
    <row r="116" spans="2:2">
      <c r="B116" s="24" t="s">
        <v>252</v>
      </c>
    </row>
    <row r="117" spans="2:2">
      <c r="B117" s="24" t="s">
        <v>253</v>
      </c>
    </row>
    <row r="118" spans="2:2">
      <c r="B118" s="24" t="s">
        <v>254</v>
      </c>
    </row>
    <row r="119" spans="2:2">
      <c r="B119" s="24" t="s">
        <v>255</v>
      </c>
    </row>
    <row r="120" spans="2:2">
      <c r="B120" s="24" t="s">
        <v>256</v>
      </c>
    </row>
    <row r="121" spans="2:2">
      <c r="B121" s="24" t="s">
        <v>257</v>
      </c>
    </row>
    <row r="122" spans="2:2">
      <c r="B122" s="24" t="s">
        <v>258</v>
      </c>
    </row>
    <row r="123" spans="2:2">
      <c r="B123" s="24" t="s">
        <v>259</v>
      </c>
    </row>
    <row r="124" spans="2:2">
      <c r="B124" s="24" t="s">
        <v>260</v>
      </c>
    </row>
    <row r="125" spans="2:2">
      <c r="B125" s="24" t="s">
        <v>261</v>
      </c>
    </row>
    <row r="126" spans="2:2">
      <c r="B126" s="24" t="s">
        <v>262</v>
      </c>
    </row>
    <row r="127" spans="2:2">
      <c r="B127" s="24" t="s">
        <v>263</v>
      </c>
    </row>
    <row r="128" spans="2:2">
      <c r="B128" s="24" t="s">
        <v>264</v>
      </c>
    </row>
    <row r="129" spans="2:2">
      <c r="B129" s="24" t="s">
        <v>265</v>
      </c>
    </row>
    <row r="130" spans="2:2">
      <c r="B130" s="24" t="s">
        <v>266</v>
      </c>
    </row>
    <row r="131" spans="2:2">
      <c r="B131" s="24" t="s">
        <v>267</v>
      </c>
    </row>
    <row r="132" spans="2:2">
      <c r="B132" s="24" t="s">
        <v>268</v>
      </c>
    </row>
    <row r="133" spans="2:2">
      <c r="B133" s="24" t="s">
        <v>269</v>
      </c>
    </row>
    <row r="134" spans="2:2">
      <c r="B134" s="24" t="s">
        <v>270</v>
      </c>
    </row>
    <row r="135" spans="2:2">
      <c r="B135" s="24" t="s">
        <v>271</v>
      </c>
    </row>
    <row r="136" spans="2:2">
      <c r="B136" s="24" t="s">
        <v>272</v>
      </c>
    </row>
    <row r="137" spans="2:2">
      <c r="B137" s="24" t="s">
        <v>273</v>
      </c>
    </row>
    <row r="138" spans="2:2">
      <c r="B138" s="24" t="s">
        <v>274</v>
      </c>
    </row>
    <row r="139" spans="2:2">
      <c r="B139" s="24" t="s">
        <v>275</v>
      </c>
    </row>
    <row r="140" spans="2:2">
      <c r="B140" s="24" t="s">
        <v>276</v>
      </c>
    </row>
    <row r="141" spans="2:2">
      <c r="B141" s="24" t="s">
        <v>277</v>
      </c>
    </row>
    <row r="142" spans="2:2">
      <c r="B142" s="24" t="s">
        <v>278</v>
      </c>
    </row>
    <row r="143" spans="2:2">
      <c r="B143" s="24" t="s">
        <v>279</v>
      </c>
    </row>
    <row r="144" spans="2:2">
      <c r="B144" s="24" t="s">
        <v>280</v>
      </c>
    </row>
    <row r="145" spans="2:2">
      <c r="B145" s="24" t="s">
        <v>281</v>
      </c>
    </row>
    <row r="146" spans="2:2">
      <c r="B146" s="24" t="s">
        <v>282</v>
      </c>
    </row>
    <row r="147" spans="2:2">
      <c r="B147" s="24" t="s">
        <v>283</v>
      </c>
    </row>
    <row r="148" spans="2:2">
      <c r="B148" s="24" t="s">
        <v>284</v>
      </c>
    </row>
    <row r="149" spans="2:2">
      <c r="B149" s="24" t="s">
        <v>285</v>
      </c>
    </row>
    <row r="150" spans="2:2">
      <c r="B150" s="24" t="s">
        <v>286</v>
      </c>
    </row>
    <row r="151" spans="2:2">
      <c r="B151" s="24" t="s">
        <v>287</v>
      </c>
    </row>
    <row r="152" spans="2:2">
      <c r="B152" s="24" t="s">
        <v>288</v>
      </c>
    </row>
    <row r="153" spans="2:2">
      <c r="B153" s="24" t="s">
        <v>289</v>
      </c>
    </row>
    <row r="154" spans="2:2">
      <c r="B154" s="24" t="s">
        <v>290</v>
      </c>
    </row>
    <row r="155" spans="2:2">
      <c r="B155" s="24" t="s">
        <v>291</v>
      </c>
    </row>
    <row r="156" spans="2:2">
      <c r="B156" s="24" t="s">
        <v>292</v>
      </c>
    </row>
    <row r="157" spans="2:2">
      <c r="B157" s="24" t="s">
        <v>293</v>
      </c>
    </row>
    <row r="158" spans="2:2">
      <c r="B158" s="24" t="s">
        <v>294</v>
      </c>
    </row>
    <row r="159" spans="2:2">
      <c r="B159" s="24" t="s">
        <v>295</v>
      </c>
    </row>
    <row r="160" spans="2:2">
      <c r="B160" s="24" t="s">
        <v>296</v>
      </c>
    </row>
    <row r="161" spans="2:2">
      <c r="B161" s="24" t="s">
        <v>297</v>
      </c>
    </row>
    <row r="162" spans="2:2">
      <c r="B162" s="24" t="s">
        <v>298</v>
      </c>
    </row>
    <row r="163" spans="2:2">
      <c r="B163" s="24" t="s">
        <v>299</v>
      </c>
    </row>
    <row r="164" spans="2:2">
      <c r="B164" s="24" t="s">
        <v>300</v>
      </c>
    </row>
    <row r="165" spans="2:2">
      <c r="B165" s="24" t="s">
        <v>301</v>
      </c>
    </row>
    <row r="166" spans="2:2">
      <c r="B166" s="24" t="s">
        <v>302</v>
      </c>
    </row>
    <row r="167" spans="2:2">
      <c r="B167" s="24" t="s">
        <v>303</v>
      </c>
    </row>
    <row r="168" spans="2:2">
      <c r="B168" s="24" t="s">
        <v>304</v>
      </c>
    </row>
    <row r="169" spans="2:2">
      <c r="B169" s="24" t="s">
        <v>305</v>
      </c>
    </row>
    <row r="170" spans="2:2">
      <c r="B170" s="24" t="s">
        <v>306</v>
      </c>
    </row>
    <row r="171" spans="2:2">
      <c r="B171" s="24" t="s">
        <v>307</v>
      </c>
    </row>
    <row r="172" spans="2:2">
      <c r="B172" s="24" t="s">
        <v>308</v>
      </c>
    </row>
    <row r="173" spans="2:2">
      <c r="B173" s="24" t="s">
        <v>309</v>
      </c>
    </row>
    <row r="174" spans="2:2">
      <c r="B174" s="24" t="s">
        <v>310</v>
      </c>
    </row>
    <row r="175" spans="2:2">
      <c r="B175" s="24" t="s">
        <v>311</v>
      </c>
    </row>
    <row r="176" spans="2:2">
      <c r="B176" s="24" t="s">
        <v>312</v>
      </c>
    </row>
    <row r="177" spans="2:2">
      <c r="B177" s="24" t="s">
        <v>313</v>
      </c>
    </row>
    <row r="178" spans="2:2">
      <c r="B178" s="24" t="s">
        <v>314</v>
      </c>
    </row>
    <row r="179" spans="2:2">
      <c r="B179" s="24" t="s">
        <v>315</v>
      </c>
    </row>
    <row r="180" spans="2:2">
      <c r="B180" s="24" t="s">
        <v>316</v>
      </c>
    </row>
    <row r="181" spans="2:2">
      <c r="B181" s="24" t="s">
        <v>317</v>
      </c>
    </row>
    <row r="182" spans="2:2">
      <c r="B182" s="24" t="s">
        <v>318</v>
      </c>
    </row>
    <row r="183" spans="2:2">
      <c r="B183" s="24" t="s">
        <v>319</v>
      </c>
    </row>
    <row r="184" spans="2:2">
      <c r="B184" s="24" t="s">
        <v>320</v>
      </c>
    </row>
    <row r="185" spans="2:2">
      <c r="B185" s="24" t="s">
        <v>321</v>
      </c>
    </row>
    <row r="186" spans="2:2">
      <c r="B186" s="24" t="s">
        <v>322</v>
      </c>
    </row>
    <row r="187" spans="2:2">
      <c r="B187" s="24" t="s">
        <v>323</v>
      </c>
    </row>
    <row r="188" spans="2:2">
      <c r="B188" s="24" t="s">
        <v>324</v>
      </c>
    </row>
    <row r="189" spans="2:2">
      <c r="B189" s="24" t="s">
        <v>325</v>
      </c>
    </row>
    <row r="190" spans="2:2">
      <c r="B190" s="24" t="s">
        <v>326</v>
      </c>
    </row>
    <row r="191" spans="2:2">
      <c r="B191" s="24" t="s">
        <v>327</v>
      </c>
    </row>
    <row r="192" spans="2:2">
      <c r="B192" s="24" t="s">
        <v>328</v>
      </c>
    </row>
    <row r="193" spans="2:2">
      <c r="B193" s="24" t="s">
        <v>329</v>
      </c>
    </row>
    <row r="194" spans="2:2">
      <c r="B194" s="24" t="s">
        <v>330</v>
      </c>
    </row>
    <row r="195" spans="2:2">
      <c r="B195" s="24" t="s">
        <v>331</v>
      </c>
    </row>
    <row r="196" spans="2:2">
      <c r="B196" s="24" t="s">
        <v>332</v>
      </c>
    </row>
    <row r="197" spans="2:2">
      <c r="B197" s="24" t="s">
        <v>333</v>
      </c>
    </row>
    <row r="198" spans="2:2">
      <c r="B198" s="24" t="s">
        <v>334</v>
      </c>
    </row>
    <row r="199" spans="2:2">
      <c r="B199" s="24" t="s">
        <v>335</v>
      </c>
    </row>
    <row r="200" spans="2:2">
      <c r="B200" s="24" t="s">
        <v>336</v>
      </c>
    </row>
    <row r="201" spans="2:2">
      <c r="B201" s="24" t="s">
        <v>337</v>
      </c>
    </row>
    <row r="202" spans="2:2">
      <c r="B202" s="24" t="s">
        <v>338</v>
      </c>
    </row>
    <row r="203" spans="2:2">
      <c r="B203" s="24" t="s">
        <v>339</v>
      </c>
    </row>
    <row r="204" spans="2:2">
      <c r="B204" s="24" t="s">
        <v>340</v>
      </c>
    </row>
    <row r="205" spans="2:2">
      <c r="B205" s="24" t="s">
        <v>341</v>
      </c>
    </row>
    <row r="206" spans="2:2">
      <c r="B206" s="24" t="s">
        <v>342</v>
      </c>
    </row>
    <row r="207" spans="2:2">
      <c r="B207" s="24" t="s">
        <v>343</v>
      </c>
    </row>
    <row r="208" spans="2:2">
      <c r="B208" s="24" t="s">
        <v>344</v>
      </c>
    </row>
    <row r="209" spans="2:2">
      <c r="B209" s="24" t="s">
        <v>345</v>
      </c>
    </row>
    <row r="210" spans="2:2">
      <c r="B210" s="24" t="s">
        <v>346</v>
      </c>
    </row>
    <row r="211" spans="2:2">
      <c r="B211" s="24" t="s">
        <v>347</v>
      </c>
    </row>
    <row r="212" spans="2:2">
      <c r="B212" s="24" t="s">
        <v>348</v>
      </c>
    </row>
    <row r="213" spans="2:2">
      <c r="B213" s="24" t="s">
        <v>349</v>
      </c>
    </row>
    <row r="214" spans="2:2">
      <c r="B214" s="24" t="s">
        <v>350</v>
      </c>
    </row>
    <row r="215" spans="2:2">
      <c r="B215" s="24" t="s">
        <v>351</v>
      </c>
    </row>
    <row r="216" spans="2:2">
      <c r="B216" s="24" t="s">
        <v>352</v>
      </c>
    </row>
    <row r="217" spans="2:2">
      <c r="B217" s="24" t="s">
        <v>353</v>
      </c>
    </row>
    <row r="218" spans="2:2">
      <c r="B218" s="24" t="s">
        <v>354</v>
      </c>
    </row>
    <row r="219" spans="2:2">
      <c r="B219" s="24" t="s">
        <v>355</v>
      </c>
    </row>
    <row r="220" spans="2:2">
      <c r="B220" s="24" t="s">
        <v>356</v>
      </c>
    </row>
    <row r="221" spans="2:2">
      <c r="B221" s="24" t="s">
        <v>357</v>
      </c>
    </row>
    <row r="222" spans="2:2">
      <c r="B222" s="24" t="s">
        <v>358</v>
      </c>
    </row>
    <row r="223" spans="2:2">
      <c r="B223" s="24" t="s">
        <v>359</v>
      </c>
    </row>
    <row r="224" spans="2:2">
      <c r="B224" s="24" t="s">
        <v>360</v>
      </c>
    </row>
    <row r="225" spans="2:2">
      <c r="B225" s="24" t="s">
        <v>361</v>
      </c>
    </row>
    <row r="226" spans="2:2">
      <c r="B226" s="24" t="s">
        <v>362</v>
      </c>
    </row>
    <row r="227" spans="2:2">
      <c r="B227" s="24" t="s">
        <v>363</v>
      </c>
    </row>
    <row r="228" spans="2:2">
      <c r="B228" s="24" t="s">
        <v>364</v>
      </c>
    </row>
    <row r="229" spans="2:2">
      <c r="B229" s="24" t="s">
        <v>365</v>
      </c>
    </row>
    <row r="230" spans="2:2">
      <c r="B230" s="24" t="s">
        <v>366</v>
      </c>
    </row>
    <row r="231" spans="2:2">
      <c r="B231" s="24" t="s">
        <v>367</v>
      </c>
    </row>
    <row r="232" spans="2:2">
      <c r="B232" s="24" t="s">
        <v>368</v>
      </c>
    </row>
    <row r="233" spans="2:2">
      <c r="B233" s="24" t="s">
        <v>369</v>
      </c>
    </row>
    <row r="234" spans="2:2">
      <c r="B234" s="24" t="s">
        <v>370</v>
      </c>
    </row>
    <row r="235" spans="2:2">
      <c r="B235" s="24" t="s">
        <v>371</v>
      </c>
    </row>
    <row r="236" spans="2:2">
      <c r="B236" s="24" t="s">
        <v>372</v>
      </c>
    </row>
    <row r="237" spans="2:2">
      <c r="B237" s="24" t="s">
        <v>373</v>
      </c>
    </row>
    <row r="238" spans="2:2">
      <c r="B238" s="24" t="s">
        <v>374</v>
      </c>
    </row>
    <row r="239" spans="2:2">
      <c r="B239" s="24" t="s">
        <v>375</v>
      </c>
    </row>
    <row r="240" spans="2:2">
      <c r="B240" s="24" t="s">
        <v>376</v>
      </c>
    </row>
    <row r="241" spans="2:2">
      <c r="B241" s="24" t="s">
        <v>377</v>
      </c>
    </row>
    <row r="242" spans="2:2">
      <c r="B242" s="24" t="s">
        <v>378</v>
      </c>
    </row>
    <row r="243" spans="2:2">
      <c r="B243" s="24" t="s">
        <v>379</v>
      </c>
    </row>
    <row r="244" spans="2:2">
      <c r="B244" s="24" t="s">
        <v>380</v>
      </c>
    </row>
    <row r="245" spans="2:2">
      <c r="B245" s="24" t="s">
        <v>381</v>
      </c>
    </row>
    <row r="246" spans="2:2">
      <c r="B246" s="24" t="s">
        <v>382</v>
      </c>
    </row>
    <row r="247" spans="2:2">
      <c r="B247" s="24" t="s">
        <v>383</v>
      </c>
    </row>
    <row r="248" spans="2:2">
      <c r="B248" s="24" t="s">
        <v>384</v>
      </c>
    </row>
    <row r="249" spans="2:2">
      <c r="B249" s="24" t="s">
        <v>385</v>
      </c>
    </row>
    <row r="250" spans="2:2">
      <c r="B250" s="24" t="s">
        <v>386</v>
      </c>
    </row>
    <row r="251" spans="2:2">
      <c r="B251" s="24" t="s">
        <v>387</v>
      </c>
    </row>
    <row r="252" spans="2:2">
      <c r="B252" s="24" t="s">
        <v>388</v>
      </c>
    </row>
    <row r="253" spans="2:2">
      <c r="B253" s="24" t="s">
        <v>389</v>
      </c>
    </row>
    <row r="254" spans="2:2">
      <c r="B254" s="24" t="s">
        <v>390</v>
      </c>
    </row>
    <row r="255" spans="2:2">
      <c r="B255" s="24" t="s">
        <v>391</v>
      </c>
    </row>
    <row r="256" spans="2:2">
      <c r="B256" s="24" t="s">
        <v>392</v>
      </c>
    </row>
    <row r="257" spans="2:2">
      <c r="B257" s="24" t="s">
        <v>393</v>
      </c>
    </row>
    <row r="258" spans="2:2">
      <c r="B258" s="24" t="s">
        <v>394</v>
      </c>
    </row>
    <row r="259" spans="2:2">
      <c r="B259" s="24" t="s">
        <v>395</v>
      </c>
    </row>
    <row r="260" spans="2:2">
      <c r="B260" s="24" t="s">
        <v>396</v>
      </c>
    </row>
    <row r="261" spans="2:2">
      <c r="B261" s="24" t="s">
        <v>397</v>
      </c>
    </row>
    <row r="262" spans="2:2">
      <c r="B262" s="24" t="s">
        <v>398</v>
      </c>
    </row>
    <row r="263" spans="2:2">
      <c r="B263" s="24" t="s">
        <v>399</v>
      </c>
    </row>
    <row r="264" spans="2:2">
      <c r="B264" s="24" t="s">
        <v>400</v>
      </c>
    </row>
    <row r="265" spans="2:2">
      <c r="B265" s="24" t="s">
        <v>401</v>
      </c>
    </row>
    <row r="266" spans="2:2">
      <c r="B266" s="24" t="s">
        <v>402</v>
      </c>
    </row>
    <row r="267" spans="2:2">
      <c r="B267" s="24" t="s">
        <v>403</v>
      </c>
    </row>
    <row r="268" spans="2:2">
      <c r="B268" s="24" t="s">
        <v>404</v>
      </c>
    </row>
    <row r="269" spans="2:2">
      <c r="B269" s="24" t="s">
        <v>405</v>
      </c>
    </row>
    <row r="270" spans="2:2">
      <c r="B270" s="24" t="s">
        <v>406</v>
      </c>
    </row>
    <row r="271" spans="2:2">
      <c r="B271" s="24" t="s">
        <v>407</v>
      </c>
    </row>
    <row r="272" spans="2:2">
      <c r="B272" s="24" t="s">
        <v>408</v>
      </c>
    </row>
    <row r="273" spans="2:2">
      <c r="B273" s="24" t="s">
        <v>409</v>
      </c>
    </row>
    <row r="274" spans="2:2">
      <c r="B274" s="24" t="s">
        <v>410</v>
      </c>
    </row>
    <row r="275" spans="2:2">
      <c r="B275" s="24" t="s">
        <v>411</v>
      </c>
    </row>
    <row r="276" spans="2:2">
      <c r="B276" s="24" t="s">
        <v>412</v>
      </c>
    </row>
    <row r="277" spans="2:2">
      <c r="B277" s="24" t="s">
        <v>413</v>
      </c>
    </row>
    <row r="278" spans="2:2">
      <c r="B278" s="24" t="s">
        <v>414</v>
      </c>
    </row>
    <row r="279" spans="2:2">
      <c r="B279" s="24" t="s">
        <v>415</v>
      </c>
    </row>
    <row r="280" spans="2:2">
      <c r="B280" s="24" t="s">
        <v>416</v>
      </c>
    </row>
    <row r="281" spans="2:2">
      <c r="B281" s="24" t="s">
        <v>417</v>
      </c>
    </row>
    <row r="282" spans="2:2">
      <c r="B282" s="24" t="s">
        <v>418</v>
      </c>
    </row>
    <row r="283" spans="2:2">
      <c r="B283" s="24" t="s">
        <v>419</v>
      </c>
    </row>
    <row r="284" spans="2:2">
      <c r="B284" s="24" t="s">
        <v>420</v>
      </c>
    </row>
    <row r="285" spans="2:2">
      <c r="B285" s="24" t="s">
        <v>421</v>
      </c>
    </row>
    <row r="286" spans="2:2">
      <c r="B286" s="24" t="s">
        <v>422</v>
      </c>
    </row>
    <row r="287" spans="2:2">
      <c r="B287" s="24" t="s">
        <v>423</v>
      </c>
    </row>
    <row r="288" spans="2:2">
      <c r="B288" s="24" t="s">
        <v>424</v>
      </c>
    </row>
    <row r="289" spans="2:2">
      <c r="B289" s="24" t="s">
        <v>425</v>
      </c>
    </row>
    <row r="290" spans="2:2">
      <c r="B290" s="24" t="s">
        <v>426</v>
      </c>
    </row>
    <row r="291" spans="2:2">
      <c r="B291" s="24" t="s">
        <v>427</v>
      </c>
    </row>
    <row r="292" spans="2:2">
      <c r="B292" s="24" t="s">
        <v>428</v>
      </c>
    </row>
    <row r="293" spans="2:2">
      <c r="B293" s="24" t="s">
        <v>429</v>
      </c>
    </row>
    <row r="294" spans="2:2">
      <c r="B294" s="24" t="s">
        <v>430</v>
      </c>
    </row>
    <row r="295" spans="2:2">
      <c r="B295" s="24" t="s">
        <v>431</v>
      </c>
    </row>
    <row r="296" spans="2:2">
      <c r="B296" s="24" t="s">
        <v>432</v>
      </c>
    </row>
    <row r="297" spans="2:2">
      <c r="B297" s="24" t="s">
        <v>433</v>
      </c>
    </row>
    <row r="298" spans="2:2">
      <c r="B298" s="24" t="s">
        <v>434</v>
      </c>
    </row>
    <row r="299" spans="2:2">
      <c r="B299" s="24" t="s">
        <v>435</v>
      </c>
    </row>
    <row r="300" spans="2:2">
      <c r="B300" s="24" t="s">
        <v>436</v>
      </c>
    </row>
    <row r="301" spans="2:2">
      <c r="B301" s="24" t="s">
        <v>437</v>
      </c>
    </row>
    <row r="302" spans="2:2">
      <c r="B302" s="24" t="s">
        <v>438</v>
      </c>
    </row>
    <row r="303" spans="2:2">
      <c r="B303" s="24" t="s">
        <v>439</v>
      </c>
    </row>
    <row r="304" spans="2:2">
      <c r="B304" s="24" t="s">
        <v>440</v>
      </c>
    </row>
    <row r="305" spans="2:2">
      <c r="B305" s="24" t="s">
        <v>441</v>
      </c>
    </row>
    <row r="306" spans="2:2">
      <c r="B306" s="24" t="s">
        <v>442</v>
      </c>
    </row>
    <row r="307" spans="2:2">
      <c r="B307" s="24" t="s">
        <v>443</v>
      </c>
    </row>
    <row r="308" spans="2:2">
      <c r="B308" s="24" t="s">
        <v>444</v>
      </c>
    </row>
    <row r="309" spans="2:2">
      <c r="B309" s="24" t="s">
        <v>445</v>
      </c>
    </row>
    <row r="310" spans="2:2">
      <c r="B310" s="24" t="s">
        <v>446</v>
      </c>
    </row>
    <row r="311" spans="2:2">
      <c r="B311" s="24" t="s">
        <v>447</v>
      </c>
    </row>
    <row r="312" spans="2:2">
      <c r="B312" s="24" t="s">
        <v>448</v>
      </c>
    </row>
    <row r="313" spans="2:2">
      <c r="B313" s="24" t="s">
        <v>449</v>
      </c>
    </row>
    <row r="314" spans="2:2">
      <c r="B314" s="24" t="s">
        <v>450</v>
      </c>
    </row>
    <row r="315" spans="2:2">
      <c r="B315" s="24" t="s">
        <v>451</v>
      </c>
    </row>
    <row r="316" spans="2:2">
      <c r="B316" s="24" t="s">
        <v>452</v>
      </c>
    </row>
    <row r="317" spans="2:2">
      <c r="B317" s="24" t="s">
        <v>453</v>
      </c>
    </row>
    <row r="318" spans="2:2">
      <c r="B318" s="24" t="s">
        <v>454</v>
      </c>
    </row>
    <row r="319" spans="2:2">
      <c r="B319" s="24" t="s">
        <v>455</v>
      </c>
    </row>
    <row r="320" spans="2:2">
      <c r="B320" s="24" t="s">
        <v>456</v>
      </c>
    </row>
    <row r="321" spans="2:2">
      <c r="B321" s="24" t="s">
        <v>457</v>
      </c>
    </row>
    <row r="322" spans="2:2">
      <c r="B322" s="24" t="s">
        <v>458</v>
      </c>
    </row>
    <row r="323" spans="2:2">
      <c r="B323" s="24" t="s">
        <v>459</v>
      </c>
    </row>
    <row r="324" spans="2:2">
      <c r="B324" s="24" t="s">
        <v>460</v>
      </c>
    </row>
    <row r="325" spans="2:2">
      <c r="B325" s="24" t="s">
        <v>461</v>
      </c>
    </row>
    <row r="326" spans="2:2">
      <c r="B326" s="24" t="s">
        <v>462</v>
      </c>
    </row>
    <row r="327" spans="2:2">
      <c r="B327" s="24" t="s">
        <v>463</v>
      </c>
    </row>
    <row r="328" spans="2:2">
      <c r="B328" s="24" t="s">
        <v>464</v>
      </c>
    </row>
    <row r="329" spans="2:2">
      <c r="B329" s="24" t="s">
        <v>465</v>
      </c>
    </row>
    <row r="330" spans="2:2">
      <c r="B330" s="24" t="s">
        <v>466</v>
      </c>
    </row>
    <row r="331" spans="2:2">
      <c r="B331" s="24" t="s">
        <v>467</v>
      </c>
    </row>
    <row r="332" spans="2:2">
      <c r="B332" s="24" t="s">
        <v>468</v>
      </c>
    </row>
    <row r="333" spans="2:2">
      <c r="B333" s="24" t="s">
        <v>469</v>
      </c>
    </row>
    <row r="334" spans="2:2">
      <c r="B334" s="24" t="s">
        <v>470</v>
      </c>
    </row>
    <row r="335" spans="2:2">
      <c r="B335" s="24" t="s">
        <v>471</v>
      </c>
    </row>
    <row r="336" spans="2:2">
      <c r="B336" s="24" t="s">
        <v>472</v>
      </c>
    </row>
    <row r="337" spans="2:2">
      <c r="B337" s="24" t="s">
        <v>473</v>
      </c>
    </row>
    <row r="338" spans="2:2">
      <c r="B338" s="24" t="s">
        <v>474</v>
      </c>
    </row>
    <row r="339" spans="2:2">
      <c r="B339" s="24" t="s">
        <v>475</v>
      </c>
    </row>
    <row r="340" spans="2:2">
      <c r="B340" s="24" t="s">
        <v>476</v>
      </c>
    </row>
    <row r="341" spans="2:2">
      <c r="B341" s="24" t="s">
        <v>477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N35"/>
  <sheetViews>
    <sheetView zoomScale="80" zoomScaleNormal="80" workbookViewId="0">
      <selection activeCell="O44" sqref="O44"/>
    </sheetView>
  </sheetViews>
  <sheetFormatPr defaultColWidth="9" defaultRowHeight="16.5"/>
  <cols>
    <col min="1" max="6" width="4.625" style="1" customWidth="1"/>
    <col min="7" max="16384" width="9" style="1"/>
  </cols>
  <sheetData>
    <row r="1" spans="2:14" s="4" customFormat="1"/>
    <row r="2" spans="2:14" s="5" customFormat="1"/>
    <row r="3" spans="2:14" ht="8.1" customHeight="1"/>
    <row r="4" spans="2:14">
      <c r="B4" s="7" t="s">
        <v>30</v>
      </c>
    </row>
    <row r="5" spans="2:14" ht="8.1" customHeight="1"/>
    <row r="6" spans="2:14">
      <c r="B6" s="1" t="s">
        <v>31</v>
      </c>
    </row>
    <row r="7" spans="2:14">
      <c r="C7" s="1" t="s">
        <v>32</v>
      </c>
    </row>
    <row r="8" spans="2:14">
      <c r="D8" s="1" t="s">
        <v>2</v>
      </c>
    </row>
    <row r="9" spans="2:14">
      <c r="E9" s="1" t="s">
        <v>3</v>
      </c>
      <c r="N9" s="1" t="s">
        <v>33</v>
      </c>
    </row>
    <row r="10" spans="2:14">
      <c r="E10" s="1" t="s">
        <v>7</v>
      </c>
      <c r="N10" s="1" t="s">
        <v>34</v>
      </c>
    </row>
    <row r="11" spans="2:14">
      <c r="D11" s="1" t="s">
        <v>9</v>
      </c>
    </row>
    <row r="12" spans="2:14">
      <c r="N12" s="1" t="s">
        <v>35</v>
      </c>
    </row>
    <row r="13" spans="2:14">
      <c r="C13" s="1" t="s">
        <v>36</v>
      </c>
    </row>
    <row r="14" spans="2:14">
      <c r="D14" s="1" t="s">
        <v>12</v>
      </c>
    </row>
    <row r="15" spans="2:14">
      <c r="D15" s="1" t="s">
        <v>14</v>
      </c>
    </row>
    <row r="17" spans="2:5">
      <c r="C17" s="1" t="s">
        <v>37</v>
      </c>
    </row>
    <row r="18" spans="2:5">
      <c r="D18" s="1" t="s">
        <v>16</v>
      </c>
    </row>
    <row r="19" spans="2:5">
      <c r="E19" s="1" t="s">
        <v>17</v>
      </c>
    </row>
    <row r="20" spans="2:5">
      <c r="E20" s="1" t="s">
        <v>21</v>
      </c>
    </row>
    <row r="21" spans="2:5">
      <c r="D21" s="1" t="s">
        <v>23</v>
      </c>
    </row>
    <row r="22" spans="2:5">
      <c r="E22" s="1" t="s">
        <v>24</v>
      </c>
    </row>
    <row r="23" spans="2:5">
      <c r="E23" s="1" t="s">
        <v>17</v>
      </c>
    </row>
    <row r="24" spans="2:5">
      <c r="E24" s="1" t="s">
        <v>21</v>
      </c>
    </row>
    <row r="26" spans="2:5">
      <c r="B26" s="1" t="s">
        <v>38</v>
      </c>
    </row>
    <row r="27" spans="2:5">
      <c r="B27" s="1" t="s">
        <v>39</v>
      </c>
    </row>
    <row r="28" spans="2:5">
      <c r="B28" s="1" t="s">
        <v>40</v>
      </c>
    </row>
    <row r="29" spans="2:5">
      <c r="B29" s="1" t="s">
        <v>41</v>
      </c>
    </row>
    <row r="30" spans="2:5">
      <c r="B30" s="1" t="s">
        <v>42</v>
      </c>
    </row>
    <row r="32" spans="2:5">
      <c r="B32" s="1" t="s">
        <v>43</v>
      </c>
    </row>
    <row r="33" spans="2:2">
      <c r="B33" s="1" t="s">
        <v>44</v>
      </c>
    </row>
    <row r="34" spans="2:2">
      <c r="B34" s="1" t="s">
        <v>45</v>
      </c>
    </row>
    <row r="35" spans="2:2">
      <c r="B35" s="1" t="s">
        <v>46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E27"/>
  <sheetViews>
    <sheetView zoomScale="80" zoomScaleNormal="80" workbookViewId="0">
      <selection activeCell="E33" sqref="E33"/>
    </sheetView>
  </sheetViews>
  <sheetFormatPr defaultColWidth="9" defaultRowHeight="16.5"/>
  <cols>
    <col min="1" max="1" width="4.625" style="1" customWidth="1"/>
    <col min="2" max="3" width="2.625" style="1" customWidth="1"/>
    <col min="4" max="5" width="70.625" style="1" customWidth="1"/>
    <col min="6" max="16384" width="9" style="1"/>
  </cols>
  <sheetData>
    <row r="1" spans="2:5" s="4" customFormat="1"/>
    <row r="2" spans="2:5" s="5" customFormat="1"/>
    <row r="3" spans="2:5" ht="8.1" customHeight="1"/>
    <row r="4" spans="2:5">
      <c r="B4" s="7" t="s">
        <v>47</v>
      </c>
    </row>
    <row r="5" spans="2:5" ht="8.1" customHeight="1"/>
    <row r="6" spans="2:5" ht="16.5" customHeight="1">
      <c r="B6" s="104" t="s">
        <v>48</v>
      </c>
      <c r="C6" s="104"/>
      <c r="D6" s="104"/>
      <c r="E6" s="8" t="s">
        <v>49</v>
      </c>
    </row>
    <row r="7" spans="2:5">
      <c r="B7" s="6" t="s">
        <v>50</v>
      </c>
      <c r="C7" s="6"/>
      <c r="D7" s="6"/>
      <c r="E7" s="6"/>
    </row>
    <row r="8" spans="2:5">
      <c r="B8" s="6"/>
      <c r="C8" s="6" t="s">
        <v>51</v>
      </c>
      <c r="D8" s="6"/>
      <c r="E8" s="6"/>
    </row>
    <row r="9" spans="2:5">
      <c r="B9" s="6"/>
      <c r="C9" s="6"/>
      <c r="D9" s="6" t="s">
        <v>52</v>
      </c>
      <c r="E9" s="6" t="s">
        <v>53</v>
      </c>
    </row>
    <row r="10" spans="2:5">
      <c r="B10" s="6"/>
      <c r="C10" s="6"/>
      <c r="D10" s="6" t="s">
        <v>54</v>
      </c>
      <c r="E10" s="6" t="s">
        <v>55</v>
      </c>
    </row>
    <row r="11" spans="2:5">
      <c r="B11" s="6"/>
      <c r="C11" s="6"/>
      <c r="D11" s="6" t="s">
        <v>56</v>
      </c>
      <c r="E11" s="6" t="s">
        <v>57</v>
      </c>
    </row>
    <row r="12" spans="2:5">
      <c r="B12" s="6"/>
      <c r="C12" s="6" t="s">
        <v>58</v>
      </c>
      <c r="D12" s="6"/>
      <c r="E12" s="6" t="s">
        <v>59</v>
      </c>
    </row>
    <row r="13" spans="2:5">
      <c r="B13" s="6"/>
      <c r="C13" s="6"/>
      <c r="D13" s="6" t="s">
        <v>60</v>
      </c>
      <c r="E13" s="6" t="s">
        <v>61</v>
      </c>
    </row>
    <row r="14" spans="2:5">
      <c r="B14" s="6"/>
      <c r="C14" s="6"/>
      <c r="D14" s="6" t="s">
        <v>62</v>
      </c>
      <c r="E14" s="6" t="s">
        <v>61</v>
      </c>
    </row>
    <row r="15" spans="2:5">
      <c r="B15" s="6"/>
      <c r="C15" s="6"/>
      <c r="D15" s="6" t="s">
        <v>63</v>
      </c>
      <c r="E15" s="6" t="s">
        <v>61</v>
      </c>
    </row>
    <row r="16" spans="2:5">
      <c r="B16" s="6"/>
      <c r="C16" s="6"/>
      <c r="D16" s="6" t="s">
        <v>64</v>
      </c>
      <c r="E16" s="6" t="s">
        <v>65</v>
      </c>
    </row>
    <row r="17" spans="2:5">
      <c r="B17" s="6"/>
      <c r="C17" s="6"/>
      <c r="D17" s="6" t="s">
        <v>66</v>
      </c>
      <c r="E17" s="6" t="s">
        <v>65</v>
      </c>
    </row>
    <row r="18" spans="2:5">
      <c r="B18" s="6"/>
      <c r="C18" s="6"/>
      <c r="D18" s="6" t="s">
        <v>67</v>
      </c>
      <c r="E18" s="6" t="s">
        <v>65</v>
      </c>
    </row>
    <row r="19" spans="2:5">
      <c r="B19" s="6"/>
      <c r="C19" s="6"/>
      <c r="D19" s="6" t="s">
        <v>68</v>
      </c>
      <c r="E19" s="6" t="s">
        <v>65</v>
      </c>
    </row>
    <row r="20" spans="2:5">
      <c r="B20" s="6"/>
      <c r="C20" s="6"/>
      <c r="D20" s="6" t="s">
        <v>69</v>
      </c>
      <c r="E20" s="6" t="s">
        <v>70</v>
      </c>
    </row>
    <row r="21" spans="2:5">
      <c r="B21" s="6"/>
      <c r="C21" s="6"/>
      <c r="D21" s="6" t="s">
        <v>71</v>
      </c>
      <c r="E21" s="6" t="s">
        <v>70</v>
      </c>
    </row>
    <row r="22" spans="2:5">
      <c r="B22" s="6"/>
      <c r="C22" s="6"/>
      <c r="D22" s="6" t="s">
        <v>72</v>
      </c>
      <c r="E22" s="6" t="s">
        <v>70</v>
      </c>
    </row>
    <row r="23" spans="2:5">
      <c r="B23" s="6"/>
      <c r="C23" s="6" t="s">
        <v>73</v>
      </c>
      <c r="D23" s="6"/>
      <c r="E23" s="6"/>
    </row>
    <row r="24" spans="2:5">
      <c r="B24" s="6"/>
      <c r="C24" s="6"/>
      <c r="D24" s="6" t="s">
        <v>74</v>
      </c>
      <c r="E24" s="6" t="s">
        <v>75</v>
      </c>
    </row>
    <row r="25" spans="2:5">
      <c r="B25" s="6" t="s">
        <v>76</v>
      </c>
      <c r="C25" s="6"/>
      <c r="D25" s="6"/>
      <c r="E25" s="6"/>
    </row>
    <row r="26" spans="2:5">
      <c r="B26" s="6"/>
      <c r="C26" s="6" t="s">
        <v>77</v>
      </c>
      <c r="D26" s="6"/>
      <c r="E26" s="6"/>
    </row>
    <row r="27" spans="2:5">
      <c r="B27" s="6"/>
      <c r="C27" s="6"/>
      <c r="D27" s="6" t="s">
        <v>78</v>
      </c>
      <c r="E27" s="6"/>
    </row>
  </sheetData>
  <mergeCells count="1">
    <mergeCell ref="B6:D6"/>
  </mergeCells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2:E19"/>
  <sheetViews>
    <sheetView zoomScale="70" zoomScaleNormal="70" workbookViewId="0">
      <pane ySplit="2" topLeftCell="A3" activePane="bottomLeft" state="frozen"/>
      <selection pane="bottomLeft" activeCell="D12" sqref="D12"/>
    </sheetView>
  </sheetViews>
  <sheetFormatPr defaultColWidth="9" defaultRowHeight="16.5"/>
  <cols>
    <col min="1" max="1" width="5" style="1" customWidth="1"/>
    <col min="2" max="2" width="9" style="34"/>
    <col min="3" max="3" width="11.125" style="34" bestFit="1" customWidth="1"/>
    <col min="4" max="4" width="98.125" style="1" customWidth="1"/>
    <col min="5" max="5" width="100.625" style="1" customWidth="1"/>
    <col min="6" max="16384" width="9" style="1"/>
  </cols>
  <sheetData>
    <row r="2" spans="2:5">
      <c r="B2" s="37" t="s">
        <v>630</v>
      </c>
      <c r="C2" s="37" t="s">
        <v>629</v>
      </c>
      <c r="D2" s="37" t="s">
        <v>49</v>
      </c>
      <c r="E2" s="37" t="s">
        <v>633</v>
      </c>
    </row>
    <row r="3" spans="2:5" ht="99.75" customHeight="1">
      <c r="B3" s="33">
        <v>1</v>
      </c>
      <c r="C3" s="68">
        <v>45743</v>
      </c>
      <c r="D3" s="69" t="s">
        <v>631</v>
      </c>
      <c r="E3" s="69"/>
    </row>
    <row r="4" spans="2:5" ht="99.75" customHeight="1">
      <c r="B4" s="33">
        <v>2</v>
      </c>
      <c r="C4" s="68">
        <v>45743</v>
      </c>
      <c r="D4" s="69" t="s">
        <v>632</v>
      </c>
      <c r="E4" s="69"/>
    </row>
    <row r="5" spans="2:5">
      <c r="B5" s="33"/>
      <c r="C5" s="33"/>
      <c r="D5" s="13"/>
      <c r="E5" s="13"/>
    </row>
    <row r="6" spans="2:5">
      <c r="B6" s="33"/>
      <c r="C6" s="33"/>
      <c r="D6" s="13"/>
      <c r="E6" s="13"/>
    </row>
    <row r="7" spans="2:5">
      <c r="B7" s="33"/>
      <c r="C7" s="33"/>
      <c r="D7" s="13"/>
      <c r="E7" s="13"/>
    </row>
    <row r="8" spans="2:5">
      <c r="B8" s="33"/>
      <c r="C8" s="33"/>
      <c r="D8" s="13"/>
      <c r="E8" s="13"/>
    </row>
    <row r="9" spans="2:5">
      <c r="B9" s="33"/>
      <c r="C9" s="33"/>
      <c r="D9" s="13"/>
      <c r="E9" s="13"/>
    </row>
    <row r="10" spans="2:5">
      <c r="B10" s="33"/>
      <c r="C10" s="33"/>
      <c r="D10" s="13"/>
      <c r="E10" s="13"/>
    </row>
    <row r="11" spans="2:5">
      <c r="B11" s="33"/>
      <c r="C11" s="33"/>
      <c r="D11" s="13"/>
      <c r="E11" s="13"/>
    </row>
    <row r="12" spans="2:5">
      <c r="B12" s="33"/>
      <c r="C12" s="33"/>
      <c r="D12" s="13"/>
      <c r="E12" s="13"/>
    </row>
    <row r="13" spans="2:5">
      <c r="B13" s="33"/>
      <c r="C13" s="33"/>
      <c r="D13" s="13"/>
      <c r="E13" s="13"/>
    </row>
    <row r="14" spans="2:5">
      <c r="B14" s="33"/>
      <c r="C14" s="33"/>
      <c r="D14" s="13"/>
      <c r="E14" s="13"/>
    </row>
    <row r="15" spans="2:5">
      <c r="B15" s="33"/>
      <c r="C15" s="33"/>
      <c r="D15" s="13"/>
      <c r="E15" s="13"/>
    </row>
    <row r="16" spans="2:5">
      <c r="B16" s="33"/>
      <c r="C16" s="33"/>
      <c r="D16" s="13"/>
      <c r="E16" s="13"/>
    </row>
    <row r="17" spans="2:5">
      <c r="B17" s="33"/>
      <c r="C17" s="33"/>
      <c r="D17" s="13"/>
      <c r="E17" s="13"/>
    </row>
    <row r="18" spans="2:5">
      <c r="B18" s="33"/>
      <c r="C18" s="33"/>
      <c r="D18" s="13"/>
      <c r="E18" s="13"/>
    </row>
    <row r="19" spans="2:5">
      <c r="B19" s="33"/>
      <c r="C19" s="33"/>
      <c r="D19" s="13"/>
      <c r="E19" s="13"/>
    </row>
  </sheetData>
  <phoneticPr fontId="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FD223CB8436154C8476FD99AD410FC1" ma:contentTypeVersion="3" ma:contentTypeDescription="Create a new document." ma:contentTypeScope="" ma:versionID="ac595a6da459f60d5306ad4322ac37f9">
  <xsd:schema xmlns:xsd="http://www.w3.org/2001/XMLSchema" xmlns:xs="http://www.w3.org/2001/XMLSchema" xmlns:p="http://schemas.microsoft.com/office/2006/metadata/properties" xmlns:ns2="8cb414a6-6ea2-4481-8ab9-11494f00b036" targetNamespace="http://schemas.microsoft.com/office/2006/metadata/properties" ma:root="true" ma:fieldsID="86c9aa30c5238afd5fabb7d7c82f1440" ns2:_="">
    <xsd:import namespace="8cb414a6-6ea2-4481-8ab9-11494f00b03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b414a6-6ea2-4481-8ab9-11494f00b03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067A1B9-7952-4E00-8EA2-A61D4CF8E23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3BA6D23-8148-4E1C-9F24-C05735721F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cb414a6-6ea2-4481-8ab9-11494f00b03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5C52558-1D30-48C9-A1EF-89148C4B3250}">
  <ds:schemaRefs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8cb414a6-6ea2-4481-8ab9-11494f00b036"/>
    <ds:schemaRef ds:uri="http://purl.org/dc/elements/1.1/"/>
    <ds:schemaRef ds:uri="http://schemas.microsoft.com/office/2006/documentManagement/types"/>
    <ds:schemaRef ds:uri="http://purl.org/dc/terms/"/>
    <ds:schemaRef ds:uri="http://schemas.microsoft.com/office/2006/metadata/properties"/>
    <ds:schemaRef ds:uri="http://www.w3.org/XML/1998/namespace"/>
  </ds:schemaRefs>
</ds:datastoreItem>
</file>

<file path=docMetadata/LabelInfo.xml><?xml version="1.0" encoding="utf-8"?>
<clbl:labelList xmlns:clbl="http://schemas.microsoft.com/office/2020/mipLabelMetadata">
  <clbl:label id="{ea60d57e-af5b-4752-ac57-3e4f28ca11dc}" enabled="1" method="Standard" siteId="{36da45f1-dd2c-4d1f-af13-5abe46b99921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Bond</vt:lpstr>
      <vt:lpstr>FX Forward</vt:lpstr>
      <vt:lpstr>FX Forward (설명)</vt:lpstr>
      <vt:lpstr>Curve</vt:lpstr>
      <vt:lpstr>Curve Setting</vt:lpstr>
      <vt:lpstr>고려사항</vt:lpstr>
      <vt:lpstr>상품 Coverage</vt:lpstr>
      <vt:lpstr>Sheet2</vt:lpstr>
      <vt:lpstr>Scope</vt:lpstr>
      <vt:lpstr>Appendix</vt:lpstr>
      <vt:lpstr>협의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Song, Young Ho</dc:creator>
  <cp:keywords/>
  <dc:description/>
  <cp:lastModifiedBy>icis</cp:lastModifiedBy>
  <cp:revision/>
  <dcterms:created xsi:type="dcterms:W3CDTF">2025-03-13T02:31:02Z</dcterms:created>
  <dcterms:modified xsi:type="dcterms:W3CDTF">2025-04-23T08:12:21Z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0x010100CFD223CB8436154C8476FD99AD410FC1</vt:lpwstr>
  </property>
</Properties>
</file>