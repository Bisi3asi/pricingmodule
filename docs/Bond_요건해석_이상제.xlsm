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"/>
    </mc:Choice>
  </mc:AlternateContent>
  <bookViews>
    <workbookView xWindow="0" yWindow="0" windowWidth="28770" windowHeight="11865" tabRatio="806"/>
  </bookViews>
  <sheets>
    <sheet name="Bond" sheetId="10" r:id="rId1"/>
    <sheet name="FX Forward" sheetId="6" r:id="rId2"/>
    <sheet name="Curve" sheetId="7" r:id="rId3"/>
    <sheet name="Appendix" sheetId="3" r:id="rId4"/>
    <sheet name="Curve Setting" sheetId="8" r:id="rId5"/>
    <sheet name="고려사항" sheetId="4" r:id="rId6"/>
    <sheet name="협의" sheetId="11" r:id="rId7"/>
    <sheet name="개요" sheetId="12" r:id="rId8"/>
    <sheet name="Data Elements&gt;&gt;" sheetId="13" r:id="rId9"/>
    <sheet name="Sheet4" sheetId="14" r:id="rId10"/>
  </sheets>
  <functionGroups builtInGroupCount="18"/>
  <definedNames>
    <definedName name="solver_adj" localSheetId="0" hidden="1">Bond!$Q$33</definedName>
    <definedName name="solver_adj" localSheetId="1" hidden="1">'FX Forward'!$K$36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Bond!$Q$35</definedName>
    <definedName name="solver_opt" localSheetId="1" hidden="1">'FX Forward'!$N$36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5251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10" l="1"/>
  <c r="Q37" i="10"/>
  <c r="Q34" i="10"/>
  <c r="Q32" i="10"/>
  <c r="P4" i="7" a="1"/>
  <c r="P4" i="7" l="1"/>
  <c r="Q38" i="10"/>
  <c r="Q35" i="10"/>
  <c r="O19" i="6"/>
  <c r="V31" i="6"/>
  <c r="V33" i="6" l="1"/>
  <c r="V32" i="6"/>
  <c r="V39" i="6"/>
  <c r="V38" i="6"/>
  <c r="V37" i="6"/>
  <c r="W37" i="6" s="1"/>
  <c r="V27" i="6"/>
  <c r="V28" i="6"/>
  <c r="D25" i="6"/>
  <c r="W42" i="6" l="1"/>
  <c r="X42" i="6" s="1"/>
  <c r="W38" i="6"/>
  <c r="X38" i="6" s="1"/>
  <c r="X37" i="6"/>
  <c r="W39" i="6"/>
  <c r="X39" i="6" s="1"/>
  <c r="W33" i="6"/>
  <c r="X33" i="6" s="1"/>
  <c r="W32" i="6"/>
  <c r="X32" i="6" s="1"/>
  <c r="W31" i="6"/>
  <c r="X31" i="6" s="1"/>
  <c r="V19" i="6"/>
  <c r="W27" i="6" l="1"/>
  <c r="X27" i="6" s="1"/>
  <c r="W19" i="6"/>
  <c r="W22" i="6" s="1"/>
  <c r="W28" i="6" l="1"/>
  <c r="X28" i="6" s="1"/>
  <c r="T19" i="10" l="1"/>
  <c r="T34" i="10" s="1"/>
  <c r="T35" i="10" s="1"/>
  <c r="T23" i="10" l="1"/>
  <c r="T24" i="10" s="1"/>
  <c r="T27" i="10"/>
  <c r="T28" i="1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<sst xmlns="http://schemas.openxmlformats.org/spreadsheetml/2006/main" count="679" uniqueCount="330">
  <si>
    <t>□ 상품분류</t>
    <phoneticPr fontId="2" type="noConversion"/>
  </si>
  <si>
    <t>FX Derivatives</t>
    <phoneticPr fontId="2" type="noConversion"/>
  </si>
  <si>
    <t>FX Forward</t>
    <phoneticPr fontId="2" type="noConversion"/>
  </si>
  <si>
    <t>Plain</t>
    <phoneticPr fontId="2" type="noConversion"/>
  </si>
  <si>
    <t>FX0101</t>
    <phoneticPr fontId="2" type="noConversion"/>
  </si>
  <si>
    <t>FX Derivatives</t>
  </si>
  <si>
    <t>FX Forward</t>
  </si>
  <si>
    <t>NDF(Non Delivarible Forward)</t>
    <phoneticPr fontId="2" type="noConversion"/>
  </si>
  <si>
    <t>FX0102</t>
    <phoneticPr fontId="2" type="noConversion"/>
  </si>
  <si>
    <t>FX Swap</t>
    <phoneticPr fontId="2" type="noConversion"/>
  </si>
  <si>
    <t>FX0201</t>
    <phoneticPr fontId="2" type="noConversion"/>
  </si>
  <si>
    <t>Bond</t>
    <phoneticPr fontId="2" type="noConversion"/>
  </si>
  <si>
    <t>Bond</t>
  </si>
  <si>
    <t>FRN(Floating Rate Note)</t>
    <phoneticPr fontId="2" type="noConversion"/>
  </si>
  <si>
    <t>Swap</t>
    <phoneticPr fontId="2" type="noConversion"/>
  </si>
  <si>
    <t>IRS</t>
    <phoneticPr fontId="2" type="noConversion"/>
  </si>
  <si>
    <t>Fixed/Floating</t>
    <phoneticPr fontId="2" type="noConversion"/>
  </si>
  <si>
    <t>SW0101</t>
    <phoneticPr fontId="2" type="noConversion"/>
  </si>
  <si>
    <t>Swap</t>
  </si>
  <si>
    <t>IRS</t>
  </si>
  <si>
    <t>Floating/Floating</t>
    <phoneticPr fontId="2" type="noConversion"/>
  </si>
  <si>
    <t>SW0102</t>
    <phoneticPr fontId="2" type="noConversion"/>
  </si>
  <si>
    <t>CRS</t>
    <phoneticPr fontId="2" type="noConversion"/>
  </si>
  <si>
    <t>Fixed/Fixed</t>
    <phoneticPr fontId="2" type="noConversion"/>
  </si>
  <si>
    <t>SW0201</t>
    <phoneticPr fontId="2" type="noConversion"/>
  </si>
  <si>
    <t>CRS</t>
  </si>
  <si>
    <t>SW0202</t>
    <phoneticPr fontId="2" type="noConversion"/>
  </si>
  <si>
    <t>SW0203</t>
    <phoneticPr fontId="2" type="noConversion"/>
  </si>
  <si>
    <t>□ 상품 속성 및 Convention 정의</t>
    <phoneticPr fontId="2" type="noConversion"/>
  </si>
  <si>
    <t>1. 대상상품 확정</t>
    <phoneticPr fontId="2" type="noConversion"/>
  </si>
  <si>
    <t>2. 상품별 pricing 필요 컨벤션 확보</t>
    <phoneticPr fontId="2" type="noConversion"/>
  </si>
  <si>
    <t>3. 산출 방법론 확정</t>
    <phoneticPr fontId="2" type="noConversion"/>
  </si>
  <si>
    <t>4. 평가기술서 작성</t>
    <phoneticPr fontId="2" type="noConversion"/>
  </si>
  <si>
    <t>5. 평가 모듈 생성</t>
    <phoneticPr fontId="2" type="noConversion"/>
  </si>
  <si>
    <t>6. 테스트 데이터 확보</t>
    <phoneticPr fontId="2" type="noConversion"/>
  </si>
  <si>
    <t>7. FRTB-SA Risk Factor 설정</t>
    <phoneticPr fontId="2" type="noConversion"/>
  </si>
  <si>
    <t>8. FRTB-SA Risk Factor별 민감도 산출 요건 작성</t>
    <phoneticPr fontId="2" type="noConversion"/>
  </si>
  <si>
    <t>9. 민감도 산출 모듈 생성</t>
    <phoneticPr fontId="2" type="noConversion"/>
  </si>
  <si>
    <t>10. 테스트 데이터 확보</t>
    <phoneticPr fontId="2" type="noConversion"/>
  </si>
  <si>
    <t>데이터 요청 목록 (To. ICIS)</t>
    <phoneticPr fontId="2" type="noConversion"/>
  </si>
  <si>
    <t>구분</t>
    <phoneticPr fontId="2" type="noConversion"/>
  </si>
  <si>
    <t>내용</t>
    <phoneticPr fontId="2" type="noConversion"/>
  </si>
  <si>
    <t>1. Pricing 영역</t>
    <phoneticPr fontId="2" type="noConversion"/>
  </si>
  <si>
    <t xml:space="preserve"> - FX 상품, Bond, Swap Pricing 및 Sensitivity 산출 목적</t>
    <phoneticPr fontId="2" type="noConversion"/>
  </si>
  <si>
    <t xml:space="preserve"> - FX Risk 및 Sensitivity 산출 목적</t>
    <phoneticPr fontId="2" type="noConversion"/>
  </si>
  <si>
    <t xml:space="preserve"> - CSR 산출 목적</t>
    <phoneticPr fontId="2" type="noConversion"/>
  </si>
  <si>
    <t xml:space="preserve"> - Site에서 관리하는 상품별 거래 정보 포함(Pricing 하는데 주요 요소로 쓰이기 때문)</t>
    <phoneticPr fontId="2" type="noConversion"/>
  </si>
  <si>
    <t xml:space="preserve"> - KRW/USD, KRW/EUR, USD/EUR(이종통화간 Forward 라 통화가 달라도 됨)</t>
    <phoneticPr fontId="2" type="noConversion"/>
  </si>
  <si>
    <t xml:space="preserve"> - KRW, USD 건(Coupon Bond, Discount Bond)</t>
    <phoneticPr fontId="2" type="noConversion"/>
  </si>
  <si>
    <t xml:space="preserve"> - KRW/USD, KRW/EUR, USD/EUR(이종통화간 CRS라 통화가 달라도 됨)</t>
    <phoneticPr fontId="2" type="noConversion"/>
  </si>
  <si>
    <t xml:space="preserve"> - 각 상품별 산출값, 중간값(있는 경우, Cash Flow 정보, Cash Flow 일자별 PV값)</t>
    <phoneticPr fontId="2" type="noConversion"/>
  </si>
  <si>
    <t>2. Sensitivity 영역</t>
    <phoneticPr fontId="2" type="noConversion"/>
  </si>
  <si>
    <t>Daycount Basis Conventions</t>
    <phoneticPr fontId="2" type="noConversion"/>
  </si>
  <si>
    <t>Business Day Convention</t>
    <phoneticPr fontId="2" type="noConversion"/>
  </si>
  <si>
    <t>Following</t>
    <phoneticPr fontId="2" type="noConversion"/>
  </si>
  <si>
    <t>Modified Following</t>
    <phoneticPr fontId="2" type="noConversion"/>
  </si>
  <si>
    <t>Preceding</t>
    <phoneticPr fontId="2" type="noConversion"/>
  </si>
  <si>
    <t>Modified Preceding</t>
    <phoneticPr fontId="2" type="noConversion"/>
  </si>
  <si>
    <t>End-Month</t>
    <phoneticPr fontId="2" type="noConversion"/>
  </si>
  <si>
    <t>현금흐름 발생일이 휴일인 경우 직후 영업일로 조정</t>
    <phoneticPr fontId="2" type="noConversion"/>
  </si>
  <si>
    <t>현금흐름 발생일이 휴일인 경우 직후 영업일로 조정하되, 직후 영업일이 다음 월인 경우 직전 영업일로 조정</t>
    <phoneticPr fontId="2" type="noConversion"/>
  </si>
  <si>
    <t>현금흐름 발생일이 휴일인 경우 직전 영업일로 조정</t>
    <phoneticPr fontId="2" type="noConversion"/>
  </si>
  <si>
    <t>현금흐름 발생일이 휴일인 경우 직전 영업얼로 조정하되, 직전 영업일이 직전 월인 경우 직후 영업일로 조정</t>
    <phoneticPr fontId="2" type="noConversion"/>
  </si>
  <si>
    <t>현금흐름 발생일이 휴일인 경우 항상 당 월의 마지막 영업일로 조정</t>
    <phoneticPr fontId="2" type="noConversion"/>
  </si>
  <si>
    <t>Act/365</t>
    <phoneticPr fontId="2" type="noConversion"/>
  </si>
  <si>
    <t>Act/360</t>
    <phoneticPr fontId="2" type="noConversion"/>
  </si>
  <si>
    <t>1/1</t>
    <phoneticPr fontId="2" type="noConversion"/>
  </si>
  <si>
    <t>Period End Date</t>
    <phoneticPr fontId="2" type="noConversion"/>
  </si>
  <si>
    <t>Adjusted</t>
    <phoneticPr fontId="2" type="noConversion"/>
  </si>
  <si>
    <t>Unadjusted</t>
    <phoneticPr fontId="2" type="noConversion"/>
  </si>
  <si>
    <t>[(yyyy2 - yyyy1) x 360 + (mm2 - mm1) x 30 + (dd2 - dd1)]/360</t>
    <phoneticPr fontId="2" type="noConversion"/>
  </si>
  <si>
    <t>Act/365(Act/Act)</t>
    <phoneticPr fontId="2" type="noConversion"/>
  </si>
  <si>
    <t>Act/365F</t>
    <phoneticPr fontId="2" type="noConversion"/>
  </si>
  <si>
    <t>1년을 365일로 계산</t>
    <phoneticPr fontId="2" type="noConversion"/>
  </si>
  <si>
    <t>1년을 365일로 계산하되, 윤년은 366일로 계산</t>
    <phoneticPr fontId="2" type="noConversion"/>
  </si>
  <si>
    <t>1년을 360일로 계산</t>
    <phoneticPr fontId="2" type="noConversion"/>
  </si>
  <si>
    <t>1년을 365.25일로 계산</t>
    <phoneticPr fontId="2" type="noConversion"/>
  </si>
  <si>
    <t>30U/360</t>
    <phoneticPr fontId="2" type="noConversion"/>
  </si>
  <si>
    <t>30E/360</t>
    <phoneticPr fontId="2" type="noConversion"/>
  </si>
  <si>
    <t>30A/360</t>
    <phoneticPr fontId="2" type="noConversion"/>
  </si>
  <si>
    <t>한 달을 30일, 1년을 360일로 계산하되, 2월은 30일로 조정하지 않음</t>
    <phoneticPr fontId="2" type="noConversion"/>
  </si>
  <si>
    <t>D1 = MIN (D1, 30). If D1 = 30 Then D2 = MIN (D2,30)</t>
    <phoneticPr fontId="2" type="noConversion"/>
  </si>
  <si>
    <t>If D1 is 31, then change D1 to 30.</t>
    <phoneticPr fontId="2" type="noConversion"/>
  </si>
  <si>
    <t>If D2 is 31, then change D2 to 30.</t>
    <phoneticPr fontId="2" type="noConversion"/>
  </si>
  <si>
    <t>If the investment is EOM and (Date1 is the last day of February) and (Date2 is the last day of February), then change D2 to 30.</t>
    <phoneticPr fontId="2" type="noConversion"/>
  </si>
  <si>
    <t>If the investment is EOM and (Date1 is the last day of February), then change D1 to 30.</t>
    <phoneticPr fontId="2" type="noConversion"/>
  </si>
  <si>
    <t>If D2 is 31 and D1 is 30 or 31, then change D2 to 30.</t>
    <phoneticPr fontId="2" type="noConversion"/>
  </si>
  <si>
    <t>한 달을 30일, 1년을 360일로 계산(단, 2월28일은 ​투자가 월말에 이루어졌을 경우에만 30일로 변경)</t>
    <phoneticPr fontId="2" type="noConversion"/>
  </si>
  <si>
    <t>Code</t>
    <phoneticPr fontId="2" type="noConversion"/>
  </si>
  <si>
    <t>Mod.Following</t>
    <phoneticPr fontId="2" type="noConversion"/>
  </si>
  <si>
    <t>Mod.Preceding</t>
    <phoneticPr fontId="2" type="noConversion"/>
  </si>
  <si>
    <t>End.Month</t>
    <phoneticPr fontId="2" type="noConversion"/>
  </si>
  <si>
    <t>휴일 적용을 어떻게 구현할까 고려해야함</t>
    <phoneticPr fontId="2" type="noConversion"/>
  </si>
  <si>
    <t>□ FX Forward 상품 정의</t>
    <phoneticPr fontId="2" type="noConversion"/>
  </si>
  <si>
    <t>□ FX Forward 상품 평가</t>
    <phoneticPr fontId="2" type="noConversion"/>
  </si>
  <si>
    <t xml:space="preserve"> - FX Forward(통화 선도거래)란 미래의 특정 시점(만기)에 서로 다른 통화의 교환비율을 사전에 정하여 만기시점에 액면금액에 대한 현금흐름이 발생하는 거래</t>
    <phoneticPr fontId="2" type="noConversion"/>
  </si>
  <si>
    <t xml:space="preserve"> - FX Forward는 원칙적으로 Foreign 통화는 해당 통화의 IRS 커브로, Domestic 통화는 CRS 커브로 할인하여 평가</t>
    <phoneticPr fontId="2" type="noConversion"/>
  </si>
  <si>
    <t>Trade Date</t>
    <phoneticPr fontId="2" type="noConversion"/>
  </si>
  <si>
    <t>Maturity Date</t>
    <phoneticPr fontId="2" type="noConversion"/>
  </si>
  <si>
    <t>Revaluation Date</t>
    <phoneticPr fontId="2" type="noConversion"/>
  </si>
  <si>
    <t>KRW</t>
    <phoneticPr fontId="2" type="noConversion"/>
  </si>
  <si>
    <t>Discount Curve</t>
    <phoneticPr fontId="2" type="noConversion"/>
  </si>
  <si>
    <t>M</t>
  </si>
  <si>
    <t>Base Date</t>
    <phoneticPr fontId="2" type="noConversion"/>
  </si>
  <si>
    <t>Currency</t>
    <phoneticPr fontId="2" type="noConversion"/>
  </si>
  <si>
    <t>CurveID</t>
    <phoneticPr fontId="2" type="noConversion"/>
  </si>
  <si>
    <t>Unit</t>
    <phoneticPr fontId="2" type="noConversion"/>
  </si>
  <si>
    <t>Market Data</t>
    <phoneticPr fontId="2" type="noConversion"/>
  </si>
  <si>
    <t>Term</t>
    <phoneticPr fontId="2" type="noConversion"/>
  </si>
  <si>
    <t>Forward Curve</t>
    <phoneticPr fontId="2" type="noConversion"/>
  </si>
  <si>
    <t>Exchange Rate</t>
    <phoneticPr fontId="2" type="noConversion"/>
  </si>
  <si>
    <t xml:space="preserve"> o Trade Information</t>
    <phoneticPr fontId="2" type="noConversion"/>
  </si>
  <si>
    <t>Discount Factor</t>
    <phoneticPr fontId="2" type="noConversion"/>
  </si>
  <si>
    <t>Present Value</t>
    <phoneticPr fontId="2" type="noConversion"/>
  </si>
  <si>
    <t>Year Fraction</t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</si>
  <si>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</si>
  <si>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r>
      <t>Amount (Notional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>)</t>
    </r>
    <phoneticPr fontId="2" type="noConversion"/>
  </si>
  <si>
    <t>Buy Side</t>
    <phoneticPr fontId="2" type="noConversion"/>
  </si>
  <si>
    <t>Sell Side</t>
    <phoneticPr fontId="2" type="noConversion"/>
  </si>
  <si>
    <t xml:space="preserve"> - 만기시점 Foreign 명목금액을 IRS 커브로 할인 후 현물환율 적용한 매입통화가격과 Domestic 명목금액을 CRS 커브로 할인한 매도통화가격의 차이로 평가</t>
    <phoneticPr fontId="2" type="noConversion"/>
  </si>
  <si>
    <t xml:space="preserve"> o Sensitivity FRTB-SA</t>
    <phoneticPr fontId="2" type="noConversion"/>
  </si>
  <si>
    <t>1Y</t>
    <phoneticPr fontId="2" type="noConversion"/>
  </si>
  <si>
    <t>3Y</t>
    <phoneticPr fontId="2" type="noConversion"/>
  </si>
  <si>
    <t>5Y</t>
    <phoneticPr fontId="2" type="noConversion"/>
  </si>
  <si>
    <t>10Y</t>
    <phoneticPr fontId="2" type="noConversion"/>
  </si>
  <si>
    <t>Interest Rate Curve</t>
    <phoneticPr fontId="2" type="noConversion"/>
  </si>
  <si>
    <t>Tenor</t>
    <phoneticPr fontId="2" type="noConversion"/>
  </si>
  <si>
    <t>Sensitivity</t>
    <phoneticPr fontId="2" type="noConversion"/>
  </si>
  <si>
    <t>GIRR</t>
    <phoneticPr fontId="2" type="noConversion"/>
  </si>
  <si>
    <t>Currency pair</t>
    <phoneticPr fontId="2" type="noConversion"/>
  </si>
  <si>
    <t>Product Type</t>
    <phoneticPr fontId="2" type="noConversion"/>
  </si>
  <si>
    <t>Day Count Basis</t>
    <phoneticPr fontId="2" type="noConversion"/>
  </si>
  <si>
    <t>Product Code</t>
    <phoneticPr fontId="2" type="noConversion"/>
  </si>
  <si>
    <t>Trade ID</t>
    <phoneticPr fontId="2" type="noConversion"/>
  </si>
  <si>
    <t>***********</t>
    <phoneticPr fontId="2" type="noConversion"/>
  </si>
  <si>
    <t>Principal Amount</t>
    <phoneticPr fontId="2" type="noConversion"/>
  </si>
  <si>
    <t>IREUR-CRS</t>
    <phoneticPr fontId="2" type="noConversion"/>
  </si>
  <si>
    <t>EUR</t>
    <phoneticPr fontId="2" type="noConversion"/>
  </si>
  <si>
    <t>IRKRW-CRS</t>
    <phoneticPr fontId="2" type="noConversion"/>
  </si>
  <si>
    <t>Forward Rate(Contract Forward Rate)</t>
    <phoneticPr fontId="2" type="noConversion"/>
  </si>
  <si>
    <t>관리 코드(안)</t>
    <phoneticPr fontId="2" type="noConversion"/>
  </si>
  <si>
    <t>Lv.1</t>
    <phoneticPr fontId="2" type="noConversion"/>
  </si>
  <si>
    <t>Lv.2</t>
    <phoneticPr fontId="2" type="noConversion"/>
  </si>
  <si>
    <t>Lv.3</t>
    <phoneticPr fontId="2" type="noConversion"/>
  </si>
  <si>
    <r>
      <t xml:space="preserve"> - PV</t>
    </r>
    <r>
      <rPr>
        <vertAlign val="subscript"/>
        <sz val="11"/>
        <color theme="1"/>
        <rFont val="맑은 고딕"/>
        <family val="3"/>
        <charset val="129"/>
        <scheme val="minor"/>
      </rPr>
      <t xml:space="preserve">D </t>
    </r>
    <r>
      <rPr>
        <sz val="11"/>
        <color theme="1"/>
        <rFont val="맑은 고딕"/>
        <family val="2"/>
        <charset val="129"/>
        <scheme val="minor"/>
      </rPr>
      <t>= Notional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r>
      <rPr>
        <sz val="11"/>
        <color theme="1"/>
        <rFont val="맑은 고딕"/>
        <family val="2"/>
        <charset val="129"/>
        <scheme val="minor"/>
      </rPr>
      <t xml:space="preserve"> x SpotRate x DF</t>
    </r>
    <r>
      <rPr>
        <vertAlign val="subscript"/>
        <sz val="11"/>
        <color theme="1"/>
        <rFont val="맑은 고딕"/>
        <family val="3"/>
        <charset val="129"/>
        <scheme val="minor"/>
      </rPr>
      <t>(F,tn)</t>
    </r>
    <r>
      <rPr>
        <sz val="11"/>
        <color theme="1"/>
        <rFont val="맑은 고딕"/>
        <family val="2"/>
        <charset val="129"/>
        <scheme val="minor"/>
      </rPr>
      <t xml:space="preserve"> - Notional</t>
    </r>
    <r>
      <rPr>
        <vertAlign val="subscript"/>
        <sz val="11"/>
        <color theme="1"/>
        <rFont val="맑은 고딕"/>
        <family val="3"/>
        <charset val="129"/>
        <scheme val="minor"/>
      </rPr>
      <t>D</t>
    </r>
    <r>
      <rPr>
        <sz val="11"/>
        <color theme="1"/>
        <rFont val="맑은 고딕"/>
        <family val="2"/>
        <charset val="129"/>
        <scheme val="minor"/>
      </rPr>
      <t xml:space="preserve"> x DF</t>
    </r>
    <r>
      <rPr>
        <vertAlign val="subscript"/>
        <sz val="11"/>
        <color theme="1"/>
        <rFont val="맑은 고딕"/>
        <family val="3"/>
        <charset val="129"/>
        <scheme val="minor"/>
      </rPr>
      <t>(D,tn)</t>
    </r>
    <phoneticPr fontId="2" type="noConversion"/>
  </si>
  <si>
    <t>Net PV(in Domestic)</t>
    <phoneticPr fontId="2" type="noConversion"/>
  </si>
  <si>
    <t>IRKRW-CRS</t>
  </si>
  <si>
    <t>Discount Rate</t>
    <phoneticPr fontId="2" type="noConversion"/>
  </si>
  <si>
    <t>금리 커브 데이터 입수 Format</t>
    <phoneticPr fontId="2" type="noConversion"/>
  </si>
  <si>
    <t>Curve Setting 정보</t>
    <phoneticPr fontId="2" type="noConversion"/>
  </si>
  <si>
    <t xml:space="preserve"> - Day Count Basis 셋팅 필요</t>
    <phoneticPr fontId="2" type="noConversion"/>
  </si>
  <si>
    <t>D: Day/W: Week/M: Month/Y: Year</t>
    <phoneticPr fontId="2" type="noConversion"/>
  </si>
  <si>
    <t>Number</t>
    <phoneticPr fontId="2" type="noConversion"/>
  </si>
  <si>
    <t>O/N; 1D</t>
    <phoneticPr fontId="2" type="noConversion"/>
  </si>
  <si>
    <t>Percent</t>
    <phoneticPr fontId="2" type="noConversion"/>
  </si>
  <si>
    <t xml:space="preserve">Curve Sheet </t>
    <phoneticPr fontId="2" type="noConversion"/>
  </si>
  <si>
    <t>-</t>
    <phoneticPr fontId="2" type="noConversion"/>
  </si>
  <si>
    <t xml:space="preserve"> o Valuation - CashFlow</t>
    <phoneticPr fontId="2" type="noConversion"/>
  </si>
  <si>
    <t>IREUR-CRS</t>
  </si>
  <si>
    <t>M</t>
    <phoneticPr fontId="2" type="noConversion"/>
  </si>
  <si>
    <t>Y</t>
  </si>
  <si>
    <t>Y</t>
    <phoneticPr fontId="2" type="noConversion"/>
  </si>
  <si>
    <t>Market Average Rate</t>
    <phoneticPr fontId="2" type="noConversion"/>
  </si>
  <si>
    <t>FX</t>
    <phoneticPr fontId="2" type="noConversion"/>
  </si>
  <si>
    <t>3M</t>
  </si>
  <si>
    <t>6M</t>
  </si>
  <si>
    <t>1Y</t>
  </si>
  <si>
    <t>2Y</t>
  </si>
  <si>
    <t>3Y</t>
  </si>
  <si>
    <t>5Y</t>
  </si>
  <si>
    <t>10Y</t>
  </si>
  <si>
    <t>15Y</t>
  </si>
  <si>
    <t>20Y</t>
  </si>
  <si>
    <t>30Y</t>
  </si>
  <si>
    <t>Select Type   ▶</t>
    <phoneticPr fontId="2" type="noConversion"/>
  </si>
  <si>
    <t>6M</t>
    <phoneticPr fontId="2" type="noConversion"/>
  </si>
  <si>
    <t>Zero Rate</t>
    <phoneticPr fontId="2" type="noConversion"/>
  </si>
  <si>
    <t>KRW/EUR</t>
    <phoneticPr fontId="2" type="noConversion"/>
  </si>
  <si>
    <t>PV오차</t>
    <phoneticPr fontId="2" type="noConversion"/>
  </si>
  <si>
    <t>Sensitivity 오차</t>
    <phoneticPr fontId="2" type="noConversion"/>
  </si>
  <si>
    <t>□ Bond 상품 정의</t>
    <phoneticPr fontId="2" type="noConversion"/>
  </si>
  <si>
    <t xml:space="preserve"> - 채권은 중앙 정부, 지방 정부, 공기업, 금융 기관, 기타 법인 등이 정책 시행이나 사업 수행을 위해 자금을 조달하려고 돈을 빌렸으며 정해진 기한 후에 투자자에게 원금과 함께 이자를 상환하는 채무증서</t>
    <phoneticPr fontId="2" type="noConversion"/>
  </si>
  <si>
    <t>□ Bond 상품 평가</t>
    <phoneticPr fontId="2" type="noConversion"/>
  </si>
  <si>
    <t>-</t>
  </si>
  <si>
    <t>IREUR-CRS-Basis</t>
  </si>
  <si>
    <t>IRKRW-CRS-Basis</t>
  </si>
  <si>
    <t xml:space="preserve"> - 채권 발행 원금, 쿠폰금리, 이자지급주기 등을 고려하여 채권의 만기시점까지 발생하는 현금흐름을 산출</t>
    <phoneticPr fontId="2" type="noConversion"/>
  </si>
  <si>
    <t xml:space="preserve"> - 산출한 현금흐름을 할인계수를 적용하여 현재시점으로 할인하여 평가</t>
    <phoneticPr fontId="2" type="noConversion"/>
  </si>
  <si>
    <t>FI0101</t>
    <phoneticPr fontId="2" type="noConversion"/>
  </si>
  <si>
    <t>FI0201</t>
    <phoneticPr fontId="2" type="noConversion"/>
  </si>
  <si>
    <t>Issue Date</t>
    <phoneticPr fontId="2" type="noConversion"/>
  </si>
  <si>
    <t>ISIN</t>
    <phoneticPr fontId="2" type="noConversion"/>
  </si>
  <si>
    <t>Issuer</t>
    <phoneticPr fontId="2" type="noConversion"/>
  </si>
  <si>
    <t>Face Value</t>
    <phoneticPr fontId="2" type="noConversion"/>
  </si>
  <si>
    <t>Trade Price</t>
    <phoneticPr fontId="2" type="noConversion"/>
  </si>
  <si>
    <t>Coupon Rate</t>
    <phoneticPr fontId="2" type="noConversion"/>
  </si>
  <si>
    <t>Coupon</t>
    <phoneticPr fontId="2" type="noConversion"/>
  </si>
  <si>
    <t>KR0100000001</t>
    <phoneticPr fontId="2" type="noConversion"/>
  </si>
  <si>
    <t>Republic of Korea</t>
    <phoneticPr fontId="2" type="noConversion"/>
  </si>
  <si>
    <t>Net Present Value</t>
    <phoneticPr fontId="2" type="noConversion"/>
  </si>
  <si>
    <t>Duration</t>
    <phoneticPr fontId="2" type="noConversion"/>
  </si>
  <si>
    <t>Convexity</t>
    <phoneticPr fontId="2" type="noConversion"/>
  </si>
  <si>
    <t>Clean Price</t>
    <phoneticPr fontId="2" type="noConversion"/>
  </si>
  <si>
    <t>Dirty Price</t>
    <phoneticPr fontId="2" type="noConversion"/>
  </si>
  <si>
    <t>Yield to Maturity</t>
    <phoneticPr fontId="2" type="noConversion"/>
  </si>
  <si>
    <t>Acc. Interest</t>
    <phoneticPr fontId="2" type="noConversion"/>
  </si>
  <si>
    <t>Floating Reference Curve</t>
    <phoneticPr fontId="2" type="noConversion"/>
  </si>
  <si>
    <t>Sector *</t>
    <phoneticPr fontId="2" type="noConversion"/>
  </si>
  <si>
    <t>Credit Quality *</t>
    <phoneticPr fontId="2" type="noConversion"/>
  </si>
  <si>
    <t>CashFlow Date</t>
    <phoneticPr fontId="2" type="noConversion"/>
  </si>
  <si>
    <t>일자</t>
    <phoneticPr fontId="2" type="noConversion"/>
  </si>
  <si>
    <t>No</t>
    <phoneticPr fontId="2" type="noConversion"/>
  </si>
  <si>
    <t>Market Data 요청
 - 엑셀에 포함해서 주신 Market Data는 FRTB 산출을 위해 Zero Rate 산출한 Market Data입니다. 메일로 보내주신 커브 컨벤션에 보시면 Fast Zero, FRTBSA~~등을 보면 유추할 수 있고, 금리 커브를 3M 구간부터 Setting할 수는 없습니다.
 - 보내주신 상품별 금리커브를 다시 한번 확인 부탁드립니다.</t>
    <phoneticPr fontId="2" type="noConversion"/>
  </si>
  <si>
    <t>Sample Case 요청
 - 현재 FX Forward 한 건을 가지고 구현, 테스트를 진행했는데, PV는 10bp 이내로 결과값이 산출되었습니다. 다만, 민감도 부분은 오차가 좀 큰 상황입니다. 이 부분은 아마 금리 커브와 연관이 있을 것으로 예상이 되는데…. 해당 FX Forward 한 건 외에 추가적으로 2~3건 정도 더 부탁드립니다. 
 - FX Forward/FX Forward(NDF)/FX Swap 건으로 구분하여 상품을 찾아서 요청드립니다.</t>
    <phoneticPr fontId="2" type="noConversion"/>
  </si>
  <si>
    <t>확인</t>
    <phoneticPr fontId="2" type="noConversion"/>
  </si>
  <si>
    <t>Curve</t>
    <phoneticPr fontId="2" type="noConversion"/>
  </si>
  <si>
    <t>Mod. Duration</t>
    <phoneticPr fontId="2" type="noConversion"/>
  </si>
  <si>
    <t>Start Date</t>
    <phoneticPr fontId="2" type="noConversion"/>
  </si>
  <si>
    <t>End Date</t>
    <phoneticPr fontId="2" type="noConversion"/>
  </si>
  <si>
    <t>IRKRW-IRS</t>
    <phoneticPr fontId="2" type="noConversion"/>
  </si>
  <si>
    <t>Pricipal Amount</t>
    <phoneticPr fontId="2" type="noConversion"/>
  </si>
  <si>
    <t>hk</t>
    <phoneticPr fontId="2" type="noConversion"/>
  </si>
  <si>
    <t>Credit Spread Curve</t>
    <phoneticPr fontId="2" type="noConversion"/>
  </si>
  <si>
    <t>IRKRW-Treasury-CSR-NSEC-B1</t>
    <phoneticPr fontId="2" type="noConversion"/>
  </si>
  <si>
    <t>CSR-Nsec</t>
    <phoneticPr fontId="2" type="noConversion"/>
  </si>
  <si>
    <t>Payment Date</t>
    <phoneticPr fontId="2" type="noConversion"/>
  </si>
  <si>
    <t>NLY_Days</t>
    <phoneticPr fontId="2" type="noConversion"/>
  </si>
  <si>
    <t>LY_Days</t>
    <phoneticPr fontId="2" type="noConversion"/>
  </si>
  <si>
    <t>Coupon Frequency(M)</t>
    <phoneticPr fontId="2" type="noConversion"/>
  </si>
  <si>
    <t>Adjusted</t>
  </si>
  <si>
    <t>IRKRW-IRS</t>
  </si>
  <si>
    <t>1bp = 0.01%</t>
    <phoneticPr fontId="2" type="noConversion"/>
  </si>
  <si>
    <t>Mod.Following</t>
  </si>
  <si>
    <t>Net Present Value</t>
  </si>
  <si>
    <t>Coupon</t>
  </si>
  <si>
    <t>Coupon Day Count Basis</t>
    <phoneticPr fontId="2" type="noConversion"/>
  </si>
  <si>
    <t>Date</t>
    <phoneticPr fontId="2" type="noConversion"/>
  </si>
  <si>
    <t>Accrual Day Count Basis</t>
    <phoneticPr fontId="2" type="noConversion"/>
  </si>
  <si>
    <t>Act/Act</t>
  </si>
  <si>
    <t>Act/365</t>
  </si>
  <si>
    <t>IRUSD-RFR</t>
  </si>
  <si>
    <t>IRUSD-RFR</t>
    <phoneticPr fontId="2" type="noConversion"/>
  </si>
  <si>
    <t>USD</t>
    <phoneticPr fontId="2" type="noConversion"/>
  </si>
  <si>
    <t>MaRs</t>
    <phoneticPr fontId="2" type="noConversion"/>
  </si>
  <si>
    <t xml:space="preserve"> - Market Data</t>
    <phoneticPr fontId="2" type="noConversion"/>
  </si>
  <si>
    <t xml:space="preserve"> - 국가별 휴일 Data</t>
    <phoneticPr fontId="2" type="noConversion"/>
  </si>
  <si>
    <t xml:space="preserve"> - 상품별 거래정보</t>
    <phoneticPr fontId="2" type="noConversion"/>
  </si>
  <si>
    <t xml:space="preserve"> - Zero Curve 산출</t>
    <phoneticPr fontId="2" type="noConversion"/>
  </si>
  <si>
    <t xml:space="preserve"> - CashFlow 산출</t>
    <phoneticPr fontId="2" type="noConversion"/>
  </si>
  <si>
    <t xml:space="preserve"> - PV 산출</t>
    <phoneticPr fontId="2" type="noConversion"/>
  </si>
  <si>
    <t xml:space="preserve"> - 상품별 민감도 산출</t>
    <phoneticPr fontId="2" type="noConversion"/>
  </si>
  <si>
    <t xml:space="preserve"> - FRTB-SA 용 민감도 산출</t>
    <phoneticPr fontId="2" type="noConversion"/>
  </si>
  <si>
    <t xml:space="preserve"> - FRTB-SA 리스크량 산출</t>
    <phoneticPr fontId="2" type="noConversion"/>
  </si>
  <si>
    <t xml:space="preserve"> - 코드관리</t>
    <phoneticPr fontId="2" type="noConversion"/>
  </si>
  <si>
    <t xml:space="preserve"> - 상품별 리스크군 관리</t>
    <phoneticPr fontId="2" type="noConversion"/>
  </si>
  <si>
    <t xml:space="preserve"> - 상품별 커브 관리</t>
    <phoneticPr fontId="2" type="noConversion"/>
  </si>
  <si>
    <t xml:space="preserve"> - 커브 관리</t>
    <phoneticPr fontId="2" type="noConversion"/>
  </si>
  <si>
    <t xml:space="preserve"> - Hierarchy 관리</t>
    <phoneticPr fontId="2" type="noConversion"/>
  </si>
  <si>
    <t>조회 화면</t>
    <phoneticPr fontId="2" type="noConversion"/>
  </si>
  <si>
    <t>입수 필요 데이터</t>
    <phoneticPr fontId="2" type="noConversion"/>
  </si>
  <si>
    <t>산출 기능</t>
    <phoneticPr fontId="2" type="noConversion"/>
  </si>
  <si>
    <t>설정 정보 데이터</t>
    <phoneticPr fontId="2" type="noConversion"/>
  </si>
  <si>
    <t xml:space="preserve"> - 트레이딩계정 포지션 정보</t>
    <phoneticPr fontId="2" type="noConversion"/>
  </si>
  <si>
    <t xml:space="preserve"> - 간편법 산출</t>
    <phoneticPr fontId="2" type="noConversion"/>
  </si>
  <si>
    <t xml:space="preserve"> - VaR 산출</t>
    <phoneticPr fontId="2" type="noConversion"/>
  </si>
  <si>
    <t xml:space="preserve"> - BS 대사</t>
    <phoneticPr fontId="2" type="noConversion"/>
  </si>
  <si>
    <t xml:space="preserve"> - 포지션대사</t>
    <phoneticPr fontId="2" type="noConversion"/>
  </si>
  <si>
    <t xml:space="preserve"> - 시나리오 데이터</t>
    <phoneticPr fontId="2" type="noConversion"/>
  </si>
  <si>
    <t xml:space="preserve"> - 한도관리정보</t>
    <phoneticPr fontId="2" type="noConversion"/>
  </si>
  <si>
    <t xml:space="preserve"> - 정합성 점검 정보</t>
    <phoneticPr fontId="2" type="noConversion"/>
  </si>
  <si>
    <t xml:space="preserve"> - 계수관리</t>
    <phoneticPr fontId="2" type="noConversion"/>
  </si>
  <si>
    <t xml:space="preserve"> - 일자별 BS 정보</t>
    <phoneticPr fontId="2" type="noConversion"/>
  </si>
  <si>
    <t>상품코드</t>
    <phoneticPr fontId="2" type="noConversion"/>
  </si>
  <si>
    <t>상품코드명</t>
    <phoneticPr fontId="2" type="noConversion"/>
  </si>
  <si>
    <t>부서코드</t>
    <phoneticPr fontId="2" type="noConversion"/>
  </si>
  <si>
    <t>부서명</t>
    <phoneticPr fontId="2" type="noConversion"/>
  </si>
  <si>
    <t>포지션번호</t>
    <phoneticPr fontId="2" type="noConversion"/>
  </si>
  <si>
    <t>기준일자</t>
    <phoneticPr fontId="2" type="noConversion"/>
  </si>
  <si>
    <t>포지션명</t>
    <phoneticPr fontId="2" type="noConversion"/>
  </si>
  <si>
    <t>계정과목번호</t>
    <phoneticPr fontId="2" type="noConversion"/>
  </si>
  <si>
    <t>계정과목명</t>
    <phoneticPr fontId="2" type="noConversion"/>
  </si>
  <si>
    <t>장부가금액</t>
    <phoneticPr fontId="2" type="noConversion"/>
  </si>
  <si>
    <t>* 트레이딩계정 포지션 정보</t>
    <phoneticPr fontId="2" type="noConversion"/>
  </si>
  <si>
    <t>지점코드</t>
    <phoneticPr fontId="2" type="noConversion"/>
  </si>
  <si>
    <t>지점명</t>
    <phoneticPr fontId="2" type="noConversion"/>
  </si>
  <si>
    <t>데스크코드</t>
    <phoneticPr fontId="2" type="noConversion"/>
  </si>
  <si>
    <t>데스크명</t>
    <phoneticPr fontId="2" type="noConversion"/>
  </si>
  <si>
    <t>YYYYMMDD</t>
    <phoneticPr fontId="2" type="noConversion"/>
  </si>
  <si>
    <t>TBD</t>
    <phoneticPr fontId="2" type="noConversion"/>
  </si>
  <si>
    <t>Product Name</t>
    <phoneticPr fontId="2" type="noConversion"/>
  </si>
  <si>
    <t>Position ID</t>
    <phoneticPr fontId="2" type="noConversion"/>
  </si>
  <si>
    <t>Position Name</t>
    <phoneticPr fontId="2" type="noConversion"/>
  </si>
  <si>
    <t>Account Number</t>
    <phoneticPr fontId="2" type="noConversion"/>
  </si>
  <si>
    <t>Account Name</t>
    <phoneticPr fontId="2" type="noConversion"/>
  </si>
  <si>
    <t>Book Value</t>
    <phoneticPr fontId="2" type="noConversion"/>
  </si>
  <si>
    <t xml:space="preserve"> - 사전정합성 관리</t>
    <phoneticPr fontId="2" type="noConversion"/>
  </si>
  <si>
    <t>PK</t>
    <phoneticPr fontId="2" type="noConversion"/>
  </si>
  <si>
    <t>* 상품별 거래 정보</t>
    <phoneticPr fontId="2" type="noConversion"/>
  </si>
  <si>
    <t>Flat으로 모든 상품을 한 통에 담을지, 상품별 테이블을 별도 구성할 지 결정 필요</t>
    <phoneticPr fontId="2" type="noConversion"/>
  </si>
  <si>
    <t>Fixed Rate Bond PV, 민감도 산출 로직 구현 완료</t>
    <phoneticPr fontId="2" type="noConversion"/>
  </si>
  <si>
    <t>Floating Rate Note(변동금리채권)의 PV 산출을 위해 Forward Rate을 추정해야 하나, 현재 전달받은 금리 데이터로는 추정불가함. Market Raw Data가 필요함. 다만, 아이시스에 재차 Raw Data를 요청하였음에도 데이터가 없어 구현할 수 없음.</t>
    <phoneticPr fontId="2" type="noConversion"/>
  </si>
  <si>
    <t>□ Activity 상세</t>
    <phoneticPr fontId="2" type="noConversion"/>
  </si>
  <si>
    <t xml:space="preserve"> 1) Market Data</t>
    <phoneticPr fontId="2" type="noConversion"/>
  </si>
  <si>
    <t xml:space="preserve">   - 기준일자의 금리커브 데이터</t>
    <phoneticPr fontId="2" type="noConversion"/>
  </si>
  <si>
    <t xml:space="preserve">   - 기준일자의 환율데이터</t>
    <phoneticPr fontId="2" type="noConversion"/>
  </si>
  <si>
    <t xml:space="preserve">   - 기준일자의 신용스프레드 커브 데이터(관리하고 있는 경우)</t>
    <phoneticPr fontId="2" type="noConversion"/>
  </si>
  <si>
    <t xml:space="preserve"> 2) Position Data</t>
    <phoneticPr fontId="2" type="noConversion"/>
  </si>
  <si>
    <t xml:space="preserve">   - FX Forward</t>
    <phoneticPr fontId="2" type="noConversion"/>
  </si>
  <si>
    <t xml:space="preserve">   - FX Forward(NDF)</t>
    <phoneticPr fontId="2" type="noConversion"/>
  </si>
  <si>
    <t xml:space="preserve">   - FX Swap</t>
    <phoneticPr fontId="2" type="noConversion"/>
  </si>
  <si>
    <t xml:space="preserve">   - Bond(Straight Bond)</t>
    <phoneticPr fontId="2" type="noConversion"/>
  </si>
  <si>
    <t xml:space="preserve">   - Bond(FRN)</t>
    <phoneticPr fontId="2" type="noConversion"/>
  </si>
  <si>
    <t xml:space="preserve">   - IRS(Fixed/Floating)</t>
    <phoneticPr fontId="2" type="noConversion"/>
  </si>
  <si>
    <t xml:space="preserve">   - IRS(Floating/Floating)</t>
    <phoneticPr fontId="2" type="noConversion"/>
  </si>
  <si>
    <t xml:space="preserve">   - CRS(Fixed/Fixed)</t>
    <phoneticPr fontId="2" type="noConversion"/>
  </si>
  <si>
    <t xml:space="preserve">   - CRS(Fixed/Floating)</t>
    <phoneticPr fontId="2" type="noConversion"/>
  </si>
  <si>
    <t xml:space="preserve">   - CRS(Floating/Floating)</t>
    <phoneticPr fontId="2" type="noConversion"/>
  </si>
  <si>
    <t xml:space="preserve"> 3) Output Data</t>
    <phoneticPr fontId="2" type="noConversion"/>
  </si>
  <si>
    <t xml:space="preserve">   - Sample별 Pricing 산출값</t>
    <phoneticPr fontId="2" type="noConversion"/>
  </si>
  <si>
    <t xml:space="preserve"> 1) Sensitivity Data</t>
    <phoneticPr fontId="2" type="noConversion"/>
  </si>
  <si>
    <t xml:space="preserve">   - 각 상품의 Risk Factor별 Sensitivity 산출값</t>
    <phoneticPr fontId="2" type="noConversion"/>
  </si>
  <si>
    <t>Business Day Convention으로 일해 이자지급일자 등이 변경된 경우, 이자기산 기간도 동일하게 변경 적용하여 일수를 계산함</t>
    <phoneticPr fontId="2" type="noConversion"/>
  </si>
  <si>
    <t>Business Day Convention으로 일해 이자지급일자 등이 변경된 경우, 이자기산 기간은 변경하지 않고 일수를 계산함</t>
    <phoneticPr fontId="2" type="noConversion"/>
  </si>
  <si>
    <t>미반영</t>
    <phoneticPr fontId="2" type="noConversion"/>
  </si>
  <si>
    <t>Act/Act</t>
    <phoneticPr fontId="2" type="noConversion"/>
  </si>
  <si>
    <t>Act/365F</t>
  </si>
  <si>
    <t xml:space="preserve"> - 상품별 Discount Curve가 자동으로 셋팅되게 로직 구현 필요</t>
    <phoneticPr fontId="2" type="noConversion"/>
  </si>
  <si>
    <t>Fixed Rate Bond</t>
    <phoneticPr fontId="2" type="noConversion"/>
  </si>
  <si>
    <t>Bond-Fixed Rate Bond</t>
    <phoneticPr fontId="2" type="noConversion"/>
  </si>
  <si>
    <t>DF = e^(-rT)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</si>
</sst>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43" formatCode="_-* #,##0.00_-;\-* #,##0.00_-;_-* &quot;-&quot;??_-;_-@_-"/>
    <numFmt numFmtId="176" formatCode="mm&quot;월&quot;\ dd&quot;일&quot;"/>
    <numFmt numFmtId="177" formatCode="0.000%"/>
    <numFmt numFmtId="178" formatCode="_-* #,##0.00_-;\-* #,##0.00_-;_-* &quot;-&quot;_-;_-@_-"/>
    <numFmt numFmtId="179" formatCode="0.00000000"/>
    <numFmt numFmtId="180" formatCode="0.0000000"/>
    <numFmt numFmtId="181" formatCode="0.000000000"/>
    <numFmt numFmtId="182" formatCode="0_);[Red]\(0\)"/>
    <numFmt numFmtId="183" formatCode="_-* #,##0.00000000_-;\-* #,##0.00000000_-;_-* &quot;-&quot;_-;_-@_-"/>
    <numFmt numFmtId="184" formatCode="0.00000%"/>
    <numFmt numFmtId="185" formatCode="0.000000000_);[Red]\(0.000000000\)"/>
    <numFmt numFmtId="186" formatCode="_-* #,##0.000000000_-;\-* #,##0.000000000_-;_-* &quot;-&quot;??_-;_-@_-"/>
  </numFmts>
  <fonts count="9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4" borderId="0" xfId="0" applyFill="1">
      <alignment vertical="center"/>
    </xf>
    <xf numFmtId="0" fontId="0" fillId="2" borderId="1" xfId="0" applyFill="1" applyBorder="1">
      <alignment vertical="center"/>
    </xf>
    <xf numFmtId="0" fontId="3" fillId="2" borderId="0" xfId="0" applyFont="1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5" fillId="2" borderId="0" xfId="0" applyFont="1" applyFill="1">
      <alignment vertical="center"/>
    </xf>
    <xf numFmtId="0" fontId="0" fillId="2" borderId="2" xfId="0" applyFill="1" applyBorder="1">
      <alignment vertical="center"/>
    </xf>
    <xf numFmtId="14" fontId="0" fillId="2" borderId="2" xfId="0" applyNumberFormat="1" applyFill="1" applyBorder="1">
      <alignment vertical="center"/>
    </xf>
    <xf numFmtId="0" fontId="0" fillId="6" borderId="0" xfId="0" applyFill="1">
      <alignment vertical="center"/>
    </xf>
    <xf numFmtId="0" fontId="5" fillId="4" borderId="0" xfId="0" applyFont="1" applyFill="1">
      <alignment vertical="center"/>
    </xf>
    <xf numFmtId="0" fontId="6" fillId="4" borderId="0" xfId="0" applyFont="1" applyFill="1">
      <alignment vertical="center"/>
    </xf>
    <xf numFmtId="41" fontId="0" fillId="2" borderId="2" xfId="1" applyFont="1" applyFill="1" applyBorder="1">
      <alignment vertical="center"/>
    </xf>
    <xf numFmtId="0" fontId="0" fillId="2" borderId="2" xfId="0" applyNumberFormat="1" applyFill="1" applyBorder="1">
      <alignment vertical="center"/>
    </xf>
    <xf numFmtId="0" fontId="3" fillId="4" borderId="0" xfId="0" applyFont="1" applyFill="1">
      <alignment vertical="center"/>
    </xf>
    <xf numFmtId="0" fontId="0" fillId="7" borderId="2" xfId="0" applyFill="1" applyBorder="1">
      <alignment vertical="center"/>
    </xf>
    <xf numFmtId="0" fontId="0" fillId="4" borderId="2" xfId="0" applyFill="1" applyBorder="1" applyAlignment="1">
      <alignment horizontal="center" vertical="center"/>
    </xf>
    <xf numFmtId="41" fontId="0" fillId="2" borderId="2" xfId="1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2" xfId="0" applyFont="1" applyFill="1" applyBorder="1">
      <alignment vertical="center"/>
    </xf>
    <xf numFmtId="43" fontId="0" fillId="2" borderId="2" xfId="0" applyNumberFormat="1" applyFill="1" applyBorder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vertical="center"/>
    </xf>
    <xf numFmtId="43" fontId="0" fillId="2" borderId="0" xfId="0" applyNumberFormat="1" applyFill="1">
      <alignment vertical="center"/>
    </xf>
    <xf numFmtId="177" fontId="0" fillId="2" borderId="0" xfId="2" applyNumberFormat="1" applyFont="1" applyFill="1">
      <alignment vertical="center"/>
    </xf>
    <xf numFmtId="0" fontId="3" fillId="4" borderId="2" xfId="0" applyFont="1" applyFill="1" applyBorder="1" applyAlignment="1">
      <alignment horizontal="left" vertical="center"/>
    </xf>
    <xf numFmtId="178" fontId="0" fillId="2" borderId="2" xfId="1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8" borderId="0" xfId="0" applyFill="1">
      <alignment vertical="center"/>
    </xf>
    <xf numFmtId="0" fontId="0" fillId="3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0" fontId="0" fillId="4" borderId="2" xfId="0" applyFill="1" applyBorder="1">
      <alignment vertical="center"/>
    </xf>
    <xf numFmtId="180" fontId="0" fillId="2" borderId="2" xfId="0" applyNumberFormat="1" applyFill="1" applyBorder="1">
      <alignment vertical="center"/>
    </xf>
    <xf numFmtId="41" fontId="0" fillId="2" borderId="0" xfId="1" applyFont="1" applyFill="1">
      <alignment vertical="center"/>
    </xf>
    <xf numFmtId="0" fontId="3" fillId="7" borderId="0" xfId="0" applyFont="1" applyFill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41" fontId="0" fillId="2" borderId="0" xfId="1" applyFont="1" applyFill="1" applyBorder="1" applyAlignment="1">
      <alignment horizontal="center" vertical="center"/>
    </xf>
    <xf numFmtId="14" fontId="0" fillId="2" borderId="0" xfId="0" applyNumberFormat="1" applyFill="1" applyBorder="1">
      <alignment vertical="center"/>
    </xf>
    <xf numFmtId="0" fontId="0" fillId="2" borderId="0" xfId="0" applyNumberFormat="1" applyFill="1" applyBorder="1">
      <alignment vertical="center"/>
    </xf>
    <xf numFmtId="0" fontId="0" fillId="2" borderId="0" xfId="0" applyFill="1" applyBorder="1">
      <alignment vertical="center"/>
    </xf>
    <xf numFmtId="179" fontId="0" fillId="2" borderId="0" xfId="0" applyNumberFormat="1" applyFill="1" applyBorder="1">
      <alignment vertical="center"/>
    </xf>
    <xf numFmtId="43" fontId="0" fillId="2" borderId="0" xfId="0" applyNumberFormat="1" applyFill="1" applyBorder="1">
      <alignment vertical="center"/>
    </xf>
    <xf numFmtId="0" fontId="0" fillId="8" borderId="0" xfId="0" applyFill="1" applyBorder="1">
      <alignment vertical="center"/>
    </xf>
    <xf numFmtId="178" fontId="0" fillId="2" borderId="0" xfId="1" applyNumberFormat="1" applyFont="1" applyFill="1" applyBorder="1">
      <alignment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9" borderId="2" xfId="0" applyFill="1" applyBorder="1">
      <alignment vertical="center"/>
    </xf>
    <xf numFmtId="178" fontId="0" fillId="6" borderId="2" xfId="1" applyNumberFormat="1" applyFont="1" applyFill="1" applyBorder="1">
      <alignment vertical="center"/>
    </xf>
    <xf numFmtId="14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vertical="center" wrapText="1"/>
    </xf>
    <xf numFmtId="180" fontId="0" fillId="2" borderId="0" xfId="0" applyNumberFormat="1" applyFill="1">
      <alignment vertical="center"/>
    </xf>
    <xf numFmtId="0" fontId="0" fillId="7" borderId="6" xfId="0" applyFill="1" applyBorder="1" applyAlignment="1">
      <alignment vertical="center" wrapText="1"/>
    </xf>
    <xf numFmtId="0" fontId="0" fillId="7" borderId="2" xfId="0" applyFill="1" applyBorder="1" applyAlignment="1">
      <alignment vertical="center"/>
    </xf>
    <xf numFmtId="178" fontId="0" fillId="6" borderId="0" xfId="1" applyNumberFormat="1" applyFont="1" applyFill="1">
      <alignment vertical="center"/>
    </xf>
    <xf numFmtId="177" fontId="0" fillId="6" borderId="0" xfId="2" applyNumberFormat="1" applyFont="1" applyFill="1">
      <alignment vertical="center"/>
    </xf>
    <xf numFmtId="41" fontId="0" fillId="6" borderId="0" xfId="1" applyFont="1" applyFill="1">
      <alignment vertical="center"/>
    </xf>
    <xf numFmtId="178" fontId="0" fillId="6" borderId="0" xfId="0" applyNumberFormat="1" applyFill="1">
      <alignment vertical="center"/>
    </xf>
    <xf numFmtId="4" fontId="0" fillId="6" borderId="0" xfId="0" applyNumberFormat="1" applyFill="1">
      <alignment vertical="center"/>
    </xf>
    <xf numFmtId="181" fontId="0" fillId="2" borderId="2" xfId="0" applyNumberFormat="1" applyFill="1" applyBorder="1">
      <alignment vertical="center"/>
    </xf>
    <xf numFmtId="14" fontId="0" fillId="2" borderId="0" xfId="0" applyNumberFormat="1" applyFill="1" applyBorder="1" applyAlignment="1">
      <alignment horizontal="center" vertical="center"/>
    </xf>
    <xf numFmtId="14" fontId="0" fillId="2" borderId="0" xfId="1" applyNumberFormat="1" applyFont="1" applyFill="1" applyBorder="1" applyAlignment="1">
      <alignment horizontal="center" vertical="center"/>
    </xf>
    <xf numFmtId="182" fontId="0" fillId="2" borderId="0" xfId="0" applyNumberFormat="1" applyFill="1" applyBorder="1" applyAlignment="1">
      <alignment horizontal="center" vertical="center"/>
    </xf>
    <xf numFmtId="41" fontId="0" fillId="5" borderId="0" xfId="1" applyFont="1" applyFill="1">
      <alignment vertical="center"/>
    </xf>
    <xf numFmtId="41" fontId="0" fillId="4" borderId="0" xfId="1" applyFont="1" applyFill="1">
      <alignment vertical="center"/>
    </xf>
    <xf numFmtId="41" fontId="0" fillId="8" borderId="0" xfId="1" applyFont="1" applyFill="1">
      <alignment vertical="center"/>
    </xf>
    <xf numFmtId="41" fontId="3" fillId="4" borderId="2" xfId="1" applyFont="1" applyFill="1" applyBorder="1" applyAlignment="1">
      <alignment horizontal="center" vertical="center"/>
    </xf>
    <xf numFmtId="10" fontId="3" fillId="4" borderId="2" xfId="2" applyNumberFormat="1" applyFont="1" applyFill="1" applyBorder="1" applyAlignment="1">
      <alignment horizontal="center" vertical="center"/>
    </xf>
    <xf numFmtId="10" fontId="0" fillId="2" borderId="0" xfId="2" applyNumberFormat="1" applyFont="1" applyFill="1" applyBorder="1" applyAlignment="1">
      <alignment horizontal="center" vertical="center"/>
    </xf>
    <xf numFmtId="4" fontId="0" fillId="2" borderId="0" xfId="0" applyNumberFormat="1" applyFill="1" applyBorder="1">
      <alignment vertical="center"/>
    </xf>
    <xf numFmtId="41" fontId="0" fillId="6" borderId="2" xfId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0" fontId="0" fillId="5" borderId="0" xfId="2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 vertical="center"/>
    </xf>
    <xf numFmtId="10" fontId="0" fillId="2" borderId="0" xfId="2" applyNumberFormat="1" applyFont="1" applyFill="1" applyAlignment="1">
      <alignment horizontal="center" vertical="center"/>
    </xf>
    <xf numFmtId="10" fontId="0" fillId="8" borderId="0" xfId="2" applyNumberFormat="1" applyFont="1" applyFill="1" applyAlignment="1">
      <alignment horizontal="center" vertical="center"/>
    </xf>
    <xf numFmtId="178" fontId="0" fillId="2" borderId="0" xfId="1" applyNumberFormat="1" applyFont="1" applyFill="1">
      <alignment vertical="center"/>
    </xf>
    <xf numFmtId="183" fontId="0" fillId="5" borderId="0" xfId="0" applyNumberFormat="1" applyFill="1">
      <alignment vertical="center"/>
    </xf>
    <xf numFmtId="183" fontId="0" fillId="4" borderId="0" xfId="0" applyNumberFormat="1" applyFill="1">
      <alignment vertical="center"/>
    </xf>
    <xf numFmtId="183" fontId="0" fillId="2" borderId="0" xfId="0" applyNumberFormat="1" applyFill="1">
      <alignment vertical="center"/>
    </xf>
    <xf numFmtId="183" fontId="0" fillId="2" borderId="0" xfId="0" applyNumberFormat="1" applyFill="1" applyAlignment="1">
      <alignment horizontal="center" vertical="center"/>
    </xf>
    <xf numFmtId="183" fontId="0" fillId="8" borderId="0" xfId="0" applyNumberFormat="1" applyFill="1">
      <alignment vertical="center"/>
    </xf>
    <xf numFmtId="183" fontId="3" fillId="4" borderId="2" xfId="0" applyNumberFormat="1" applyFont="1" applyFill="1" applyBorder="1" applyAlignment="1">
      <alignment horizontal="center" vertical="center"/>
    </xf>
    <xf numFmtId="183" fontId="0" fillId="2" borderId="0" xfId="0" applyNumberFormat="1" applyFill="1" applyBorder="1">
      <alignment vertical="center"/>
    </xf>
    <xf numFmtId="183" fontId="0" fillId="2" borderId="0" xfId="1" applyNumberFormat="1" applyFont="1" applyFill="1">
      <alignment vertical="center"/>
    </xf>
    <xf numFmtId="183" fontId="0" fillId="2" borderId="0" xfId="2" applyNumberFormat="1" applyFont="1" applyFill="1">
      <alignment vertical="center"/>
    </xf>
    <xf numFmtId="178" fontId="0" fillId="5" borderId="0" xfId="1" applyNumberFormat="1" applyFont="1" applyFill="1">
      <alignment vertical="center"/>
    </xf>
    <xf numFmtId="178" fontId="0" fillId="4" borderId="0" xfId="1" applyNumberFormat="1" applyFont="1" applyFill="1">
      <alignment vertical="center"/>
    </xf>
    <xf numFmtId="178" fontId="0" fillId="8" borderId="0" xfId="1" applyNumberFormat="1" applyFont="1" applyFill="1">
      <alignment vertical="center"/>
    </xf>
    <xf numFmtId="178" fontId="3" fillId="4" borderId="6" xfId="1" applyNumberFormat="1" applyFont="1" applyFill="1" applyBorder="1" applyAlignment="1">
      <alignment horizontal="center" vertical="center"/>
    </xf>
    <xf numFmtId="184" fontId="0" fillId="2" borderId="0" xfId="2" applyNumberFormat="1" applyFont="1" applyFill="1">
      <alignment vertical="center"/>
    </xf>
    <xf numFmtId="185" fontId="0" fillId="2" borderId="0" xfId="0" applyNumberFormat="1" applyFill="1" applyAlignment="1">
      <alignment horizontal="right" vertical="center"/>
    </xf>
    <xf numFmtId="4" fontId="0" fillId="2" borderId="0" xfId="0" applyNumberFormat="1" applyFill="1">
      <alignment vertical="center"/>
    </xf>
    <xf numFmtId="186" fontId="0" fillId="2" borderId="0" xfId="0" applyNumberFormat="1" applyFill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0" xfId="0" applyFill="1" applyBorder="1">
      <alignment vertical="center"/>
    </xf>
    <xf numFmtId="0" fontId="0" fillId="0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>
      <alignment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3" fillId="3" borderId="1" xfId="0" applyFont="1" applyFill="1" applyBorder="1" applyAlignment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176" fontId="5" fillId="7" borderId="0" xfId="0" quotePrefix="1" applyNumberFormat="1" applyFont="1" applyFill="1">
      <alignment vertical="center"/>
    </xf>
    <xf numFmtId="0" fontId="0" fillId="7" borderId="6" xfId="0" applyFill="1" applyBorder="1" applyAlignment="1">
      <alignment horizontal="left" vertical="center"/>
    </xf>
    <xf numFmtId="0" fontId="0" fillId="7" borderId="7" xfId="0" applyFill="1" applyBorder="1" applyAlignment="1">
      <alignment horizontal="left" vertical="center"/>
    </xf>
    <xf numFmtId="0" fontId="0" fillId="7" borderId="6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/>
    </xf>
    <xf numFmtId="10" fontId="0" fillId="10" borderId="2" xfId="2" applyNumberFormat="1" applyFont="1" applyFill="1" applyBorder="1" applyAlignment="1">
      <alignment horizontal="right" vertical="center"/>
    </xf>
    <xf numFmtId="41" fontId="0" fillId="10" borderId="2" xfId="1" applyFont="1" applyFill="1" applyBorder="1" applyAlignment="1">
      <alignment horizontal="center" vertical="center"/>
    </xf>
    <xf numFmtId="41" fontId="0" fillId="10" borderId="2" xfId="1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14" fontId="0" fillId="10" borderId="2" xfId="1" applyNumberFormat="1" applyFont="1" applyFill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Bond_Fixed" textlink="">
      <xdr:nvSpPr>
        <xdr:cNvPr id="3" name="직사각형 2">
          <a:extLst>
            <a:ext uri="{FF2B5EF4-FFF2-40B4-BE49-F238E27FC236}">
              <a16:creationId xmlns:a16="http://schemas.microsoft.com/office/drawing/2014/main" xmlns="" id="{E3180C95-CD6A-480B-82E7-F577C9BABCF5}"/>
            </a:ext>
          </a:extLst>
        </xdr:cNvPr>
        <xdr:cNvSpPr/>
      </xdr:nvSpPr>
      <xdr:spPr>
        <a:xfrm>
          <a:off x="3361223" y="2311619"/>
          <a:ext cx="1260747" cy="20955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84623</xdr:colOff>
      <xdr:row>11</xdr:row>
      <xdr:rowOff>6569</xdr:rowOff>
    </xdr:from>
    <xdr:to>
      <xdr:col>4</xdr:col>
      <xdr:colOff>2345</xdr:colOff>
      <xdr:row>12</xdr:row>
      <xdr:rowOff>6569</xdr:rowOff>
    </xdr:to>
    <xdr:sp macro="[0]!FXF" textlink="">
      <xdr:nvSpPr>
        <xdr:cNvPr id="2" name="직사각형 1">
          <a:extLst>
            <a:ext uri="{FF2B5EF4-FFF2-40B4-BE49-F238E27FC236}">
              <a16:creationId xmlns:a16="http://schemas.microsoft.com/office/drawing/2014/main" xmlns="" id="{84BE7BCD-A610-C9E3-E668-07AD59CA7B93}"/>
            </a:ext>
          </a:extLst>
        </xdr:cNvPr>
        <xdr:cNvSpPr/>
      </xdr:nvSpPr>
      <xdr:spPr>
        <a:xfrm>
          <a:off x="3362537" y="2318845"/>
          <a:ext cx="1257791" cy="21020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</a:rPr>
            <a:t>Calculate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78"/>
  <sheetViews>
    <sheetView tabSelected="1" zoomScale="70" zoomScaleNormal="70" workbookViewId="0">
      <pane ySplit="14" topLeftCell="A15" activePane="bottomLeft" state="frozen"/>
      <selection pane="bottomLeft" activeCell="H36" sqref="H36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6" width="20.625" style="1" customWidth="1"/>
    <col min="7" max="9" width="15.625" style="21" customWidth="1"/>
    <col min="10" max="11" width="10.625" style="21" customWidth="1"/>
    <col min="12" max="12" width="20.625" style="38" customWidth="1"/>
    <col min="13" max="13" width="15.625" style="82" customWidth="1"/>
    <col min="14" max="14" width="15.625" style="38" customWidth="1"/>
    <col min="15" max="15" width="15.625" style="21" customWidth="1"/>
    <col min="16" max="16" width="20.625" style="21" customWidth="1"/>
    <col min="17" max="18" width="15.625" style="87" customWidth="1"/>
    <col min="19" max="19" width="20.625" style="84" customWidth="1"/>
    <col min="20" max="20" width="20.625" style="1" customWidth="1"/>
    <col min="21" max="21" width="5.625" style="1" customWidth="1"/>
    <col min="22" max="24" width="20.625" style="1" customWidth="1"/>
    <col min="25" max="25" width="5.625" style="1" customWidth="1"/>
    <col min="26" max="28" width="20.625" style="1" customWidth="1"/>
    <col min="29" max="29" width="5.625" style="1" customWidth="1"/>
    <col min="30" max="32" width="20.625" style="1" customWidth="1"/>
    <col min="33" max="33" width="5.625" style="1" customWidth="1"/>
    <col min="34" max="16384" width="9" style="1"/>
  </cols>
  <sheetData>
    <row r="1" spans="2:29" s="3" customFormat="1">
      <c r="G1" s="49"/>
      <c r="H1" s="49"/>
      <c r="I1" s="49"/>
      <c r="J1" s="49"/>
      <c r="K1" s="49"/>
      <c r="L1" s="71"/>
      <c r="M1" s="80"/>
      <c r="N1" s="71" t="s">
        <v>221</v>
      </c>
      <c r="O1" s="49"/>
      <c r="P1" s="49"/>
      <c r="Q1" s="85"/>
      <c r="R1" s="85"/>
      <c r="S1" s="94"/>
    </row>
    <row r="2" spans="2:29" s="4" customFormat="1">
      <c r="G2" s="50"/>
      <c r="H2" s="50"/>
      <c r="I2" s="50"/>
      <c r="J2" s="50"/>
      <c r="K2" s="50"/>
      <c r="L2" s="72"/>
      <c r="M2" s="81"/>
      <c r="N2" s="72"/>
      <c r="O2" s="50"/>
      <c r="P2" s="50"/>
      <c r="Q2" s="86"/>
      <c r="R2" s="86"/>
      <c r="S2" s="95"/>
    </row>
    <row r="3" spans="2:29" ht="16.5" customHeight="1"/>
    <row r="4" spans="2:29" ht="16.5" customHeight="1">
      <c r="B4" s="6" t="s">
        <v>180</v>
      </c>
      <c r="C4" s="6"/>
    </row>
    <row r="5" spans="2:29" ht="16.5" customHeight="1">
      <c r="B5" s="1" t="s">
        <v>181</v>
      </c>
    </row>
    <row r="6" spans="2:29" ht="16.5" customHeight="1"/>
    <row r="7" spans="2:29" ht="16.5" customHeight="1">
      <c r="B7" s="6" t="s">
        <v>182</v>
      </c>
    </row>
    <row r="8" spans="2:29" ht="16.5" customHeight="1">
      <c r="B8" s="1" t="s">
        <v>186</v>
      </c>
      <c r="C8" s="6"/>
    </row>
    <row r="9" spans="2:29" ht="16.5" customHeight="1">
      <c r="B9" s="1" t="s">
        <v>187</v>
      </c>
      <c r="L9" s="38" t="s">
        <v>231</v>
      </c>
    </row>
    <row r="10" spans="2:29" ht="16.5" customHeight="1"/>
    <row r="11" spans="2:29" ht="16.5" customHeight="1"/>
    <row r="12" spans="2:29" ht="16.5" customHeight="1">
      <c r="B12" s="34" t="s">
        <v>174</v>
      </c>
      <c r="C12" s="35" t="s">
        <v>233</v>
      </c>
      <c r="F12" s="55" t="s">
        <v>199</v>
      </c>
      <c r="G12" s="78">
        <v>3118964.8285085866</v>
      </c>
      <c r="J12" s="1"/>
      <c r="K12" s="1"/>
      <c r="L12" s="1"/>
      <c r="M12" s="21"/>
      <c r="O12" s="1"/>
      <c r="Q12" s="88"/>
      <c r="R12" s="88"/>
    </row>
    <row r="13" spans="2:29" ht="16.5" customHeight="1"/>
    <row r="14" spans="2:29" s="33" customFormat="1" ht="8.1" customHeight="1">
      <c r="G14" s="51"/>
      <c r="H14" s="51"/>
      <c r="I14" s="51"/>
      <c r="J14" s="51"/>
      <c r="K14" s="51"/>
      <c r="L14" s="73"/>
      <c r="M14" s="83"/>
      <c r="N14" s="73"/>
      <c r="O14" s="51"/>
      <c r="P14" s="51"/>
      <c r="Q14" s="89"/>
      <c r="R14" s="89"/>
      <c r="S14" s="96"/>
    </row>
    <row r="16" spans="2:29">
      <c r="B16" s="16" t="s">
        <v>111</v>
      </c>
      <c r="C16" s="16"/>
      <c r="D16" s="4"/>
      <c r="F16" s="16" t="s">
        <v>157</v>
      </c>
      <c r="G16" s="50"/>
      <c r="H16" s="50"/>
      <c r="V16" s="16" t="s">
        <v>120</v>
      </c>
      <c r="W16" s="4"/>
      <c r="X16" s="4"/>
      <c r="AC16" s="26"/>
    </row>
    <row r="17" spans="1:32">
      <c r="V17" s="6" t="s">
        <v>128</v>
      </c>
      <c r="Z17" s="6" t="s">
        <v>224</v>
      </c>
      <c r="AD17" s="6" t="s">
        <v>163</v>
      </c>
    </row>
    <row r="18" spans="1:32">
      <c r="A18" s="1">
        <v>1</v>
      </c>
      <c r="B18" s="124" t="s">
        <v>130</v>
      </c>
      <c r="C18" s="125"/>
      <c r="D18" s="57" t="s">
        <v>328</v>
      </c>
      <c r="F18" s="30"/>
      <c r="G18" s="24" t="s">
        <v>217</v>
      </c>
      <c r="H18" s="24" t="s">
        <v>218</v>
      </c>
      <c r="I18" s="24" t="s">
        <v>225</v>
      </c>
      <c r="J18" s="24" t="s">
        <v>226</v>
      </c>
      <c r="K18" s="24" t="s">
        <v>227</v>
      </c>
      <c r="L18" s="74" t="s">
        <v>220</v>
      </c>
      <c r="M18" s="75" t="s">
        <v>195</v>
      </c>
      <c r="N18" s="74" t="s">
        <v>196</v>
      </c>
      <c r="O18" s="24" t="s">
        <v>114</v>
      </c>
      <c r="P18" s="24" t="s">
        <v>101</v>
      </c>
      <c r="Q18" s="90" t="s">
        <v>147</v>
      </c>
      <c r="R18" s="90" t="s">
        <v>112</v>
      </c>
      <c r="S18" s="97" t="s">
        <v>113</v>
      </c>
      <c r="T18" s="24" t="s">
        <v>145</v>
      </c>
      <c r="V18" s="28" t="s">
        <v>125</v>
      </c>
      <c r="W18" s="28" t="s">
        <v>126</v>
      </c>
      <c r="X18" s="28" t="s">
        <v>127</v>
      </c>
      <c r="Z18" s="28" t="s">
        <v>125</v>
      </c>
      <c r="AA18" s="28" t="s">
        <v>126</v>
      </c>
      <c r="AB18" s="28" t="s">
        <v>127</v>
      </c>
      <c r="AD18" s="25" t="s">
        <v>129</v>
      </c>
      <c r="AE18" s="22" t="s">
        <v>110</v>
      </c>
      <c r="AF18" s="22" t="s">
        <v>127</v>
      </c>
    </row>
    <row r="19" spans="1:32">
      <c r="A19" s="1">
        <v>2</v>
      </c>
      <c r="B19" s="124" t="s">
        <v>132</v>
      </c>
      <c r="C19" s="125"/>
      <c r="D19" s="57" t="s">
        <v>188</v>
      </c>
      <c r="E19" s="1">
        <v>1</v>
      </c>
      <c r="F19" s="39" t="s">
        <v>234</v>
      </c>
      <c r="G19" s="68">
        <v>45504</v>
      </c>
      <c r="H19" s="69">
        <v>45688</v>
      </c>
      <c r="I19" s="69">
        <v>45688</v>
      </c>
      <c r="J19" s="70">
        <v>31</v>
      </c>
      <c r="K19" s="40">
        <v>153</v>
      </c>
      <c r="L19" s="41">
        <v>3000000</v>
      </c>
      <c r="M19" s="76">
        <v>5.5E-2</v>
      </c>
      <c r="N19" s="41">
        <v>82989.108466202568</v>
      </c>
      <c r="O19" s="40">
        <v>8.4931506849315067E-2</v>
      </c>
      <c r="P19" s="40" t="s">
        <v>240</v>
      </c>
      <c r="Q19" s="91">
        <v>3.560209991369863</v>
      </c>
      <c r="R19" s="91">
        <v>0.99698082690490475</v>
      </c>
      <c r="S19" s="48">
        <v>82738.549982735465</v>
      </c>
      <c r="T19" s="23">
        <f>SUM(S:S)*D24</f>
        <v>3118964.8285085866</v>
      </c>
      <c r="U19" s="1">
        <v>1</v>
      </c>
      <c r="V19" s="44" t="s">
        <v>230</v>
      </c>
      <c r="W19" s="44" t="s">
        <v>164</v>
      </c>
      <c r="X19" s="48">
        <v>-5570708409.0042114</v>
      </c>
      <c r="Y19" s="1">
        <v>1</v>
      </c>
      <c r="Z19" s="44" t="s">
        <v>136</v>
      </c>
      <c r="AA19" s="44" t="s">
        <v>175</v>
      </c>
      <c r="AB19" s="48">
        <v>0</v>
      </c>
      <c r="AD19" s="9"/>
      <c r="AE19" s="23"/>
      <c r="AF19" s="23"/>
    </row>
    <row r="20" spans="1:32">
      <c r="A20" s="1">
        <v>3</v>
      </c>
      <c r="B20" s="124" t="s">
        <v>133</v>
      </c>
      <c r="C20" s="125"/>
      <c r="D20" s="57" t="s">
        <v>134</v>
      </c>
      <c r="E20" s="1">
        <v>2</v>
      </c>
      <c r="F20" s="39" t="s">
        <v>234</v>
      </c>
      <c r="G20" s="68">
        <v>45688</v>
      </c>
      <c r="H20" s="69">
        <v>45869</v>
      </c>
      <c r="I20" s="69">
        <v>45869</v>
      </c>
      <c r="J20" s="70">
        <v>181</v>
      </c>
      <c r="K20" s="40">
        <v>0</v>
      </c>
      <c r="L20" s="41">
        <v>3000000</v>
      </c>
      <c r="M20" s="76">
        <v>5.5E-2</v>
      </c>
      <c r="N20" s="41">
        <v>81821.917808219179</v>
      </c>
      <c r="O20" s="40">
        <v>0.58082191780821912</v>
      </c>
      <c r="P20" s="40" t="s">
        <v>240</v>
      </c>
      <c r="Q20" s="91">
        <v>5.5017562744657535</v>
      </c>
      <c r="R20" s="91">
        <v>0.96854977232788431</v>
      </c>
      <c r="S20" s="48">
        <v>79248.599864581542</v>
      </c>
      <c r="T20" s="44"/>
      <c r="U20" s="1">
        <v>2</v>
      </c>
      <c r="V20" s="44" t="s">
        <v>230</v>
      </c>
      <c r="W20" s="44" t="s">
        <v>165</v>
      </c>
      <c r="X20" s="48">
        <v>-5639936561.9277954</v>
      </c>
      <c r="Y20" s="1">
        <v>2</v>
      </c>
      <c r="Z20" s="44" t="s">
        <v>136</v>
      </c>
      <c r="AA20" s="44" t="s">
        <v>121</v>
      </c>
      <c r="AB20" s="48">
        <v>0</v>
      </c>
    </row>
    <row r="21" spans="1:32">
      <c r="A21" s="1">
        <v>4</v>
      </c>
      <c r="B21" s="124" t="s">
        <v>191</v>
      </c>
      <c r="C21" s="125"/>
      <c r="D21" s="57" t="s">
        <v>197</v>
      </c>
      <c r="E21" s="1">
        <v>3</v>
      </c>
      <c r="F21" s="39" t="s">
        <v>234</v>
      </c>
      <c r="G21" s="68">
        <v>45869</v>
      </c>
      <c r="H21" s="69">
        <v>46052</v>
      </c>
      <c r="I21" s="69">
        <v>46052</v>
      </c>
      <c r="J21" s="70">
        <v>183</v>
      </c>
      <c r="K21" s="40">
        <v>0</v>
      </c>
      <c r="L21" s="41">
        <v>3000000</v>
      </c>
      <c r="M21" s="76">
        <v>5.5E-2</v>
      </c>
      <c r="N21" s="41">
        <v>82726.027397260288</v>
      </c>
      <c r="O21" s="40">
        <v>1.0821917808219179</v>
      </c>
      <c r="P21" s="40" t="s">
        <v>240</v>
      </c>
      <c r="Q21" s="91">
        <v>5.286733610684931</v>
      </c>
      <c r="R21" s="91">
        <v>0.94439327321574695</v>
      </c>
      <c r="S21" s="48">
        <v>78125.903793834208</v>
      </c>
      <c r="T21" s="44"/>
      <c r="U21" s="1">
        <v>3</v>
      </c>
      <c r="V21" s="44" t="s">
        <v>230</v>
      </c>
      <c r="W21" s="44" t="s">
        <v>166</v>
      </c>
      <c r="X21" s="48">
        <v>-6279008833.6181641</v>
      </c>
      <c r="Y21" s="1">
        <v>3</v>
      </c>
      <c r="Z21" s="44" t="s">
        <v>136</v>
      </c>
      <c r="AA21" s="44" t="s">
        <v>122</v>
      </c>
      <c r="AB21" s="48">
        <v>-5553985472.240448</v>
      </c>
    </row>
    <row r="22" spans="1:32">
      <c r="A22" s="1">
        <v>5</v>
      </c>
      <c r="B22" s="124" t="s">
        <v>192</v>
      </c>
      <c r="C22" s="125"/>
      <c r="D22" s="57" t="s">
        <v>198</v>
      </c>
      <c r="E22" s="1">
        <v>4</v>
      </c>
      <c r="F22" s="39" t="s">
        <v>234</v>
      </c>
      <c r="G22" s="68">
        <v>46052</v>
      </c>
      <c r="H22" s="69">
        <v>46234</v>
      </c>
      <c r="I22" s="69">
        <v>46234</v>
      </c>
      <c r="J22" s="70">
        <v>182</v>
      </c>
      <c r="K22" s="40">
        <v>0</v>
      </c>
      <c r="L22" s="41">
        <v>3000000</v>
      </c>
      <c r="M22" s="76">
        <v>5.5E-2</v>
      </c>
      <c r="N22" s="41">
        <v>82273.972602739726</v>
      </c>
      <c r="O22" s="40">
        <v>1.5808219178082192</v>
      </c>
      <c r="P22" s="40" t="s">
        <v>240</v>
      </c>
      <c r="Q22" s="91">
        <v>4.6089052515068492</v>
      </c>
      <c r="R22" s="91">
        <v>0.92973229939286162</v>
      </c>
      <c r="S22" s="48">
        <v>76492.769728130501</v>
      </c>
      <c r="T22" s="77">
        <v>5536062000</v>
      </c>
      <c r="U22" s="1">
        <v>4</v>
      </c>
      <c r="V22" s="44" t="s">
        <v>230</v>
      </c>
      <c r="W22" s="44" t="s">
        <v>167</v>
      </c>
      <c r="X22" s="48">
        <v>-7287929340.5914307</v>
      </c>
      <c r="Y22" s="1">
        <v>4</v>
      </c>
      <c r="Z22" s="44" t="s">
        <v>136</v>
      </c>
      <c r="AA22" s="44" t="s">
        <v>123</v>
      </c>
      <c r="AB22" s="48">
        <v>-3541216554.441452</v>
      </c>
    </row>
    <row r="23" spans="1:32">
      <c r="A23" s="1">
        <v>6</v>
      </c>
      <c r="B23" s="124" t="s">
        <v>104</v>
      </c>
      <c r="C23" s="125"/>
      <c r="D23" s="57" t="s">
        <v>242</v>
      </c>
      <c r="E23" s="1">
        <v>5</v>
      </c>
      <c r="F23" s="39" t="s">
        <v>234</v>
      </c>
      <c r="G23" s="68">
        <v>46234</v>
      </c>
      <c r="H23" s="69">
        <v>46416</v>
      </c>
      <c r="I23" s="69">
        <v>46416</v>
      </c>
      <c r="J23" s="70">
        <v>182</v>
      </c>
      <c r="K23" s="40">
        <v>0</v>
      </c>
      <c r="L23" s="41">
        <v>3000000</v>
      </c>
      <c r="M23" s="76">
        <v>5.5E-2</v>
      </c>
      <c r="N23" s="41">
        <v>82273.972602739726</v>
      </c>
      <c r="O23" s="40">
        <v>2.0794520547945203</v>
      </c>
      <c r="P23" s="40" t="s">
        <v>240</v>
      </c>
      <c r="Q23" s="91">
        <v>4.1370867498904111</v>
      </c>
      <c r="R23" s="91">
        <v>0.91756786413489633</v>
      </c>
      <c r="S23" s="48">
        <v>75491.953314988874</v>
      </c>
      <c r="T23" s="26">
        <f>T19-T22</f>
        <v>-5532943035.1714916</v>
      </c>
      <c r="U23" s="1">
        <v>5</v>
      </c>
      <c r="V23" s="44" t="s">
        <v>230</v>
      </c>
      <c r="W23" s="44" t="s">
        <v>168</v>
      </c>
      <c r="X23" s="48">
        <v>-9846924914.9703979</v>
      </c>
      <c r="Y23" s="1">
        <v>5</v>
      </c>
      <c r="Z23" s="44" t="s">
        <v>136</v>
      </c>
      <c r="AA23" s="44" t="s">
        <v>124</v>
      </c>
      <c r="AB23" s="48">
        <v>0</v>
      </c>
    </row>
    <row r="24" spans="1:32">
      <c r="A24" s="1">
        <v>7</v>
      </c>
      <c r="B24" s="124" t="s">
        <v>110</v>
      </c>
      <c r="C24" s="125"/>
      <c r="D24" s="29">
        <v>1</v>
      </c>
      <c r="E24" s="1">
        <v>6</v>
      </c>
      <c r="F24" s="39" t="s">
        <v>234</v>
      </c>
      <c r="G24" s="68">
        <v>46416</v>
      </c>
      <c r="H24" s="69">
        <v>46598</v>
      </c>
      <c r="I24" s="69">
        <v>46598</v>
      </c>
      <c r="J24" s="70">
        <v>182</v>
      </c>
      <c r="K24" s="40">
        <v>0</v>
      </c>
      <c r="L24" s="41">
        <v>3000000</v>
      </c>
      <c r="M24" s="76">
        <v>5.5E-2</v>
      </c>
      <c r="N24" s="41">
        <v>82273.972602739726</v>
      </c>
      <c r="O24" s="40">
        <v>2.5780821917808221</v>
      </c>
      <c r="P24" s="40" t="s">
        <v>240</v>
      </c>
      <c r="Q24" s="91">
        <v>4.7521478416164378</v>
      </c>
      <c r="R24" s="91">
        <v>0.88469327388236341</v>
      </c>
      <c r="S24" s="48">
        <v>2726867.0518243159</v>
      </c>
      <c r="T24" s="98">
        <f>T23/T19</f>
        <v>-1773.9677551340683</v>
      </c>
      <c r="U24" s="1">
        <v>6</v>
      </c>
      <c r="V24" s="44" t="s">
        <v>230</v>
      </c>
      <c r="W24" s="44" t="s">
        <v>169</v>
      </c>
      <c r="X24" s="48">
        <v>-22269770475.082397</v>
      </c>
      <c r="Z24" s="44"/>
      <c r="AA24" s="44"/>
      <c r="AB24" s="48"/>
    </row>
    <row r="25" spans="1:32">
      <c r="A25" s="1">
        <v>8</v>
      </c>
      <c r="B25" s="124" t="s">
        <v>193</v>
      </c>
      <c r="C25" s="125"/>
      <c r="D25" s="134">
        <v>3000000</v>
      </c>
      <c r="E25" s="1">
        <v>7</v>
      </c>
      <c r="F25" s="39" t="s">
        <v>234</v>
      </c>
      <c r="G25" s="68">
        <v>46598</v>
      </c>
      <c r="H25" s="69">
        <v>46783</v>
      </c>
      <c r="I25" s="69">
        <v>46783</v>
      </c>
      <c r="J25" s="70">
        <v>154</v>
      </c>
      <c r="K25" s="40">
        <v>31</v>
      </c>
      <c r="L25" s="41">
        <v>3000000</v>
      </c>
      <c r="M25" s="76">
        <v>5.5E-2</v>
      </c>
      <c r="N25" s="41">
        <v>83591.848192229969</v>
      </c>
      <c r="O25" s="40">
        <v>3.0849315068493151</v>
      </c>
      <c r="P25" s="40" t="s">
        <v>240</v>
      </c>
      <c r="Q25" s="91"/>
      <c r="R25" s="91"/>
      <c r="S25" s="48"/>
      <c r="U25" s="1">
        <v>7</v>
      </c>
      <c r="V25" s="44" t="s">
        <v>230</v>
      </c>
      <c r="W25" s="44" t="s">
        <v>170</v>
      </c>
      <c r="X25" s="48">
        <v>-40641222928.619385</v>
      </c>
      <c r="Z25" s="44"/>
      <c r="AA25" s="44"/>
      <c r="AB25" s="48"/>
    </row>
    <row r="26" spans="1:32">
      <c r="A26" s="1">
        <v>9</v>
      </c>
      <c r="B26" s="124" t="s">
        <v>194</v>
      </c>
      <c r="C26" s="125"/>
      <c r="D26" s="29"/>
      <c r="E26" s="1">
        <v>8</v>
      </c>
      <c r="F26" s="39"/>
      <c r="G26" s="68"/>
      <c r="H26" s="69"/>
      <c r="I26" s="69"/>
      <c r="J26" s="70"/>
      <c r="K26" s="40"/>
      <c r="L26" s="41"/>
      <c r="M26" s="76"/>
      <c r="N26" s="41"/>
      <c r="O26" s="40"/>
      <c r="P26" s="40"/>
      <c r="Q26" s="91"/>
      <c r="R26" s="91"/>
      <c r="S26" s="48"/>
      <c r="T26" s="100">
        <v>32738700000</v>
      </c>
      <c r="U26" s="1">
        <v>8</v>
      </c>
      <c r="V26" s="44" t="s">
        <v>230</v>
      </c>
      <c r="W26" s="44" t="s">
        <v>171</v>
      </c>
      <c r="X26" s="48">
        <v>-51602577504.692078</v>
      </c>
      <c r="Z26" s="44"/>
      <c r="AA26" s="44"/>
      <c r="AB26" s="48"/>
    </row>
    <row r="27" spans="1:32">
      <c r="A27" s="1">
        <v>10</v>
      </c>
      <c r="B27" s="131" t="s">
        <v>236</v>
      </c>
      <c r="C27" s="61" t="s">
        <v>190</v>
      </c>
      <c r="D27" s="136">
        <v>45504</v>
      </c>
      <c r="E27" s="1">
        <v>9</v>
      </c>
      <c r="F27" s="39"/>
      <c r="G27" s="68"/>
      <c r="H27" s="69"/>
      <c r="I27" s="69"/>
      <c r="J27" s="70"/>
      <c r="K27" s="40"/>
      <c r="L27" s="41"/>
      <c r="M27" s="76"/>
      <c r="N27" s="41"/>
      <c r="O27" s="40"/>
      <c r="P27" s="40"/>
      <c r="Q27" s="91"/>
      <c r="R27" s="91"/>
      <c r="S27" s="48"/>
      <c r="T27" s="26">
        <f>T19-T26</f>
        <v>-32735581035.17149</v>
      </c>
      <c r="U27" s="1">
        <v>9</v>
      </c>
      <c r="V27" s="44" t="s">
        <v>230</v>
      </c>
      <c r="W27" s="44" t="s">
        <v>172</v>
      </c>
      <c r="X27" s="48">
        <v>-163233712050.05646</v>
      </c>
      <c r="Z27" s="44"/>
      <c r="AA27" s="44"/>
      <c r="AB27" s="48"/>
    </row>
    <row r="28" spans="1:32">
      <c r="A28" s="1">
        <v>11</v>
      </c>
      <c r="B28" s="131"/>
      <c r="C28" s="61" t="s">
        <v>98</v>
      </c>
      <c r="D28" s="136">
        <v>46599</v>
      </c>
      <c r="E28" s="1">
        <v>10</v>
      </c>
      <c r="F28" s="39"/>
      <c r="G28" s="68"/>
      <c r="H28" s="69"/>
      <c r="I28" s="69"/>
      <c r="J28" s="70"/>
      <c r="K28" s="40"/>
      <c r="L28" s="41"/>
      <c r="M28" s="76"/>
      <c r="N28" s="41"/>
      <c r="O28" s="40"/>
      <c r="P28" s="40"/>
      <c r="Q28" s="91"/>
      <c r="R28" s="91"/>
      <c r="S28" s="48"/>
      <c r="T28" s="98">
        <f>T27/T26</f>
        <v>-0.99990473156146975</v>
      </c>
      <c r="U28" s="1">
        <v>10</v>
      </c>
      <c r="V28" s="44" t="s">
        <v>230</v>
      </c>
      <c r="W28" s="44" t="s">
        <v>173</v>
      </c>
      <c r="X28" s="48">
        <v>-382408958686.18011</v>
      </c>
      <c r="Z28" s="44"/>
      <c r="AA28" s="44"/>
      <c r="AB28" s="48"/>
    </row>
    <row r="29" spans="1:32">
      <c r="A29" s="1">
        <v>12</v>
      </c>
      <c r="B29" s="131"/>
      <c r="C29" s="61" t="s">
        <v>99</v>
      </c>
      <c r="D29" s="136">
        <v>45657</v>
      </c>
      <c r="E29" s="1">
        <v>11</v>
      </c>
      <c r="F29" s="39"/>
      <c r="G29" s="68"/>
      <c r="H29" s="69"/>
      <c r="I29" s="69"/>
      <c r="J29" s="70"/>
      <c r="K29" s="40"/>
      <c r="L29" s="41"/>
      <c r="M29" s="76"/>
      <c r="N29" s="41"/>
      <c r="O29" s="40"/>
      <c r="P29" s="40"/>
      <c r="Q29" s="91"/>
      <c r="R29" s="91"/>
      <c r="S29" s="48"/>
      <c r="V29" s="44"/>
      <c r="W29" s="44"/>
      <c r="X29" s="48"/>
      <c r="Z29" s="44"/>
      <c r="AA29" s="44"/>
      <c r="AB29" s="48"/>
    </row>
    <row r="30" spans="1:32">
      <c r="A30" s="1">
        <v>13</v>
      </c>
      <c r="B30" s="126" t="s">
        <v>195</v>
      </c>
      <c r="C30" s="127"/>
      <c r="D30" s="132">
        <v>5.5E-2</v>
      </c>
      <c r="E30" s="1">
        <v>12</v>
      </c>
      <c r="F30" s="39"/>
      <c r="G30" s="68"/>
      <c r="H30" s="69"/>
      <c r="I30" s="69"/>
      <c r="J30" s="70"/>
      <c r="K30" s="40"/>
      <c r="L30" s="41"/>
      <c r="M30" s="76"/>
      <c r="N30" s="41"/>
      <c r="O30" s="40"/>
      <c r="P30" s="40"/>
      <c r="Q30" s="91"/>
      <c r="R30" s="91"/>
      <c r="S30" s="48"/>
      <c r="V30" s="44"/>
      <c r="W30" s="44"/>
      <c r="X30" s="48"/>
      <c r="Z30" s="44"/>
      <c r="AA30" s="44"/>
      <c r="AB30" s="48"/>
    </row>
    <row r="31" spans="1:32">
      <c r="A31" s="1">
        <v>14</v>
      </c>
      <c r="B31" s="126" t="s">
        <v>228</v>
      </c>
      <c r="C31" s="127"/>
      <c r="D31" s="133">
        <v>6</v>
      </c>
      <c r="E31" s="1">
        <v>13</v>
      </c>
      <c r="F31" s="39"/>
      <c r="G31" s="68"/>
      <c r="H31" s="69"/>
      <c r="I31" s="69"/>
      <c r="J31" s="70"/>
      <c r="K31" s="40"/>
      <c r="L31" s="41"/>
      <c r="M31" s="76"/>
      <c r="N31" s="41"/>
      <c r="O31" s="40"/>
      <c r="P31" s="40"/>
      <c r="Q31" s="48">
        <f>L24+N24</f>
        <v>3082273.9726027399</v>
      </c>
      <c r="R31" s="91"/>
      <c r="S31" s="48"/>
      <c r="V31" s="44"/>
      <c r="W31" s="44"/>
      <c r="X31" s="48"/>
      <c r="Z31" s="44"/>
      <c r="AA31" s="44"/>
      <c r="AB31" s="48"/>
    </row>
    <row r="32" spans="1:32">
      <c r="A32" s="1">
        <v>15</v>
      </c>
      <c r="B32" s="126" t="s">
        <v>235</v>
      </c>
      <c r="C32" s="127"/>
      <c r="D32" s="135" t="s">
        <v>238</v>
      </c>
      <c r="E32" s="1">
        <v>14</v>
      </c>
      <c r="F32" s="39"/>
      <c r="G32" s="68"/>
      <c r="H32" s="69"/>
      <c r="I32" s="69"/>
      <c r="J32" s="70"/>
      <c r="K32" s="40"/>
      <c r="L32" s="41"/>
      <c r="M32" s="76"/>
      <c r="N32" s="41"/>
      <c r="O32" s="40"/>
      <c r="P32" s="40" t="s">
        <v>112</v>
      </c>
      <c r="Q32" s="101">
        <f>T33/(L24+N24)</f>
        <v>2.1471384143089485</v>
      </c>
      <c r="R32" s="91"/>
      <c r="S32" s="48"/>
      <c r="V32" s="44"/>
      <c r="W32" s="44"/>
      <c r="X32" s="48"/>
      <c r="Z32" s="44"/>
      <c r="AA32" s="44"/>
      <c r="AB32" s="48"/>
    </row>
    <row r="33" spans="1:28">
      <c r="A33" s="1">
        <v>16</v>
      </c>
      <c r="B33" s="126" t="s">
        <v>53</v>
      </c>
      <c r="C33" s="127"/>
      <c r="D33" s="133" t="s">
        <v>232</v>
      </c>
      <c r="E33" s="1">
        <v>15</v>
      </c>
      <c r="F33" s="39"/>
      <c r="G33" s="68"/>
      <c r="H33" s="69"/>
      <c r="I33" s="69"/>
      <c r="J33" s="70"/>
      <c r="K33" s="40"/>
      <c r="L33" s="41"/>
      <c r="M33" s="76"/>
      <c r="N33" s="41"/>
      <c r="O33" s="40"/>
      <c r="P33" s="40" t="s">
        <v>147</v>
      </c>
      <c r="Q33" s="91">
        <v>4.5410576292980895</v>
      </c>
      <c r="R33" s="91"/>
      <c r="S33" s="48"/>
      <c r="T33" s="100">
        <v>6618068.8499999903</v>
      </c>
      <c r="V33" s="44"/>
      <c r="W33" s="44"/>
      <c r="X33" s="48"/>
      <c r="Z33" s="44"/>
      <c r="AA33" s="44"/>
      <c r="AB33" s="48"/>
    </row>
    <row r="34" spans="1:28">
      <c r="A34" s="1">
        <v>17</v>
      </c>
      <c r="B34" s="126" t="s">
        <v>67</v>
      </c>
      <c r="C34" s="127"/>
      <c r="D34" s="133" t="s">
        <v>229</v>
      </c>
      <c r="E34" s="1">
        <v>16</v>
      </c>
      <c r="F34" s="39"/>
      <c r="G34" s="68"/>
      <c r="H34" s="69"/>
      <c r="I34" s="69"/>
      <c r="J34" s="70"/>
      <c r="K34" s="40"/>
      <c r="L34" s="41"/>
      <c r="M34" s="76"/>
      <c r="N34" s="41"/>
      <c r="O34" s="40"/>
      <c r="P34" s="40"/>
      <c r="Q34" s="91">
        <f>EXP(-1*Q33/100*O24)</f>
        <v>0.88952096915721202</v>
      </c>
      <c r="R34" s="91"/>
      <c r="S34" s="48"/>
      <c r="T34" s="26">
        <f>T19-T33</f>
        <v>-3499104.0214914037</v>
      </c>
      <c r="V34" s="44"/>
      <c r="W34" s="44"/>
      <c r="X34" s="48"/>
      <c r="Z34" s="44"/>
      <c r="AA34" s="44"/>
      <c r="AB34" s="48"/>
    </row>
    <row r="35" spans="1:28">
      <c r="A35" s="1">
        <v>18</v>
      </c>
      <c r="B35" s="128" t="s">
        <v>215</v>
      </c>
      <c r="C35" s="60" t="s">
        <v>101</v>
      </c>
      <c r="D35" s="133" t="s">
        <v>241</v>
      </c>
      <c r="E35" s="1">
        <v>17</v>
      </c>
      <c r="F35" s="39"/>
      <c r="G35" s="68"/>
      <c r="H35" s="69"/>
      <c r="I35" s="69"/>
      <c r="J35" s="70"/>
      <c r="K35" s="40"/>
      <c r="L35" s="41"/>
      <c r="M35" s="76"/>
      <c r="N35" s="41"/>
      <c r="O35" s="40"/>
      <c r="P35" s="40"/>
      <c r="Q35" s="91">
        <f>Q34-Q32</f>
        <v>-1.2576174451517366</v>
      </c>
      <c r="R35" s="91"/>
      <c r="S35" s="48"/>
      <c r="T35" s="27">
        <f>T34/T19</f>
        <v>-1.1218799229501379</v>
      </c>
      <c r="V35" s="44"/>
      <c r="W35" s="44"/>
      <c r="X35" s="48"/>
      <c r="Z35" s="44"/>
      <c r="AA35" s="44"/>
      <c r="AB35" s="48"/>
    </row>
    <row r="36" spans="1:28" ht="16.5" customHeight="1">
      <c r="A36" s="1">
        <v>19</v>
      </c>
      <c r="B36" s="129"/>
      <c r="C36" s="60" t="s">
        <v>222</v>
      </c>
      <c r="D36" s="19" t="s">
        <v>223</v>
      </c>
      <c r="E36" s="1">
        <v>18</v>
      </c>
      <c r="F36" s="39"/>
      <c r="G36" s="68"/>
      <c r="H36" s="69"/>
      <c r="I36" s="69"/>
      <c r="J36" s="70"/>
      <c r="K36" s="40"/>
      <c r="L36" s="41"/>
      <c r="M36" s="76"/>
      <c r="N36" s="41"/>
      <c r="O36" s="40"/>
      <c r="P36" s="40"/>
      <c r="Q36" s="91"/>
      <c r="R36" s="91"/>
      <c r="S36" s="48"/>
      <c r="V36" s="44"/>
      <c r="W36" s="44"/>
      <c r="X36" s="48"/>
      <c r="Z36" s="44"/>
      <c r="AA36" s="44"/>
      <c r="AB36" s="48"/>
    </row>
    <row r="37" spans="1:28">
      <c r="A37" s="1">
        <v>20</v>
      </c>
      <c r="B37" s="130"/>
      <c r="C37" s="60" t="s">
        <v>206</v>
      </c>
      <c r="D37" s="19" t="s">
        <v>156</v>
      </c>
      <c r="E37" s="1">
        <v>19</v>
      </c>
      <c r="F37" s="39"/>
      <c r="G37" s="68"/>
      <c r="H37" s="69"/>
      <c r="I37" s="69"/>
      <c r="J37" s="70"/>
      <c r="K37" s="40"/>
      <c r="L37" s="41"/>
      <c r="M37" s="76"/>
      <c r="N37" s="41"/>
      <c r="O37" s="40"/>
      <c r="P37" s="40"/>
      <c r="Q37" s="91">
        <f>EXP(-1*Q33/100*O24)</f>
        <v>0.88952096915721202</v>
      </c>
      <c r="R37" s="91"/>
      <c r="S37" s="48"/>
      <c r="V37" s="44"/>
      <c r="W37" s="44"/>
      <c r="X37" s="48"/>
      <c r="Z37" s="44"/>
      <c r="AA37" s="44"/>
      <c r="AB37" s="48"/>
    </row>
    <row r="38" spans="1:28">
      <c r="A38" s="1">
        <v>21</v>
      </c>
      <c r="B38" s="126" t="s">
        <v>237</v>
      </c>
      <c r="C38" s="127"/>
      <c r="D38" s="135" t="s">
        <v>239</v>
      </c>
      <c r="E38" s="1">
        <v>20</v>
      </c>
      <c r="F38" s="39"/>
      <c r="G38" s="68"/>
      <c r="H38" s="69"/>
      <c r="I38" s="69"/>
      <c r="J38" s="70"/>
      <c r="K38" s="40"/>
      <c r="L38" s="41"/>
      <c r="M38" s="76"/>
      <c r="N38" s="41"/>
      <c r="O38" s="40"/>
      <c r="P38" s="40"/>
      <c r="Q38" s="48">
        <f>Q31*Q37</f>
        <v>2741747.331317639</v>
      </c>
      <c r="R38" s="91"/>
      <c r="S38" s="48"/>
      <c r="V38" s="44"/>
      <c r="W38" s="44"/>
      <c r="X38" s="48"/>
      <c r="Z38" s="44"/>
      <c r="AA38" s="44"/>
      <c r="AB38" s="48"/>
    </row>
    <row r="39" spans="1:28">
      <c r="A39" s="1">
        <v>22</v>
      </c>
      <c r="B39" s="126" t="s">
        <v>208</v>
      </c>
      <c r="C39" s="127"/>
      <c r="D39" s="19"/>
      <c r="F39" s="39"/>
      <c r="G39" s="79"/>
      <c r="H39" s="79"/>
      <c r="I39" s="79"/>
      <c r="N39" s="41"/>
      <c r="V39" s="44"/>
      <c r="W39" s="44"/>
      <c r="X39" s="48"/>
      <c r="Z39" s="44"/>
      <c r="AA39" s="44"/>
      <c r="AB39" s="48"/>
    </row>
    <row r="40" spans="1:28">
      <c r="A40" s="1">
        <v>23</v>
      </c>
      <c r="B40" s="126" t="s">
        <v>207</v>
      </c>
      <c r="C40" s="127"/>
      <c r="D40" s="19"/>
      <c r="F40" s="39"/>
      <c r="G40" s="79"/>
      <c r="H40" s="79"/>
      <c r="I40" s="79"/>
      <c r="N40" s="41"/>
      <c r="R40" s="92"/>
    </row>
    <row r="41" spans="1:28">
      <c r="F41" s="39"/>
      <c r="G41" s="79"/>
      <c r="H41" s="79"/>
      <c r="I41" s="79"/>
      <c r="N41" s="41"/>
      <c r="R41" s="92"/>
    </row>
    <row r="42" spans="1:28">
      <c r="A42" s="1">
        <v>25</v>
      </c>
      <c r="B42" s="31" t="s">
        <v>202</v>
      </c>
      <c r="C42" s="29"/>
      <c r="F42" s="39"/>
      <c r="G42" s="79"/>
      <c r="H42" s="79"/>
      <c r="I42" s="79"/>
      <c r="N42" s="41"/>
    </row>
    <row r="43" spans="1:28">
      <c r="A43" s="1">
        <v>26</v>
      </c>
      <c r="B43" s="31" t="s">
        <v>205</v>
      </c>
      <c r="C43" s="29"/>
      <c r="F43" s="39"/>
      <c r="G43" s="79"/>
      <c r="H43" s="79"/>
      <c r="I43" s="79"/>
      <c r="N43" s="41"/>
      <c r="R43" s="92"/>
    </row>
    <row r="44" spans="1:28">
      <c r="A44" s="1">
        <v>27</v>
      </c>
      <c r="B44" s="31" t="s">
        <v>203</v>
      </c>
      <c r="C44" s="29"/>
      <c r="D44" s="99"/>
      <c r="F44" s="39"/>
      <c r="G44" s="79"/>
      <c r="H44" s="79"/>
      <c r="I44" s="79"/>
      <c r="N44" s="41"/>
      <c r="R44" s="93"/>
    </row>
    <row r="45" spans="1:28">
      <c r="A45" s="1">
        <v>28</v>
      </c>
      <c r="B45" s="31" t="s">
        <v>204</v>
      </c>
      <c r="C45" s="29"/>
      <c r="D45" s="32"/>
      <c r="F45" s="39"/>
      <c r="G45" s="79"/>
      <c r="H45" s="79"/>
      <c r="I45" s="79"/>
      <c r="N45" s="41"/>
    </row>
    <row r="46" spans="1:28">
      <c r="A46" s="1">
        <v>29</v>
      </c>
      <c r="B46" s="31" t="s">
        <v>200</v>
      </c>
      <c r="C46" s="29"/>
      <c r="F46" s="39"/>
      <c r="G46" s="79"/>
      <c r="H46" s="79"/>
      <c r="I46" s="79"/>
      <c r="N46" s="41"/>
    </row>
    <row r="47" spans="1:28">
      <c r="A47" s="1">
        <v>30</v>
      </c>
      <c r="B47" s="31" t="s">
        <v>216</v>
      </c>
      <c r="C47" s="29"/>
      <c r="F47" s="39"/>
      <c r="G47" s="79"/>
      <c r="H47" s="79"/>
      <c r="I47" s="79"/>
      <c r="N47" s="41"/>
    </row>
    <row r="48" spans="1:28">
      <c r="A48" s="1">
        <v>31</v>
      </c>
      <c r="B48" s="31" t="s">
        <v>201</v>
      </c>
      <c r="C48" s="29"/>
      <c r="F48" s="39"/>
      <c r="G48" s="79"/>
      <c r="H48" s="79"/>
      <c r="I48" s="79"/>
      <c r="N48" s="41"/>
    </row>
    <row r="49" spans="1:14">
      <c r="A49" s="1">
        <v>32</v>
      </c>
      <c r="F49" s="39"/>
      <c r="G49" s="79"/>
      <c r="H49" s="79"/>
      <c r="I49" s="79"/>
      <c r="N49" s="41"/>
    </row>
    <row r="50" spans="1:14">
      <c r="F50" s="39"/>
      <c r="G50" s="79"/>
      <c r="H50" s="79"/>
      <c r="I50" s="79"/>
      <c r="N50" s="41"/>
    </row>
    <row r="51" spans="1:14">
      <c r="F51" s="39"/>
      <c r="G51" s="79"/>
      <c r="H51" s="79"/>
      <c r="I51" s="79"/>
      <c r="N51" s="41"/>
    </row>
    <row r="52" spans="1:14">
      <c r="F52" s="39"/>
      <c r="G52" s="79"/>
      <c r="H52" s="79"/>
      <c r="I52" s="79"/>
      <c r="N52" s="41"/>
    </row>
    <row r="53" spans="1:14">
      <c r="F53" s="39"/>
      <c r="G53" s="79"/>
      <c r="H53" s="79"/>
      <c r="I53" s="79"/>
      <c r="N53" s="41"/>
    </row>
    <row r="54" spans="1:14">
      <c r="F54" s="39"/>
      <c r="G54" s="79"/>
      <c r="H54" s="79"/>
      <c r="I54" s="79"/>
      <c r="N54" s="41"/>
    </row>
    <row r="55" spans="1:14">
      <c r="F55" s="39"/>
      <c r="G55" s="79"/>
      <c r="H55" s="79"/>
      <c r="I55" s="79"/>
      <c r="N55" s="41"/>
    </row>
    <row r="56" spans="1:14">
      <c r="F56" s="39"/>
      <c r="G56" s="79"/>
      <c r="H56" s="79"/>
      <c r="I56" s="79"/>
      <c r="N56" s="41"/>
    </row>
    <row r="57" spans="1:14">
      <c r="F57" s="39"/>
      <c r="G57" s="79"/>
      <c r="H57" s="79"/>
      <c r="I57" s="79"/>
      <c r="N57" s="41"/>
    </row>
    <row r="58" spans="1:14">
      <c r="F58" s="39"/>
      <c r="G58" s="79"/>
      <c r="H58" s="79"/>
      <c r="I58" s="79"/>
      <c r="N58" s="41"/>
    </row>
    <row r="59" spans="1:14">
      <c r="F59" s="39"/>
      <c r="G59" s="79"/>
      <c r="H59" s="79"/>
      <c r="I59" s="79"/>
      <c r="N59" s="41"/>
    </row>
    <row r="60" spans="1:14">
      <c r="F60" s="39"/>
      <c r="G60" s="79"/>
      <c r="H60" s="79"/>
      <c r="I60" s="79"/>
      <c r="N60" s="41"/>
    </row>
    <row r="61" spans="1:14">
      <c r="F61" s="39"/>
      <c r="G61" s="79"/>
      <c r="H61" s="79"/>
      <c r="I61" s="79"/>
      <c r="N61" s="41"/>
    </row>
    <row r="62" spans="1:14">
      <c r="F62" s="39"/>
      <c r="G62" s="79"/>
      <c r="H62" s="79"/>
      <c r="I62" s="79"/>
      <c r="N62" s="41"/>
    </row>
    <row r="63" spans="1:14">
      <c r="F63" s="39"/>
      <c r="G63" s="79"/>
      <c r="H63" s="79"/>
      <c r="I63" s="79"/>
      <c r="N63" s="41"/>
    </row>
    <row r="64" spans="1:14">
      <c r="F64" s="39"/>
      <c r="G64" s="79"/>
      <c r="H64" s="79"/>
      <c r="I64" s="79"/>
      <c r="N64" s="41"/>
    </row>
    <row r="65" spans="6:14">
      <c r="F65" s="39"/>
      <c r="G65" s="79"/>
      <c r="H65" s="79"/>
      <c r="I65" s="79"/>
      <c r="N65" s="41"/>
    </row>
    <row r="66" spans="6:14">
      <c r="F66" s="39"/>
      <c r="G66" s="79"/>
      <c r="H66" s="79"/>
      <c r="I66" s="79"/>
      <c r="N66" s="41"/>
    </row>
    <row r="67" spans="6:14">
      <c r="F67" s="39"/>
      <c r="G67" s="79"/>
      <c r="H67" s="79"/>
      <c r="I67" s="79"/>
      <c r="N67" s="41"/>
    </row>
    <row r="68" spans="6:14">
      <c r="F68" s="39"/>
      <c r="G68" s="79"/>
      <c r="H68" s="79"/>
      <c r="I68" s="79"/>
      <c r="N68" s="41"/>
    </row>
    <row r="69" spans="6:14">
      <c r="F69" s="39"/>
      <c r="G69" s="79"/>
      <c r="H69" s="79"/>
      <c r="I69" s="79"/>
      <c r="N69" s="41"/>
    </row>
    <row r="70" spans="6:14">
      <c r="F70" s="39"/>
      <c r="G70" s="79"/>
      <c r="H70" s="79"/>
      <c r="I70" s="79"/>
      <c r="N70" s="41"/>
    </row>
    <row r="71" spans="6:14">
      <c r="F71" s="39"/>
      <c r="G71" s="79"/>
      <c r="H71" s="79"/>
      <c r="I71" s="79"/>
      <c r="N71" s="41"/>
    </row>
    <row r="72" spans="6:14">
      <c r="F72" s="39"/>
      <c r="G72" s="79"/>
      <c r="H72" s="79"/>
      <c r="I72" s="79"/>
      <c r="N72" s="41"/>
    </row>
    <row r="73" spans="6:14">
      <c r="F73" s="39"/>
      <c r="G73" s="79"/>
      <c r="H73" s="79"/>
      <c r="I73" s="79"/>
      <c r="N73" s="41"/>
    </row>
    <row r="74" spans="6:14">
      <c r="F74" s="39"/>
      <c r="G74" s="79"/>
      <c r="H74" s="79"/>
      <c r="I74" s="79"/>
      <c r="N74" s="41"/>
    </row>
    <row r="75" spans="6:14">
      <c r="F75" s="39"/>
      <c r="G75" s="79"/>
      <c r="H75" s="79"/>
      <c r="I75" s="79"/>
      <c r="N75" s="41"/>
    </row>
    <row r="76" spans="6:14">
      <c r="F76" s="39"/>
      <c r="G76" s="79"/>
      <c r="H76" s="79"/>
      <c r="I76" s="79"/>
      <c r="N76" s="41"/>
    </row>
    <row r="77" spans="6:14">
      <c r="F77" s="39"/>
      <c r="G77" s="79"/>
      <c r="H77" s="79"/>
      <c r="I77" s="79"/>
      <c r="N77" s="41"/>
    </row>
    <row r="78" spans="6:14">
      <c r="F78" s="39"/>
      <c r="G78" s="79"/>
      <c r="H78" s="79"/>
      <c r="I78" s="79"/>
      <c r="N78" s="41"/>
    </row>
  </sheetData>
  <mergeCells count="19">
    <mergeCell ref="B38:C38"/>
    <mergeCell ref="B35:B37"/>
    <mergeCell ref="B27:B29"/>
    <mergeCell ref="B39:C39"/>
    <mergeCell ref="B40:C40"/>
    <mergeCell ref="B32:C32"/>
    <mergeCell ref="B33:C33"/>
    <mergeCell ref="B34:C34"/>
    <mergeCell ref="B23:C23"/>
    <mergeCell ref="B30:C30"/>
    <mergeCell ref="B31:C31"/>
    <mergeCell ref="B24:C24"/>
    <mergeCell ref="B25:C25"/>
    <mergeCell ref="B26:C26"/>
    <mergeCell ref="B18:C18"/>
    <mergeCell ref="B19:C19"/>
    <mergeCell ref="B20:C20"/>
    <mergeCell ref="B21:C21"/>
    <mergeCell ref="B22:C22"/>
  </mergeCells>
  <phoneticPr fontId="2" type="noConversion"/>
  <dataValidations count="5">
    <dataValidation type="list" allowBlank="1" showInputMessage="1" showErrorMessage="1" sqref="C12">
      <formula1>"Net Present Value, PV01, GIRR Delta"</formula1>
    </dataValidation>
    <dataValidation type="list" allowBlank="1" showInputMessage="1" showErrorMessage="1" sqref="D34">
      <formula1>"Adjusted, Unadjusted"</formula1>
    </dataValidation>
    <dataValidation type="list" allowBlank="1" showInputMessage="1" showErrorMessage="1" sqref="D33">
      <formula1>"Following, Mod.Following, Preceding, Mod.Preceding, End.Month"</formula1>
    </dataValidation>
    <dataValidation type="list" allowBlank="1" showInputMessage="1" showErrorMessage="1" sqref="D32 D38">
      <formula1>"30U/360, Act/Act, Act/360, Act/365, 30E/360"</formula1>
    </dataValidation>
    <dataValidation type="list" allowBlank="1" showInputMessage="1" showErrorMessage="1" sqref="D18">
      <formula1>"Bond-Fixed Rate Bond, Bond-Floating Rate Note"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B1:Y51"/>
  <sheetViews>
    <sheetView zoomScale="70" zoomScaleNormal="70" workbookViewId="0">
      <pane ySplit="14" topLeftCell="A15" activePane="bottomLeft" state="frozen"/>
      <selection pane="bottomLeft" activeCell="E32" sqref="E32"/>
    </sheetView>
  </sheetViews>
  <sheetFormatPr defaultColWidth="9" defaultRowHeight="16.5"/>
  <cols>
    <col min="1" max="1" width="4.625" style="1" customWidth="1"/>
    <col min="2" max="2" width="16.125" style="1" customWidth="1"/>
    <col min="3" max="3" width="22.25" style="1" customWidth="1"/>
    <col min="4" max="4" width="17.625" style="1" customWidth="1"/>
    <col min="5" max="5" width="5.625" style="1" customWidth="1"/>
    <col min="6" max="15" width="20.625" style="1" customWidth="1"/>
    <col min="16" max="16" width="5.625" style="1" customWidth="1"/>
    <col min="17" max="18" width="20.625" style="21" customWidth="1"/>
    <col min="19" max="19" width="20.625" style="1" customWidth="1"/>
    <col min="20" max="20" width="5.625" style="1" customWidth="1"/>
    <col min="21" max="26" width="20.625" style="1" customWidth="1"/>
    <col min="27" max="16384" width="9" style="1"/>
  </cols>
  <sheetData>
    <row r="1" spans="2:20" s="3" customFormat="1">
      <c r="Q1" s="49"/>
      <c r="R1" s="49"/>
    </row>
    <row r="2" spans="2:20" s="4" customFormat="1">
      <c r="Q2" s="50"/>
      <c r="R2" s="50"/>
    </row>
    <row r="3" spans="2:20" ht="16.5" customHeight="1"/>
    <row r="4" spans="2:20" ht="16.5" customHeight="1">
      <c r="B4" s="6" t="s">
        <v>93</v>
      </c>
      <c r="C4" s="6"/>
    </row>
    <row r="5" spans="2:20" ht="16.5" customHeight="1">
      <c r="B5" s="1" t="s">
        <v>95</v>
      </c>
    </row>
    <row r="6" spans="2:20" ht="16.5" customHeight="1"/>
    <row r="7" spans="2:20" ht="16.5" customHeight="1">
      <c r="B7" s="6" t="s">
        <v>94</v>
      </c>
    </row>
    <row r="8" spans="2:20" ht="16.5" customHeight="1">
      <c r="B8" s="1" t="s">
        <v>96</v>
      </c>
      <c r="C8" s="6"/>
    </row>
    <row r="9" spans="2:20" ht="16.5" customHeight="1">
      <c r="B9" s="1" t="s">
        <v>119</v>
      </c>
    </row>
    <row r="10" spans="2:20" ht="16.5" customHeight="1">
      <c r="B10" s="1" t="s">
        <v>144</v>
      </c>
    </row>
    <row r="11" spans="2:20" ht="16.5" customHeight="1"/>
    <row r="12" spans="2:20" ht="16.5" customHeight="1">
      <c r="B12" s="34" t="s">
        <v>174</v>
      </c>
      <c r="C12" s="35" t="s">
        <v>233</v>
      </c>
      <c r="F12" s="55" t="s">
        <v>199</v>
      </c>
      <c r="G12" s="56">
        <v>740607.9054890275</v>
      </c>
    </row>
    <row r="13" spans="2:20" ht="16.5" customHeight="1"/>
    <row r="14" spans="2:20" s="33" customFormat="1" ht="8.1" customHeight="1">
      <c r="Q14" s="51"/>
      <c r="R14" s="51"/>
    </row>
    <row r="16" spans="2:20">
      <c r="B16" s="16" t="s">
        <v>111</v>
      </c>
      <c r="C16" s="16"/>
      <c r="D16" s="4"/>
      <c r="F16" s="16" t="s">
        <v>157</v>
      </c>
      <c r="G16" s="4"/>
      <c r="H16" s="4"/>
      <c r="Q16" s="53" t="s">
        <v>120</v>
      </c>
      <c r="R16" s="50"/>
      <c r="S16" s="4"/>
      <c r="T16" s="26"/>
    </row>
    <row r="17" spans="2:25">
      <c r="Q17" s="54" t="s">
        <v>128</v>
      </c>
      <c r="U17" s="6" t="s">
        <v>163</v>
      </c>
    </row>
    <row r="18" spans="2:25">
      <c r="B18" s="124" t="s">
        <v>130</v>
      </c>
      <c r="C18" s="125"/>
      <c r="D18" s="10" t="s">
        <v>2</v>
      </c>
      <c r="F18" s="30"/>
      <c r="G18" s="24" t="s">
        <v>104</v>
      </c>
      <c r="H18" s="24" t="s">
        <v>135</v>
      </c>
      <c r="I18" s="24" t="s">
        <v>209</v>
      </c>
      <c r="J18" s="24" t="s">
        <v>114</v>
      </c>
      <c r="K18" s="24" t="s">
        <v>101</v>
      </c>
      <c r="L18" s="24" t="s">
        <v>147</v>
      </c>
      <c r="M18" s="24" t="s">
        <v>112</v>
      </c>
      <c r="N18" s="24" t="s">
        <v>113</v>
      </c>
      <c r="O18" s="24" t="s">
        <v>145</v>
      </c>
      <c r="Q18" s="24" t="s">
        <v>125</v>
      </c>
      <c r="R18" s="24" t="s">
        <v>126</v>
      </c>
      <c r="S18" s="28" t="s">
        <v>127</v>
      </c>
      <c r="U18" s="25" t="s">
        <v>129</v>
      </c>
      <c r="V18" s="22" t="s">
        <v>110</v>
      </c>
      <c r="W18" s="22" t="s">
        <v>127</v>
      </c>
    </row>
    <row r="19" spans="2:25">
      <c r="B19" s="124" t="s">
        <v>132</v>
      </c>
      <c r="C19" s="125"/>
      <c r="D19" s="10" t="s">
        <v>4</v>
      </c>
      <c r="F19" s="39" t="s">
        <v>117</v>
      </c>
      <c r="G19" s="40" t="s">
        <v>137</v>
      </c>
      <c r="H19" s="41">
        <v>30000</v>
      </c>
      <c r="I19" s="42">
        <v>45834</v>
      </c>
      <c r="J19" s="43">
        <v>0.48493150684931507</v>
      </c>
      <c r="K19" s="40" t="s">
        <v>136</v>
      </c>
      <c r="L19" s="44">
        <v>2.3964867871232873</v>
      </c>
      <c r="M19" s="45">
        <v>0.98844594721696744</v>
      </c>
      <c r="N19" s="46">
        <v>29653.378416509022</v>
      </c>
      <c r="O19" s="46">
        <f>IF($G$19="KRW",N19-N20*$D$24,N19*$D$24-N20)</f>
        <v>740607.9054890275</v>
      </c>
      <c r="Q19" s="52" t="s">
        <v>158</v>
      </c>
      <c r="R19" s="52" t="s">
        <v>164</v>
      </c>
      <c r="S19" s="48">
        <v>-1328331.1291784048</v>
      </c>
      <c r="U19" s="9" t="s">
        <v>177</v>
      </c>
      <c r="V19" s="9">
        <f>D24*1.01</f>
        <v>1547.9037800000001</v>
      </c>
      <c r="W19" s="23">
        <f>(IF($G$19="KRW",N19-N20*$V$19,N19*$V$19-N20)-$O$19)*100</f>
        <v>45446115.386816859</v>
      </c>
    </row>
    <row r="20" spans="2:25">
      <c r="B20" s="124" t="s">
        <v>133</v>
      </c>
      <c r="C20" s="125"/>
      <c r="D20" s="10" t="s">
        <v>134</v>
      </c>
      <c r="F20" s="39" t="s">
        <v>118</v>
      </c>
      <c r="G20" s="40" t="s">
        <v>100</v>
      </c>
      <c r="H20" s="41">
        <v>45273000</v>
      </c>
      <c r="I20" s="42">
        <v>45834</v>
      </c>
      <c r="J20" s="43">
        <v>0.48493150684931507</v>
      </c>
      <c r="K20" s="40" t="s">
        <v>138</v>
      </c>
      <c r="L20" s="44">
        <v>2.6012177438356163</v>
      </c>
      <c r="M20" s="45">
        <v>0.98746510019940215</v>
      </c>
      <c r="N20" s="46">
        <v>44705507.481327534</v>
      </c>
      <c r="O20" s="47"/>
      <c r="Q20" s="52" t="s">
        <v>158</v>
      </c>
      <c r="R20" s="52" t="s">
        <v>165</v>
      </c>
      <c r="S20" s="48">
        <v>-20709448.273181915</v>
      </c>
    </row>
    <row r="21" spans="2:25">
      <c r="B21" s="124" t="s">
        <v>97</v>
      </c>
      <c r="C21" s="125"/>
      <c r="D21" s="10">
        <v>45434</v>
      </c>
      <c r="F21" s="40"/>
      <c r="G21" s="40"/>
      <c r="H21" s="41"/>
      <c r="I21" s="42"/>
      <c r="J21" s="43"/>
      <c r="K21" s="40"/>
      <c r="L21" s="44"/>
      <c r="M21" s="45"/>
      <c r="N21" s="46"/>
      <c r="O21" s="44"/>
      <c r="Q21" s="52" t="s">
        <v>158</v>
      </c>
      <c r="R21" s="52" t="s">
        <v>166</v>
      </c>
      <c r="S21" s="48">
        <v>0</v>
      </c>
      <c r="U21" s="11"/>
      <c r="V21" s="11"/>
      <c r="W21" s="62">
        <v>45445827.993052006</v>
      </c>
      <c r="X21" s="11"/>
    </row>
    <row r="22" spans="2:25">
      <c r="B22" s="124" t="s">
        <v>98</v>
      </c>
      <c r="C22" s="125"/>
      <c r="D22" s="10">
        <v>45834</v>
      </c>
      <c r="F22" s="40"/>
      <c r="G22" s="40"/>
      <c r="H22" s="41"/>
      <c r="I22" s="42"/>
      <c r="J22" s="43"/>
      <c r="K22" s="40"/>
      <c r="L22" s="44"/>
      <c r="M22" s="45"/>
      <c r="N22" s="46"/>
      <c r="O22" s="44"/>
      <c r="Q22" s="52" t="s">
        <v>158</v>
      </c>
      <c r="R22" s="52" t="s">
        <v>167</v>
      </c>
      <c r="S22" s="48">
        <v>0</v>
      </c>
      <c r="U22" s="11"/>
      <c r="V22" s="11"/>
      <c r="W22" s="63">
        <f>(W19-W21)/W19</f>
        <v>6.3238356547597355E-6</v>
      </c>
      <c r="X22" s="11"/>
    </row>
    <row r="23" spans="2:25">
      <c r="B23" s="124" t="s">
        <v>99</v>
      </c>
      <c r="C23" s="125"/>
      <c r="D23" s="10">
        <v>45657</v>
      </c>
      <c r="F23" s="40"/>
      <c r="G23" s="40"/>
      <c r="H23" s="41"/>
      <c r="I23" s="42"/>
      <c r="J23" s="43"/>
      <c r="K23" s="40"/>
      <c r="L23" s="44"/>
      <c r="M23" s="45"/>
      <c r="N23" s="46"/>
      <c r="O23" s="44"/>
      <c r="Q23" s="52" t="s">
        <v>158</v>
      </c>
      <c r="R23" s="52" t="s">
        <v>168</v>
      </c>
      <c r="S23" s="48">
        <v>0</v>
      </c>
      <c r="U23" s="11"/>
      <c r="V23" s="11"/>
      <c r="W23" s="11"/>
      <c r="X23" s="11"/>
    </row>
    <row r="24" spans="2:25">
      <c r="B24" s="124" t="s">
        <v>110</v>
      </c>
      <c r="C24" s="125"/>
      <c r="D24" s="15">
        <v>1532.578</v>
      </c>
      <c r="F24" s="40"/>
      <c r="G24" s="40"/>
      <c r="H24" s="41"/>
      <c r="I24" s="42"/>
      <c r="J24" s="43"/>
      <c r="K24" s="40"/>
      <c r="L24" s="44"/>
      <c r="M24" s="45"/>
      <c r="N24" s="46"/>
      <c r="O24" s="44"/>
      <c r="Q24" s="52" t="s">
        <v>158</v>
      </c>
      <c r="R24" s="52" t="s">
        <v>169</v>
      </c>
      <c r="S24" s="48">
        <v>0</v>
      </c>
      <c r="U24" s="11"/>
      <c r="V24" s="11"/>
      <c r="W24" s="11"/>
      <c r="X24" s="11"/>
    </row>
    <row r="25" spans="2:25">
      <c r="B25" s="124" t="s">
        <v>139</v>
      </c>
      <c r="C25" s="125"/>
      <c r="D25" s="29">
        <f>D32/D28</f>
        <v>1509.1</v>
      </c>
      <c r="F25" s="40"/>
      <c r="G25" s="40"/>
      <c r="H25" s="41"/>
      <c r="I25" s="42"/>
      <c r="J25" s="43"/>
      <c r="K25" s="40"/>
      <c r="L25" s="44"/>
      <c r="M25" s="45"/>
      <c r="N25" s="46"/>
      <c r="O25" s="44"/>
      <c r="Q25" s="52" t="s">
        <v>158</v>
      </c>
      <c r="R25" s="52" t="s">
        <v>170</v>
      </c>
      <c r="S25" s="48">
        <v>0</v>
      </c>
      <c r="U25" s="11"/>
      <c r="V25" s="11"/>
      <c r="W25" s="11"/>
      <c r="X25" s="11"/>
    </row>
    <row r="26" spans="2:25">
      <c r="B26" s="124" t="s">
        <v>162</v>
      </c>
      <c r="C26" s="125"/>
      <c r="D26" s="29">
        <v>1600</v>
      </c>
      <c r="F26" s="40"/>
      <c r="G26" s="40"/>
      <c r="H26" s="41"/>
      <c r="I26" s="42"/>
      <c r="J26" s="43"/>
      <c r="K26" s="40"/>
      <c r="L26" s="44"/>
      <c r="M26" s="45"/>
      <c r="N26" s="46"/>
      <c r="O26" s="44"/>
      <c r="Q26" s="52" t="s">
        <v>158</v>
      </c>
      <c r="R26" s="52" t="s">
        <v>171</v>
      </c>
      <c r="S26" s="48">
        <v>0</v>
      </c>
      <c r="U26" s="11"/>
      <c r="V26" s="11"/>
      <c r="W26" s="11"/>
      <c r="X26" s="11" t="s">
        <v>178</v>
      </c>
    </row>
    <row r="27" spans="2:25">
      <c r="B27" s="128" t="s">
        <v>117</v>
      </c>
      <c r="C27" s="17" t="s">
        <v>104</v>
      </c>
      <c r="D27" s="20" t="s">
        <v>137</v>
      </c>
      <c r="F27" s="40"/>
      <c r="G27" s="40"/>
      <c r="H27" s="41"/>
      <c r="I27" s="42"/>
      <c r="J27" s="43"/>
      <c r="K27" s="40"/>
      <c r="L27" s="44"/>
      <c r="M27" s="45"/>
      <c r="N27" s="46"/>
      <c r="O27" s="44"/>
      <c r="Q27" s="52" t="s">
        <v>158</v>
      </c>
      <c r="R27" s="52" t="s">
        <v>172</v>
      </c>
      <c r="S27" s="48">
        <v>0</v>
      </c>
      <c r="U27" s="62">
        <v>29653.190893417501</v>
      </c>
      <c r="V27" s="62">
        <f>N19</f>
        <v>29653.378416509022</v>
      </c>
      <c r="W27" s="62">
        <f>V27-U27</f>
        <v>0.18752309152114321</v>
      </c>
      <c r="X27" s="63">
        <f>W27/U27</f>
        <v>6.3238756393926607E-6</v>
      </c>
    </row>
    <row r="28" spans="2:25" ht="18">
      <c r="B28" s="129"/>
      <c r="C28" s="17" t="s">
        <v>115</v>
      </c>
      <c r="D28" s="14">
        <v>30000</v>
      </c>
      <c r="F28" s="40"/>
      <c r="G28" s="40"/>
      <c r="H28" s="41"/>
      <c r="I28" s="42"/>
      <c r="J28" s="43"/>
      <c r="K28" s="40"/>
      <c r="L28" s="44"/>
      <c r="M28" s="45"/>
      <c r="N28" s="46"/>
      <c r="O28" s="44"/>
      <c r="Q28" s="52" t="s">
        <v>158</v>
      </c>
      <c r="R28" s="52" t="s">
        <v>173</v>
      </c>
      <c r="S28" s="48">
        <v>0</v>
      </c>
      <c r="U28" s="62">
        <v>44705060.526345</v>
      </c>
      <c r="V28" s="62">
        <f>N20</f>
        <v>44705507.481327534</v>
      </c>
      <c r="W28" s="62">
        <f>V28-U28</f>
        <v>446.95498253405094</v>
      </c>
      <c r="X28" s="63">
        <f>W28/U28</f>
        <v>9.9978610312060147E-6</v>
      </c>
    </row>
    <row r="29" spans="2:25">
      <c r="B29" s="129"/>
      <c r="C29" s="17" t="s">
        <v>131</v>
      </c>
      <c r="D29" s="19" t="s">
        <v>64</v>
      </c>
      <c r="F29" s="40"/>
      <c r="G29" s="40"/>
      <c r="H29" s="41"/>
      <c r="I29" s="42"/>
      <c r="J29" s="43"/>
      <c r="K29" s="40"/>
      <c r="L29" s="44"/>
      <c r="M29" s="45"/>
      <c r="N29" s="46"/>
      <c r="O29" s="44"/>
      <c r="Q29" s="52" t="s">
        <v>146</v>
      </c>
      <c r="R29" s="52" t="s">
        <v>164</v>
      </c>
      <c r="S29" s="48">
        <v>1306684.11873281</v>
      </c>
      <c r="U29" s="11"/>
      <c r="V29" s="11"/>
      <c r="W29" s="11"/>
      <c r="X29" s="11"/>
    </row>
    <row r="30" spans="2:25">
      <c r="B30" s="130"/>
      <c r="C30" s="17" t="s">
        <v>101</v>
      </c>
      <c r="D30" s="19" t="s">
        <v>136</v>
      </c>
      <c r="F30" s="40"/>
      <c r="G30" s="40"/>
      <c r="H30" s="41"/>
      <c r="I30" s="42"/>
      <c r="J30" s="43"/>
      <c r="K30" s="40"/>
      <c r="L30" s="44"/>
      <c r="M30" s="45"/>
      <c r="N30" s="46"/>
      <c r="O30" s="44"/>
      <c r="Q30" s="52" t="s">
        <v>146</v>
      </c>
      <c r="R30" s="52" t="s">
        <v>165</v>
      </c>
      <c r="S30" s="48">
        <v>20371958.897560835</v>
      </c>
      <c r="U30" s="11"/>
      <c r="V30" s="11"/>
      <c r="W30" s="11"/>
      <c r="X30" s="11" t="s">
        <v>179</v>
      </c>
    </row>
    <row r="31" spans="2:25">
      <c r="B31" s="128" t="s">
        <v>118</v>
      </c>
      <c r="C31" s="17" t="s">
        <v>104</v>
      </c>
      <c r="D31" s="20" t="s">
        <v>100</v>
      </c>
      <c r="F31" s="40"/>
      <c r="G31" s="40"/>
      <c r="H31" s="41"/>
      <c r="I31" s="42"/>
      <c r="J31" s="43"/>
      <c r="K31" s="40"/>
      <c r="L31" s="44"/>
      <c r="M31" s="45"/>
      <c r="N31" s="46"/>
      <c r="O31" s="44"/>
      <c r="Q31" s="52" t="s">
        <v>146</v>
      </c>
      <c r="R31" s="52" t="s">
        <v>166</v>
      </c>
      <c r="S31" s="48">
        <v>0</v>
      </c>
      <c r="U31" s="64">
        <v>-632.07697658070003</v>
      </c>
      <c r="V31" s="65">
        <f>S19/$D$24</f>
        <v>-866.72986900399508</v>
      </c>
      <c r="W31" s="62">
        <f>V31-U31</f>
        <v>-234.65289242329504</v>
      </c>
      <c r="X31" s="63">
        <f>W31/U31</f>
        <v>0.37124100563301549</v>
      </c>
      <c r="Y31" s="27"/>
    </row>
    <row r="32" spans="2:25" ht="18">
      <c r="B32" s="129"/>
      <c r="C32" s="17" t="s">
        <v>116</v>
      </c>
      <c r="D32" s="14">
        <v>45273000</v>
      </c>
      <c r="F32" s="40"/>
      <c r="G32" s="40"/>
      <c r="H32" s="41"/>
      <c r="I32" s="42"/>
      <c r="J32" s="43"/>
      <c r="K32" s="40"/>
      <c r="L32" s="44"/>
      <c r="M32" s="45"/>
      <c r="N32" s="46"/>
      <c r="O32" s="44"/>
      <c r="Q32" s="52" t="s">
        <v>146</v>
      </c>
      <c r="R32" s="52" t="s">
        <v>167</v>
      </c>
      <c r="S32" s="48">
        <v>0</v>
      </c>
      <c r="U32" s="64">
        <v>-13747.3702151328</v>
      </c>
      <c r="V32" s="65">
        <f>S20/$D$24</f>
        <v>-13512.81844916338</v>
      </c>
      <c r="W32" s="62">
        <f>V32-U32</f>
        <v>234.55176596941965</v>
      </c>
      <c r="X32" s="63">
        <f>W32/U32</f>
        <v>-1.7061573399051282E-2</v>
      </c>
      <c r="Y32" s="27"/>
    </row>
    <row r="33" spans="2:25">
      <c r="B33" s="129"/>
      <c r="C33" s="17" t="s">
        <v>131</v>
      </c>
      <c r="D33" s="19" t="s">
        <v>64</v>
      </c>
      <c r="F33" s="40"/>
      <c r="G33" s="40"/>
      <c r="H33" s="41"/>
      <c r="I33" s="42"/>
      <c r="J33" s="43"/>
      <c r="K33" s="40"/>
      <c r="L33" s="44"/>
      <c r="M33" s="45"/>
      <c r="N33" s="46"/>
      <c r="O33" s="44"/>
      <c r="Q33" s="52" t="s">
        <v>146</v>
      </c>
      <c r="R33" s="52" t="s">
        <v>168</v>
      </c>
      <c r="S33" s="48">
        <v>0</v>
      </c>
      <c r="U33" s="64">
        <v>-14379.41788834</v>
      </c>
      <c r="V33" s="65">
        <f>S39/$D$24</f>
        <v>-14379.508821988087</v>
      </c>
      <c r="W33" s="62">
        <f>V33-U33</f>
        <v>-9.0933648087229813E-2</v>
      </c>
      <c r="X33" s="63">
        <f>W33/U33</f>
        <v>6.3238754721055993E-6</v>
      </c>
      <c r="Y33" s="27"/>
    </row>
    <row r="34" spans="2:25">
      <c r="B34" s="130"/>
      <c r="C34" s="17" t="s">
        <v>101</v>
      </c>
      <c r="D34" s="19" t="s">
        <v>138</v>
      </c>
      <c r="F34" s="40"/>
      <c r="G34" s="40"/>
      <c r="H34" s="41"/>
      <c r="I34" s="42"/>
      <c r="J34" s="43"/>
      <c r="K34" s="40"/>
      <c r="L34" s="44"/>
      <c r="M34" s="45"/>
      <c r="N34" s="46"/>
      <c r="O34" s="44"/>
      <c r="Q34" s="52" t="s">
        <v>146</v>
      </c>
      <c r="R34" s="52" t="s">
        <v>169</v>
      </c>
      <c r="S34" s="48">
        <v>0</v>
      </c>
      <c r="U34" s="11"/>
      <c r="V34" s="11"/>
      <c r="W34" s="11"/>
      <c r="X34" s="11"/>
      <c r="Y34" s="27"/>
    </row>
    <row r="35" spans="2:25">
      <c r="F35" s="40"/>
      <c r="G35" s="40"/>
      <c r="H35" s="41"/>
      <c r="I35" s="42"/>
      <c r="J35" s="43"/>
      <c r="K35" s="40"/>
      <c r="L35" s="44"/>
      <c r="M35" s="45"/>
      <c r="N35" s="46"/>
      <c r="O35" s="44"/>
      <c r="Q35" s="52" t="s">
        <v>146</v>
      </c>
      <c r="R35" s="52" t="s">
        <v>170</v>
      </c>
      <c r="S35" s="48">
        <v>0</v>
      </c>
      <c r="U35" s="11"/>
      <c r="V35" s="11"/>
      <c r="W35" s="11"/>
      <c r="X35" s="11"/>
      <c r="Y35" s="27"/>
    </row>
    <row r="36" spans="2:25">
      <c r="F36" s="40"/>
      <c r="G36" s="40"/>
      <c r="H36" s="41"/>
      <c r="I36" s="42"/>
      <c r="J36" s="43"/>
      <c r="K36" s="40"/>
      <c r="L36" s="44"/>
      <c r="M36" s="45"/>
      <c r="N36" s="46"/>
      <c r="O36" s="44"/>
      <c r="Q36" s="52" t="s">
        <v>146</v>
      </c>
      <c r="R36" s="52" t="s">
        <v>171</v>
      </c>
      <c r="S36" s="48">
        <v>0</v>
      </c>
      <c r="U36" s="11"/>
      <c r="V36" s="11"/>
      <c r="W36" s="11"/>
      <c r="X36" s="11"/>
      <c r="Y36" s="27"/>
    </row>
    <row r="37" spans="2:25">
      <c r="F37" s="40"/>
      <c r="G37" s="40"/>
      <c r="H37" s="41"/>
      <c r="I37" s="42"/>
      <c r="J37" s="43"/>
      <c r="K37" s="40"/>
      <c r="L37" s="44"/>
      <c r="M37" s="45"/>
      <c r="N37" s="46"/>
      <c r="O37" s="44"/>
      <c r="Q37" s="52" t="s">
        <v>146</v>
      </c>
      <c r="R37" s="52" t="s">
        <v>172</v>
      </c>
      <c r="S37" s="48">
        <v>0</v>
      </c>
      <c r="U37" s="65">
        <v>-952917.33011603297</v>
      </c>
      <c r="V37" s="65">
        <f>S29</f>
        <v>1306684.11873281</v>
      </c>
      <c r="W37" s="62">
        <f>V37+U37</f>
        <v>353766.78861677705</v>
      </c>
      <c r="X37" s="63">
        <f>W37/U37</f>
        <v>-0.37124604353003032</v>
      </c>
      <c r="Y37" s="27"/>
    </row>
    <row r="38" spans="2:25">
      <c r="F38" s="40"/>
      <c r="G38" s="40"/>
      <c r="H38" s="41"/>
      <c r="I38" s="42"/>
      <c r="J38" s="43"/>
      <c r="K38" s="40"/>
      <c r="L38" s="44"/>
      <c r="M38" s="45"/>
      <c r="N38" s="46"/>
      <c r="O38" s="44"/>
      <c r="Q38" s="52" t="s">
        <v>146</v>
      </c>
      <c r="R38" s="52" t="s">
        <v>173</v>
      </c>
      <c r="S38" s="48">
        <v>0</v>
      </c>
      <c r="U38" s="65">
        <v>-20725493.582040001</v>
      </c>
      <c r="V38" s="65">
        <f>S30</f>
        <v>20371958.897560835</v>
      </c>
      <c r="W38" s="62">
        <f>V38+U38</f>
        <v>-353534.68447916582</v>
      </c>
      <c r="X38" s="63">
        <f>W38/U38</f>
        <v>1.7057962121853967E-2</v>
      </c>
      <c r="Y38" s="27"/>
    </row>
    <row r="39" spans="2:25">
      <c r="G39" s="40"/>
      <c r="H39" s="41"/>
      <c r="I39" s="42"/>
      <c r="J39" s="43"/>
      <c r="K39" s="40"/>
      <c r="L39" s="44"/>
      <c r="M39" s="45"/>
      <c r="N39" s="46"/>
      <c r="O39" s="44"/>
      <c r="Q39" s="52" t="s">
        <v>184</v>
      </c>
      <c r="R39" s="52" t="s">
        <v>183</v>
      </c>
      <c r="S39" s="48">
        <v>-22037718.871384859</v>
      </c>
      <c r="U39" s="65">
        <v>-21678366.734385401</v>
      </c>
      <c r="V39" s="65">
        <f>S40</f>
        <v>21678583.471775055</v>
      </c>
      <c r="W39" s="62">
        <f>V39+U39</f>
        <v>216.73738965392113</v>
      </c>
      <c r="X39" s="63">
        <f>W39/U39</f>
        <v>-9.9978652593850856E-6</v>
      </c>
      <c r="Y39" s="27"/>
    </row>
    <row r="40" spans="2:25">
      <c r="G40" s="40"/>
      <c r="H40" s="41"/>
      <c r="I40" s="42"/>
      <c r="J40" s="43"/>
      <c r="K40" s="40"/>
      <c r="L40" s="44"/>
      <c r="M40" s="45"/>
      <c r="N40" s="46"/>
      <c r="O40" s="44"/>
      <c r="Q40" s="52" t="s">
        <v>185</v>
      </c>
      <c r="R40" s="52" t="s">
        <v>183</v>
      </c>
      <c r="S40" s="48">
        <v>21678583.471775055</v>
      </c>
      <c r="U40" s="11"/>
      <c r="V40" s="11"/>
      <c r="W40" s="11"/>
      <c r="X40" s="11"/>
    </row>
    <row r="41" spans="2:25">
      <c r="G41" s="40"/>
      <c r="H41" s="41"/>
      <c r="I41" s="42"/>
      <c r="J41" s="43"/>
      <c r="K41" s="40"/>
      <c r="L41" s="44"/>
      <c r="M41" s="45"/>
      <c r="N41" s="46"/>
      <c r="O41" s="44"/>
      <c r="U41" s="11"/>
      <c r="V41" s="11"/>
      <c r="W41" s="11"/>
      <c r="X41" s="11"/>
    </row>
    <row r="42" spans="2:25">
      <c r="G42" s="40"/>
      <c r="H42" s="41"/>
      <c r="I42" s="42"/>
      <c r="J42" s="43"/>
      <c r="K42" s="40"/>
      <c r="L42" s="44"/>
      <c r="M42" s="45"/>
      <c r="N42" s="46"/>
      <c r="O42" s="44"/>
      <c r="U42" s="66">
        <v>6816005209.8809996</v>
      </c>
      <c r="V42" s="62">
        <v>6819642531.6200256</v>
      </c>
      <c r="W42" s="62">
        <f>V42-U42</f>
        <v>3637321.7390260696</v>
      </c>
      <c r="X42" s="63">
        <f>W42/U42</f>
        <v>5.3364421343943974E-4</v>
      </c>
    </row>
    <row r="43" spans="2:25">
      <c r="G43" s="40"/>
      <c r="H43" s="41"/>
      <c r="I43" s="42"/>
      <c r="J43" s="43"/>
      <c r="K43" s="40"/>
      <c r="L43" s="44"/>
      <c r="M43" s="45"/>
      <c r="N43" s="46"/>
      <c r="O43" s="44"/>
    </row>
    <row r="44" spans="2:25">
      <c r="G44" s="40"/>
      <c r="H44" s="41"/>
      <c r="I44" s="42"/>
      <c r="J44" s="43"/>
      <c r="K44" s="40"/>
      <c r="L44" s="44"/>
      <c r="M44" s="45"/>
      <c r="N44" s="46"/>
      <c r="O44" s="44"/>
    </row>
    <row r="45" spans="2:25">
      <c r="G45" s="40"/>
      <c r="H45" s="41"/>
      <c r="I45" s="42"/>
      <c r="J45" s="43"/>
      <c r="K45" s="40"/>
      <c r="L45" s="44"/>
      <c r="M45" s="45"/>
      <c r="N45" s="46"/>
      <c r="O45" s="44"/>
    </row>
    <row r="46" spans="2:25">
      <c r="G46" s="40"/>
      <c r="H46" s="41"/>
      <c r="I46" s="42"/>
      <c r="J46" s="43"/>
      <c r="K46" s="40"/>
      <c r="L46" s="44"/>
      <c r="M46" s="45"/>
      <c r="N46" s="46"/>
      <c r="O46" s="44"/>
    </row>
    <row r="47" spans="2:25">
      <c r="G47" s="40"/>
      <c r="H47" s="41"/>
      <c r="I47" s="42"/>
      <c r="J47" s="43"/>
      <c r="K47" s="40"/>
      <c r="L47" s="44"/>
      <c r="M47" s="45"/>
      <c r="N47" s="46"/>
      <c r="O47" s="44"/>
    </row>
    <row r="48" spans="2:25">
      <c r="G48" s="40"/>
      <c r="H48" s="41"/>
      <c r="I48" s="42"/>
      <c r="J48" s="43"/>
      <c r="K48" s="40"/>
      <c r="L48" s="44"/>
      <c r="M48" s="45"/>
      <c r="N48" s="46"/>
      <c r="O48" s="44"/>
    </row>
    <row r="49" spans="7:15">
      <c r="G49" s="40"/>
      <c r="H49" s="41"/>
      <c r="I49" s="42"/>
      <c r="J49" s="43"/>
      <c r="K49" s="40"/>
      <c r="L49" s="44"/>
      <c r="M49" s="45"/>
      <c r="N49" s="46"/>
      <c r="O49" s="44"/>
    </row>
    <row r="50" spans="7:15">
      <c r="G50" s="40"/>
      <c r="H50" s="41"/>
      <c r="I50" s="42"/>
      <c r="J50" s="43"/>
      <c r="K50" s="40"/>
      <c r="L50" s="44"/>
      <c r="M50" s="45"/>
      <c r="N50" s="46"/>
      <c r="O50" s="44"/>
    </row>
    <row r="51" spans="7:15">
      <c r="G51" s="40"/>
      <c r="H51" s="41"/>
      <c r="I51" s="42"/>
      <c r="J51" s="43"/>
      <c r="K51" s="40"/>
      <c r="L51" s="44"/>
      <c r="M51" s="45"/>
      <c r="N51" s="46"/>
      <c r="O51" s="44"/>
    </row>
  </sheetData>
  <mergeCells count="11">
    <mergeCell ref="B18:C18"/>
    <mergeCell ref="B19:C19"/>
    <mergeCell ref="B20:C20"/>
    <mergeCell ref="B25:C25"/>
    <mergeCell ref="B31:B34"/>
    <mergeCell ref="B21:C21"/>
    <mergeCell ref="B22:C22"/>
    <mergeCell ref="B23:C23"/>
    <mergeCell ref="B24:C24"/>
    <mergeCell ref="B27:B30"/>
    <mergeCell ref="B26:C26"/>
  </mergeCells>
  <phoneticPr fontId="2" type="noConversion"/>
  <dataValidations count="1">
    <dataValidation type="list" allowBlank="1" showInputMessage="1" showErrorMessage="1" sqref="C12">
      <formula1>"Net Present Value, PV01, GIRR Delta"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79998168889431442"/>
  </sheetPr>
  <dimension ref="A1:R59"/>
  <sheetViews>
    <sheetView zoomScale="80" zoomScaleNormal="80" workbookViewId="0">
      <pane ySplit="1" topLeftCell="A2" activePane="bottomLeft" state="frozen"/>
      <selection pane="bottomLeft" activeCell="R7" sqref="R7"/>
    </sheetView>
  </sheetViews>
  <sheetFormatPr defaultColWidth="9" defaultRowHeight="16.5"/>
  <cols>
    <col min="1" max="1" width="14" style="1" customWidth="1"/>
    <col min="2" max="2" width="14" style="21" customWidth="1"/>
    <col min="3" max="3" width="11.375" style="21" customWidth="1"/>
    <col min="4" max="4" width="11.375" style="1" customWidth="1"/>
    <col min="5" max="5" width="14" style="1" customWidth="1"/>
    <col min="6" max="6" width="12.375" style="1" bestFit="1" customWidth="1"/>
    <col min="7" max="7" width="9" style="1"/>
    <col min="8" max="8" width="15.625" style="1" customWidth="1"/>
    <col min="9" max="10" width="10" style="1" customWidth="1"/>
    <col min="11" max="12" width="15.625" style="1" customWidth="1"/>
    <col min="13" max="13" width="15.625" style="1" bestFit="1" customWidth="1"/>
    <col min="14" max="14" width="14.25" style="1" bestFit="1" customWidth="1"/>
    <col min="15" max="15" width="9" style="1"/>
    <col min="16" max="16" width="11.125" style="1" bestFit="1" customWidth="1"/>
    <col min="17" max="17" width="9" style="1"/>
    <col min="18" max="18" width="12.125" style="1" bestFit="1" customWidth="1"/>
    <col min="19" max="19" width="15.625" style="1" bestFit="1" customWidth="1"/>
    <col min="20" max="16384" width="9" style="1"/>
  </cols>
  <sheetData>
    <row r="1" spans="1:18">
      <c r="A1" s="18" t="s">
        <v>103</v>
      </c>
      <c r="B1" s="18" t="s">
        <v>105</v>
      </c>
      <c r="C1" s="18" t="s">
        <v>108</v>
      </c>
      <c r="D1" s="18" t="s">
        <v>106</v>
      </c>
      <c r="E1" s="18" t="s">
        <v>107</v>
      </c>
      <c r="F1" s="18" t="s">
        <v>98</v>
      </c>
      <c r="G1" s="32"/>
      <c r="H1" s="18" t="s">
        <v>105</v>
      </c>
      <c r="I1" s="18" t="s">
        <v>108</v>
      </c>
      <c r="J1" s="18" t="s">
        <v>106</v>
      </c>
      <c r="K1" s="18" t="s">
        <v>114</v>
      </c>
      <c r="L1" s="18" t="s">
        <v>107</v>
      </c>
      <c r="M1" s="36" t="s">
        <v>112</v>
      </c>
      <c r="N1" s="36" t="s">
        <v>176</v>
      </c>
    </row>
    <row r="2" spans="1:18">
      <c r="A2" s="10">
        <v>45657</v>
      </c>
      <c r="B2" s="20" t="s">
        <v>136</v>
      </c>
      <c r="C2" s="20">
        <v>3</v>
      </c>
      <c r="D2" s="20" t="s">
        <v>159</v>
      </c>
      <c r="E2" s="9">
        <v>2.6443870299999999</v>
      </c>
      <c r="F2" s="10">
        <v>45747</v>
      </c>
      <c r="H2" s="9" t="s">
        <v>158</v>
      </c>
      <c r="I2" s="9">
        <v>3</v>
      </c>
      <c r="J2" s="9" t="s">
        <v>102</v>
      </c>
      <c r="K2" s="9">
        <v>0.25</v>
      </c>
      <c r="L2" s="67">
        <v>2.6443870299999999</v>
      </c>
      <c r="M2" s="37">
        <v>0.9934324502832248</v>
      </c>
      <c r="N2" s="37">
        <v>2.6356843857541459</v>
      </c>
      <c r="P2" s="59"/>
    </row>
    <row r="3" spans="1:18">
      <c r="A3" s="10">
        <v>45657</v>
      </c>
      <c r="B3" s="20" t="s">
        <v>136</v>
      </c>
      <c r="C3" s="20">
        <v>6</v>
      </c>
      <c r="D3" s="20" t="s">
        <v>159</v>
      </c>
      <c r="E3" s="9">
        <v>2.3805864799999998</v>
      </c>
      <c r="F3" s="10">
        <v>45839</v>
      </c>
      <c r="H3" s="9" t="s">
        <v>158</v>
      </c>
      <c r="I3" s="9">
        <v>6</v>
      </c>
      <c r="J3" s="9" t="s">
        <v>102</v>
      </c>
      <c r="K3" s="9">
        <v>0.5</v>
      </c>
      <c r="L3" s="67">
        <v>2.3805864799999998</v>
      </c>
      <c r="M3" s="37">
        <v>0.98239424802575681</v>
      </c>
      <c r="N3" s="37">
        <v>3.5525153258082858</v>
      </c>
      <c r="P3" s="59"/>
    </row>
    <row r="4" spans="1:18">
      <c r="A4" s="10">
        <v>45657</v>
      </c>
      <c r="B4" s="20" t="s">
        <v>136</v>
      </c>
      <c r="C4" s="20">
        <v>1</v>
      </c>
      <c r="D4" s="20" t="s">
        <v>161</v>
      </c>
      <c r="E4" s="9">
        <v>2.10763173</v>
      </c>
      <c r="F4" s="10">
        <v>46022</v>
      </c>
      <c r="H4" s="9" t="s">
        <v>158</v>
      </c>
      <c r="I4" s="9">
        <v>1</v>
      </c>
      <c r="J4" s="9" t="s">
        <v>160</v>
      </c>
      <c r="K4" s="9">
        <v>1</v>
      </c>
      <c r="L4" s="67">
        <v>2.10763173</v>
      </c>
      <c r="M4" s="37">
        <v>0.96409336157745562</v>
      </c>
      <c r="N4" s="37">
        <v>3.6567140951673007</v>
      </c>
      <c r="P4" s="59" cm="1">
        <f t="array" ref="P4">calcforwardrate(L4,K4,L5,K5)</f>
        <v>1.954201481217138</v>
      </c>
    </row>
    <row r="5" spans="1:18">
      <c r="A5" s="10">
        <v>45657</v>
      </c>
      <c r="B5" s="20" t="s">
        <v>136</v>
      </c>
      <c r="C5" s="20">
        <v>2</v>
      </c>
      <c r="D5" s="20" t="s">
        <v>161</v>
      </c>
      <c r="E5" s="9">
        <v>1.9759313300000001</v>
      </c>
      <c r="F5" s="10">
        <v>46387</v>
      </c>
      <c r="H5" s="9" t="s">
        <v>158</v>
      </c>
      <c r="I5" s="9">
        <v>2</v>
      </c>
      <c r="J5" s="9" t="s">
        <v>160</v>
      </c>
      <c r="K5" s="9">
        <v>2</v>
      </c>
      <c r="L5" s="67">
        <v>1.9759313300000001</v>
      </c>
      <c r="M5" s="37">
        <v>0.92960053708365964</v>
      </c>
      <c r="N5" s="37">
        <v>3.6500157563423876</v>
      </c>
      <c r="P5" s="59"/>
    </row>
    <row r="6" spans="1:18">
      <c r="A6" s="10">
        <v>45657</v>
      </c>
      <c r="B6" s="20" t="s">
        <v>136</v>
      </c>
      <c r="C6" s="20">
        <v>3</v>
      </c>
      <c r="D6" s="20" t="s">
        <v>161</v>
      </c>
      <c r="E6" s="9">
        <v>1.98563969</v>
      </c>
      <c r="F6" s="10">
        <v>46752</v>
      </c>
      <c r="H6" s="9" t="s">
        <v>158</v>
      </c>
      <c r="I6" s="9">
        <v>3</v>
      </c>
      <c r="J6" s="9" t="s">
        <v>160</v>
      </c>
      <c r="K6" s="9">
        <v>3</v>
      </c>
      <c r="L6" s="67">
        <v>1.98563969</v>
      </c>
      <c r="M6" s="37">
        <v>0.87701176191929753</v>
      </c>
      <c r="N6" s="37">
        <v>4.3744958387116748</v>
      </c>
      <c r="R6" s="1" t="s">
        <v>329</v>
      </c>
    </row>
    <row r="7" spans="1:18">
      <c r="A7" s="10">
        <v>45657</v>
      </c>
      <c r="B7" s="20" t="s">
        <v>136</v>
      </c>
      <c r="C7" s="20">
        <v>5</v>
      </c>
      <c r="D7" s="20" t="s">
        <v>161</v>
      </c>
      <c r="E7" s="9">
        <v>2.0714821400000001</v>
      </c>
      <c r="F7" s="10">
        <v>47483</v>
      </c>
      <c r="H7" s="9" t="s">
        <v>158</v>
      </c>
      <c r="I7" s="9">
        <v>5</v>
      </c>
      <c r="J7" s="9" t="s">
        <v>160</v>
      </c>
      <c r="K7" s="9">
        <v>5</v>
      </c>
      <c r="L7" s="67">
        <v>2.0714821400000001</v>
      </c>
      <c r="M7" s="37">
        <v>0.78988331983499027</v>
      </c>
      <c r="N7" s="37">
        <v>4.7174008168132735</v>
      </c>
    </row>
    <row r="8" spans="1:18">
      <c r="A8" s="10">
        <v>45657</v>
      </c>
      <c r="B8" s="20" t="s">
        <v>136</v>
      </c>
      <c r="C8" s="20">
        <v>10</v>
      </c>
      <c r="D8" s="20" t="s">
        <v>161</v>
      </c>
      <c r="E8" s="9">
        <v>2.25037149</v>
      </c>
      <c r="F8" s="10">
        <v>49309</v>
      </c>
      <c r="H8" s="9" t="s">
        <v>158</v>
      </c>
      <c r="I8" s="9">
        <v>10</v>
      </c>
      <c r="J8" s="9" t="s">
        <v>160</v>
      </c>
      <c r="K8" s="9">
        <v>10</v>
      </c>
      <c r="L8" s="67">
        <v>2.25037149</v>
      </c>
      <c r="M8" s="37">
        <v>0.6299711271944991</v>
      </c>
      <c r="N8" s="37">
        <v>4.6208129049677975</v>
      </c>
    </row>
    <row r="9" spans="1:18">
      <c r="A9" s="10">
        <v>45657</v>
      </c>
      <c r="B9" s="20" t="s">
        <v>136</v>
      </c>
      <c r="C9" s="20">
        <v>15</v>
      </c>
      <c r="D9" s="20" t="s">
        <v>161</v>
      </c>
      <c r="E9" s="9">
        <v>2.3612887700000003</v>
      </c>
      <c r="F9" s="10">
        <v>51135</v>
      </c>
      <c r="H9" s="9" t="s">
        <v>158</v>
      </c>
      <c r="I9" s="9">
        <v>15</v>
      </c>
      <c r="J9" s="9" t="s">
        <v>160</v>
      </c>
      <c r="K9" s="9">
        <v>15</v>
      </c>
      <c r="L9" s="67">
        <v>2.3612887700000003</v>
      </c>
      <c r="M9" s="37">
        <v>0.4517323912416642</v>
      </c>
      <c r="N9" s="37">
        <v>5.2977688617241432</v>
      </c>
    </row>
    <row r="10" spans="1:18">
      <c r="A10" s="10">
        <v>45657</v>
      </c>
      <c r="B10" s="20" t="s">
        <v>136</v>
      </c>
      <c r="C10" s="20">
        <v>20</v>
      </c>
      <c r="D10" s="20" t="s">
        <v>161</v>
      </c>
      <c r="E10" s="9">
        <v>2.34768987</v>
      </c>
      <c r="F10" s="10">
        <v>52962</v>
      </c>
      <c r="H10" s="9" t="s">
        <v>158</v>
      </c>
      <c r="I10" s="9">
        <v>20</v>
      </c>
      <c r="J10" s="9" t="s">
        <v>160</v>
      </c>
      <c r="K10" s="9">
        <v>20</v>
      </c>
      <c r="L10" s="67">
        <v>2.34768987</v>
      </c>
      <c r="M10" s="37">
        <v>0.30954621636445284</v>
      </c>
      <c r="N10" s="37">
        <v>5.8632393605532425</v>
      </c>
    </row>
    <row r="11" spans="1:18">
      <c r="A11" s="10">
        <v>45657</v>
      </c>
      <c r="B11" s="20" t="s">
        <v>136</v>
      </c>
      <c r="C11" s="20">
        <v>30</v>
      </c>
      <c r="D11" s="20" t="s">
        <v>161</v>
      </c>
      <c r="E11" s="9">
        <v>2.2255283000000001</v>
      </c>
      <c r="F11" s="10">
        <v>56614</v>
      </c>
      <c r="H11" s="9" t="s">
        <v>158</v>
      </c>
      <c r="I11" s="9">
        <v>30</v>
      </c>
      <c r="J11" s="9" t="s">
        <v>160</v>
      </c>
      <c r="K11" s="9">
        <v>30</v>
      </c>
      <c r="L11" s="67">
        <v>2.2255283000000001</v>
      </c>
      <c r="M11" s="37">
        <v>0.20716102375836631</v>
      </c>
      <c r="N11" s="37">
        <v>5.2475296518862384</v>
      </c>
    </row>
    <row r="12" spans="1:18">
      <c r="A12" s="10">
        <v>45657</v>
      </c>
      <c r="B12" s="20" t="s">
        <v>138</v>
      </c>
      <c r="C12" s="20">
        <v>3</v>
      </c>
      <c r="D12" s="20" t="s">
        <v>102</v>
      </c>
      <c r="E12" s="9">
        <v>2.9931426999999999</v>
      </c>
      <c r="F12" s="10">
        <v>45747</v>
      </c>
      <c r="H12" s="9" t="s">
        <v>146</v>
      </c>
      <c r="I12" s="9">
        <v>3</v>
      </c>
      <c r="J12" s="9" t="s">
        <v>102</v>
      </c>
      <c r="K12" s="9">
        <v>0.25</v>
      </c>
      <c r="L12" s="37">
        <v>2.9931426999999999</v>
      </c>
      <c r="M12" s="37">
        <v>0.99257272051840295</v>
      </c>
      <c r="N12" s="37">
        <v>2.981999624471674</v>
      </c>
    </row>
    <row r="13" spans="1:18">
      <c r="A13" s="10">
        <v>45657</v>
      </c>
      <c r="B13" s="20" t="s">
        <v>138</v>
      </c>
      <c r="C13" s="20">
        <v>6</v>
      </c>
      <c r="D13" s="20" t="s">
        <v>102</v>
      </c>
      <c r="E13" s="9">
        <v>2.5760796999999998</v>
      </c>
      <c r="F13" s="10">
        <v>45839</v>
      </c>
      <c r="H13" s="9" t="s">
        <v>146</v>
      </c>
      <c r="I13" s="9">
        <v>6</v>
      </c>
      <c r="J13" s="9" t="s">
        <v>102</v>
      </c>
      <c r="K13" s="9">
        <v>0.5</v>
      </c>
      <c r="L13" s="37">
        <v>2.5760796999999998</v>
      </c>
      <c r="M13" s="37">
        <v>0.98097231951689989</v>
      </c>
      <c r="N13" s="37">
        <v>3.8422072826681459</v>
      </c>
    </row>
    <row r="14" spans="1:18">
      <c r="A14" s="10">
        <v>45657</v>
      </c>
      <c r="B14" s="20" t="s">
        <v>138</v>
      </c>
      <c r="C14" s="20">
        <v>1</v>
      </c>
      <c r="D14" s="20" t="s">
        <v>160</v>
      </c>
      <c r="E14" s="9">
        <v>2.3328591999999997</v>
      </c>
      <c r="F14" s="10">
        <v>46022</v>
      </c>
      <c r="H14" s="9" t="s">
        <v>146</v>
      </c>
      <c r="I14" s="9">
        <v>1</v>
      </c>
      <c r="J14" s="9" t="s">
        <v>160</v>
      </c>
      <c r="K14" s="9">
        <v>1</v>
      </c>
      <c r="L14" s="37">
        <v>2.3328591999999997</v>
      </c>
      <c r="M14" s="37">
        <v>0.96036485755742707</v>
      </c>
      <c r="N14" s="37">
        <v>4.0442006769092771</v>
      </c>
    </row>
    <row r="15" spans="1:18">
      <c r="A15" s="10">
        <v>45657</v>
      </c>
      <c r="B15" s="20" t="s">
        <v>138</v>
      </c>
      <c r="C15" s="20">
        <v>2</v>
      </c>
      <c r="D15" s="20" t="s">
        <v>160</v>
      </c>
      <c r="E15" s="9">
        <v>2.1926168000000001</v>
      </c>
      <c r="F15" s="10">
        <v>46387</v>
      </c>
      <c r="H15" s="9" t="s">
        <v>146</v>
      </c>
      <c r="I15" s="9">
        <v>2</v>
      </c>
      <c r="J15" s="9" t="s">
        <v>160</v>
      </c>
      <c r="K15" s="9">
        <v>2</v>
      </c>
      <c r="L15" s="37">
        <v>2.1926168000000001</v>
      </c>
      <c r="M15" s="37">
        <v>0.92230245082843332</v>
      </c>
      <c r="N15" s="37">
        <v>4.0441035721648486</v>
      </c>
    </row>
    <row r="16" spans="1:18">
      <c r="A16" s="10">
        <v>45657</v>
      </c>
      <c r="B16" s="20" t="s">
        <v>138</v>
      </c>
      <c r="C16" s="20">
        <v>3</v>
      </c>
      <c r="D16" s="20" t="s">
        <v>160</v>
      </c>
      <c r="E16" s="9">
        <v>2.1934282000000001</v>
      </c>
      <c r="F16" s="10">
        <v>46752</v>
      </c>
      <c r="H16" s="9" t="s">
        <v>146</v>
      </c>
      <c r="I16" s="9">
        <v>3</v>
      </c>
      <c r="J16" s="9" t="s">
        <v>160</v>
      </c>
      <c r="K16" s="9">
        <v>3</v>
      </c>
      <c r="L16" s="37">
        <v>2.1934282000000001</v>
      </c>
      <c r="M16" s="37">
        <v>0.86533236566844673</v>
      </c>
      <c r="N16" s="37">
        <v>4.8213869361231367</v>
      </c>
    </row>
    <row r="17" spans="1:14">
      <c r="A17" s="10">
        <v>45657</v>
      </c>
      <c r="B17" s="20" t="s">
        <v>138</v>
      </c>
      <c r="C17" s="20">
        <v>5</v>
      </c>
      <c r="D17" s="20" t="s">
        <v>160</v>
      </c>
      <c r="E17" s="9">
        <v>2.2312499999999997</v>
      </c>
      <c r="F17" s="10">
        <v>47483</v>
      </c>
      <c r="H17" s="9" t="s">
        <v>146</v>
      </c>
      <c r="I17" s="9">
        <v>5</v>
      </c>
      <c r="J17" s="9" t="s">
        <v>160</v>
      </c>
      <c r="K17" s="9">
        <v>5</v>
      </c>
      <c r="L17" s="37">
        <v>2.2312499999999997</v>
      </c>
      <c r="M17" s="37">
        <v>0.77639382389595479</v>
      </c>
      <c r="N17" s="37">
        <v>5.0619076503095259</v>
      </c>
    </row>
    <row r="18" spans="1:14">
      <c r="A18" s="10">
        <v>45657</v>
      </c>
      <c r="B18" s="20" t="s">
        <v>138</v>
      </c>
      <c r="C18" s="20">
        <v>10</v>
      </c>
      <c r="D18" s="20" t="s">
        <v>160</v>
      </c>
      <c r="E18" s="9">
        <v>2.2380958</v>
      </c>
      <c r="F18" s="10">
        <v>49309</v>
      </c>
      <c r="H18" s="9" t="s">
        <v>146</v>
      </c>
      <c r="I18" s="9">
        <v>10</v>
      </c>
      <c r="J18" s="9" t="s">
        <v>160</v>
      </c>
      <c r="K18" s="9">
        <v>10</v>
      </c>
      <c r="L18" s="37">
        <v>2.2380958</v>
      </c>
      <c r="M18" s="37">
        <v>0.63384678487120549</v>
      </c>
      <c r="N18" s="37">
        <v>4.5594801799141997</v>
      </c>
    </row>
    <row r="19" spans="1:14">
      <c r="A19" s="10">
        <v>45657</v>
      </c>
      <c r="B19" s="20" t="s">
        <v>138</v>
      </c>
      <c r="C19" s="20">
        <v>15</v>
      </c>
      <c r="D19" s="20" t="s">
        <v>160</v>
      </c>
      <c r="E19" s="9">
        <v>2.1153660000000003</v>
      </c>
      <c r="F19" s="10">
        <v>51135</v>
      </c>
      <c r="H19" s="9" t="s">
        <v>146</v>
      </c>
      <c r="I19" s="9">
        <v>15</v>
      </c>
      <c r="J19" s="9" t="s">
        <v>160</v>
      </c>
      <c r="K19" s="9">
        <v>15</v>
      </c>
      <c r="L19" s="37">
        <v>2.1153660000000003</v>
      </c>
      <c r="M19" s="37">
        <v>0.49641159070590557</v>
      </c>
      <c r="N19" s="37">
        <v>4.6689991759724343</v>
      </c>
    </row>
    <row r="20" spans="1:14">
      <c r="A20" s="10">
        <v>45657</v>
      </c>
      <c r="B20" s="20" t="s">
        <v>138</v>
      </c>
      <c r="C20" s="20">
        <v>20</v>
      </c>
      <c r="D20" s="20" t="s">
        <v>160</v>
      </c>
      <c r="E20" s="9">
        <v>2.0361275000000001</v>
      </c>
      <c r="F20" s="10">
        <v>52962</v>
      </c>
      <c r="H20" s="9" t="s">
        <v>146</v>
      </c>
      <c r="I20" s="9">
        <v>20</v>
      </c>
      <c r="J20" s="9" t="s">
        <v>160</v>
      </c>
      <c r="K20" s="9">
        <v>20</v>
      </c>
      <c r="L20" s="37">
        <v>2.0361275000000001</v>
      </c>
      <c r="M20" s="37">
        <v>0.36616396736651058</v>
      </c>
      <c r="N20" s="37">
        <v>5.0233702381643974</v>
      </c>
    </row>
    <row r="21" spans="1:14">
      <c r="A21" s="10">
        <v>45657</v>
      </c>
      <c r="B21" s="20" t="s">
        <v>138</v>
      </c>
      <c r="C21" s="20">
        <v>30</v>
      </c>
      <c r="D21" s="20" t="s">
        <v>160</v>
      </c>
      <c r="E21" s="9">
        <v>2.0361275000000001</v>
      </c>
      <c r="F21" s="10">
        <v>56614</v>
      </c>
      <c r="H21" s="9" t="s">
        <v>146</v>
      </c>
      <c r="I21" s="9">
        <v>30</v>
      </c>
      <c r="J21" s="9" t="s">
        <v>160</v>
      </c>
      <c r="K21" s="9">
        <v>30</v>
      </c>
      <c r="L21" s="37">
        <v>2.0361275000000001</v>
      </c>
      <c r="M21" s="37">
        <v>0.22731268478788019</v>
      </c>
      <c r="N21" s="37">
        <v>4.9380958110361615</v>
      </c>
    </row>
    <row r="22" spans="1:14">
      <c r="A22" s="10">
        <v>45657</v>
      </c>
      <c r="B22" s="20" t="s">
        <v>219</v>
      </c>
      <c r="C22" s="20">
        <v>3</v>
      </c>
      <c r="D22" s="20" t="s">
        <v>102</v>
      </c>
      <c r="E22" s="37">
        <v>3.6955175265000002</v>
      </c>
      <c r="F22" s="10">
        <v>45747</v>
      </c>
      <c r="H22" s="9" t="s">
        <v>230</v>
      </c>
      <c r="I22" s="9">
        <v>3</v>
      </c>
      <c r="J22" s="9" t="s">
        <v>102</v>
      </c>
      <c r="K22" s="9">
        <v>0.25</v>
      </c>
      <c r="L22" s="9">
        <v>3.6955175265000002</v>
      </c>
      <c r="M22" s="9">
        <v>0.99084578013364388</v>
      </c>
      <c r="N22" s="9">
        <v>3.6785508850710262</v>
      </c>
    </row>
    <row r="23" spans="1:14">
      <c r="A23" s="10">
        <v>45657</v>
      </c>
      <c r="B23" s="20" t="s">
        <v>219</v>
      </c>
      <c r="C23" s="20">
        <v>6</v>
      </c>
      <c r="D23" s="20" t="s">
        <v>102</v>
      </c>
      <c r="E23" s="37">
        <v>3.4994148264999998</v>
      </c>
      <c r="F23" s="10">
        <v>45839</v>
      </c>
      <c r="H23" s="9" t="s">
        <v>230</v>
      </c>
      <c r="I23" s="9">
        <v>6</v>
      </c>
      <c r="J23" s="9" t="s">
        <v>102</v>
      </c>
      <c r="K23" s="9">
        <v>0.5</v>
      </c>
      <c r="L23" s="9">
        <v>3.4994148264999998</v>
      </c>
      <c r="M23" s="9">
        <v>0.97428442220411804</v>
      </c>
      <c r="N23" s="9">
        <v>5.2104006768557021</v>
      </c>
    </row>
    <row r="24" spans="1:14">
      <c r="A24" s="10">
        <v>45657</v>
      </c>
      <c r="B24" s="20" t="s">
        <v>219</v>
      </c>
      <c r="C24" s="20">
        <v>1</v>
      </c>
      <c r="D24" s="20" t="s">
        <v>160</v>
      </c>
      <c r="E24" s="37">
        <v>3.1770956565000001</v>
      </c>
      <c r="F24" s="10">
        <v>46022</v>
      </c>
      <c r="H24" s="9" t="s">
        <v>230</v>
      </c>
      <c r="I24" s="9">
        <v>1</v>
      </c>
      <c r="J24" s="9" t="s">
        <v>160</v>
      </c>
      <c r="K24" s="9">
        <v>1</v>
      </c>
      <c r="L24" s="9">
        <v>3.1770956565000001</v>
      </c>
      <c r="M24" s="9">
        <v>0.94657926761263789</v>
      </c>
      <c r="N24" s="9">
        <v>5.4900563701416969</v>
      </c>
    </row>
    <row r="25" spans="1:14">
      <c r="A25" s="10">
        <v>45657</v>
      </c>
      <c r="B25" s="20" t="s">
        <v>219</v>
      </c>
      <c r="C25" s="20">
        <v>2</v>
      </c>
      <c r="D25" s="20" t="s">
        <v>160</v>
      </c>
      <c r="E25" s="37">
        <v>3.0424227364999998</v>
      </c>
      <c r="F25" s="10">
        <v>46387</v>
      </c>
      <c r="H25" s="9" t="s">
        <v>230</v>
      </c>
      <c r="I25" s="9">
        <v>2</v>
      </c>
      <c r="J25" s="9" t="s">
        <v>160</v>
      </c>
      <c r="K25" s="9">
        <v>2</v>
      </c>
      <c r="L25" s="9">
        <v>3.0424227364999998</v>
      </c>
      <c r="M25" s="9">
        <v>0.89441964891242098</v>
      </c>
      <c r="N25" s="9">
        <v>5.5790104001411214</v>
      </c>
    </row>
    <row r="26" spans="1:14">
      <c r="A26" s="10">
        <v>45657</v>
      </c>
      <c r="B26" s="20" t="s">
        <v>219</v>
      </c>
      <c r="C26" s="20">
        <v>3</v>
      </c>
      <c r="D26" s="20" t="s">
        <v>160</v>
      </c>
      <c r="E26" s="37">
        <v>3.0202555864999998</v>
      </c>
      <c r="F26" s="10">
        <v>46752</v>
      </c>
      <c r="H26" s="9" t="s">
        <v>230</v>
      </c>
      <c r="I26" s="9">
        <v>3</v>
      </c>
      <c r="J26" s="9" t="s">
        <v>160</v>
      </c>
      <c r="K26" s="9">
        <v>3</v>
      </c>
      <c r="L26" s="9">
        <v>3.0202555864999998</v>
      </c>
      <c r="M26" s="9">
        <v>0.82081662907730091</v>
      </c>
      <c r="N26" s="9">
        <v>6.5818515057917777</v>
      </c>
    </row>
    <row r="27" spans="1:14">
      <c r="A27" s="10">
        <v>45657</v>
      </c>
      <c r="B27" s="20" t="s">
        <v>219</v>
      </c>
      <c r="C27" s="20">
        <v>5</v>
      </c>
      <c r="D27" s="20" t="s">
        <v>160</v>
      </c>
      <c r="E27" s="37">
        <v>3.0885111665</v>
      </c>
      <c r="F27" s="10">
        <v>47483</v>
      </c>
      <c r="H27" s="9" t="s">
        <v>230</v>
      </c>
      <c r="I27" s="9">
        <v>5</v>
      </c>
      <c r="J27" s="9" t="s">
        <v>160</v>
      </c>
      <c r="K27" s="9">
        <v>5</v>
      </c>
      <c r="L27" s="9">
        <v>3.0885111665</v>
      </c>
      <c r="M27" s="9">
        <v>0.70750964347777134</v>
      </c>
      <c r="N27" s="9">
        <v>6.9200803840072576</v>
      </c>
    </row>
    <row r="28" spans="1:14">
      <c r="A28" s="10">
        <v>45657</v>
      </c>
      <c r="B28" s="20" t="s">
        <v>219</v>
      </c>
      <c r="C28" s="20">
        <v>10</v>
      </c>
      <c r="D28" s="20" t="s">
        <v>160</v>
      </c>
      <c r="E28" s="37">
        <v>3.2013205665000002</v>
      </c>
      <c r="F28" s="10">
        <v>49309</v>
      </c>
      <c r="H28" s="9" t="s">
        <v>230</v>
      </c>
      <c r="I28" s="9">
        <v>10</v>
      </c>
      <c r="J28" s="9" t="s">
        <v>160</v>
      </c>
      <c r="K28" s="9">
        <v>10</v>
      </c>
      <c r="L28" s="9">
        <v>3.2013205665000002</v>
      </c>
      <c r="M28" s="9">
        <v>0.52784589604823162</v>
      </c>
      <c r="N28" s="9">
        <v>6.3895090142134512</v>
      </c>
    </row>
    <row r="29" spans="1:14">
      <c r="A29" s="10">
        <v>45657</v>
      </c>
      <c r="B29" s="20" t="s">
        <v>219</v>
      </c>
      <c r="C29" s="20">
        <v>15</v>
      </c>
      <c r="D29" s="20" t="s">
        <v>160</v>
      </c>
      <c r="E29" s="37">
        <v>3.0458265364999999</v>
      </c>
      <c r="F29" s="10">
        <v>51135</v>
      </c>
      <c r="H29" s="9" t="s">
        <v>230</v>
      </c>
      <c r="I29" s="9">
        <v>15</v>
      </c>
      <c r="J29" s="9" t="s">
        <v>160</v>
      </c>
      <c r="K29" s="9">
        <v>15</v>
      </c>
      <c r="L29" s="9">
        <v>3.0458265364999999</v>
      </c>
      <c r="M29" s="9">
        <v>0.37805554699404958</v>
      </c>
      <c r="N29" s="9">
        <v>6.484760962925959</v>
      </c>
    </row>
    <row r="30" spans="1:14">
      <c r="A30" s="10">
        <v>45657</v>
      </c>
      <c r="B30" s="20" t="s">
        <v>219</v>
      </c>
      <c r="C30" s="20">
        <v>20</v>
      </c>
      <c r="D30" s="20" t="s">
        <v>160</v>
      </c>
      <c r="E30" s="37">
        <v>2.8645762365</v>
      </c>
      <c r="F30" s="10">
        <v>52962</v>
      </c>
      <c r="H30" s="9" t="s">
        <v>230</v>
      </c>
      <c r="I30" s="9">
        <v>20</v>
      </c>
      <c r="J30" s="9" t="s">
        <v>160</v>
      </c>
      <c r="K30" s="9">
        <v>20</v>
      </c>
      <c r="L30" s="9">
        <v>2.8645762365</v>
      </c>
      <c r="M30" s="9">
        <v>0.26388329948560357</v>
      </c>
      <c r="N30" s="9">
        <v>6.6612416048529663</v>
      </c>
    </row>
    <row r="31" spans="1:14">
      <c r="A31" s="10">
        <v>45657</v>
      </c>
      <c r="B31" s="20" t="s">
        <v>219</v>
      </c>
      <c r="C31" s="20">
        <v>30</v>
      </c>
      <c r="D31" s="20" t="s">
        <v>160</v>
      </c>
      <c r="E31" s="37">
        <v>2.5420388964999998</v>
      </c>
      <c r="F31" s="10">
        <v>56614</v>
      </c>
      <c r="H31" s="9" t="s">
        <v>230</v>
      </c>
      <c r="I31" s="9">
        <v>30</v>
      </c>
      <c r="J31" s="9" t="s">
        <v>160</v>
      </c>
      <c r="K31" s="9">
        <v>30</v>
      </c>
      <c r="L31" s="9">
        <v>2.5420388964999998</v>
      </c>
      <c r="M31" s="9">
        <v>0.19673446102253395</v>
      </c>
      <c r="N31" s="9">
        <v>5.4196679102934198</v>
      </c>
    </row>
    <row r="32" spans="1:14">
      <c r="A32" s="10">
        <v>45657</v>
      </c>
      <c r="B32" s="20" t="s">
        <v>241</v>
      </c>
      <c r="C32" s="20">
        <v>3</v>
      </c>
      <c r="D32" s="20" t="s">
        <v>102</v>
      </c>
      <c r="E32" s="9">
        <v>4.3402634400000002</v>
      </c>
      <c r="F32" s="10">
        <v>45747</v>
      </c>
      <c r="H32" s="9" t="s">
        <v>240</v>
      </c>
      <c r="I32" s="9">
        <v>3</v>
      </c>
      <c r="J32" s="9" t="s">
        <v>102</v>
      </c>
      <c r="K32" s="9">
        <v>0.25</v>
      </c>
      <c r="L32" s="9">
        <v>4.3402634400000002</v>
      </c>
      <c r="M32" s="9">
        <v>0.98926581438347394</v>
      </c>
      <c r="N32" s="9">
        <v>4.316885043550502</v>
      </c>
    </row>
    <row r="33" spans="1:14">
      <c r="A33" s="10">
        <v>45657</v>
      </c>
      <c r="B33" s="20" t="s">
        <v>241</v>
      </c>
      <c r="C33" s="20">
        <v>6</v>
      </c>
      <c r="D33" s="20" t="s">
        <v>102</v>
      </c>
      <c r="E33" s="9">
        <v>5.5216721900000003</v>
      </c>
      <c r="F33" s="10">
        <v>45839</v>
      </c>
      <c r="H33" s="9" t="s">
        <v>240</v>
      </c>
      <c r="I33" s="9">
        <v>6</v>
      </c>
      <c r="J33" s="9" t="s">
        <v>102</v>
      </c>
      <c r="K33" s="9">
        <v>0.5</v>
      </c>
      <c r="L33" s="9">
        <v>5.5216721900000003</v>
      </c>
      <c r="M33" s="9">
        <v>0.95984426912277221</v>
      </c>
      <c r="N33" s="9">
        <v>8.1968454686133718</v>
      </c>
    </row>
    <row r="34" spans="1:14">
      <c r="A34" s="10">
        <v>45657</v>
      </c>
      <c r="B34" s="20" t="s">
        <v>241</v>
      </c>
      <c r="C34" s="20">
        <v>1</v>
      </c>
      <c r="D34" s="20" t="s">
        <v>160</v>
      </c>
      <c r="E34" s="9">
        <v>5.3984635599999997</v>
      </c>
      <c r="F34" s="10">
        <v>46022</v>
      </c>
      <c r="H34" s="9" t="s">
        <v>240</v>
      </c>
      <c r="I34" s="9">
        <v>1</v>
      </c>
      <c r="J34" s="9" t="s">
        <v>160</v>
      </c>
      <c r="K34" s="9">
        <v>1</v>
      </c>
      <c r="L34" s="9">
        <v>5.3984635599999997</v>
      </c>
      <c r="M34" s="9">
        <v>0.91153158914612942</v>
      </c>
      <c r="N34" s="9">
        <v>9.2629029242177605</v>
      </c>
    </row>
    <row r="35" spans="1:14">
      <c r="A35" s="10">
        <v>45657</v>
      </c>
      <c r="B35" s="20" t="s">
        <v>241</v>
      </c>
      <c r="C35" s="20">
        <v>2</v>
      </c>
      <c r="D35" s="20" t="s">
        <v>160</v>
      </c>
      <c r="E35" s="9">
        <v>4.0390825100000001</v>
      </c>
      <c r="F35" s="10">
        <v>46387</v>
      </c>
      <c r="H35" s="9" t="s">
        <v>240</v>
      </c>
      <c r="I35" s="9">
        <v>2</v>
      </c>
      <c r="J35" s="9" t="s">
        <v>160</v>
      </c>
      <c r="K35" s="9">
        <v>2</v>
      </c>
      <c r="L35" s="9">
        <v>4.0390825100000001</v>
      </c>
      <c r="M35" s="9">
        <v>0.86401237494792826</v>
      </c>
      <c r="N35" s="9">
        <v>7.3084093712127052</v>
      </c>
    </row>
    <row r="36" spans="1:14">
      <c r="A36" s="10">
        <v>45657</v>
      </c>
      <c r="B36" s="20" t="s">
        <v>241</v>
      </c>
      <c r="C36" s="20">
        <v>3</v>
      </c>
      <c r="D36" s="20" t="s">
        <v>160</v>
      </c>
      <c r="E36" s="9">
        <v>5.2725841499999992</v>
      </c>
      <c r="F36" s="10">
        <v>46752</v>
      </c>
      <c r="H36" s="9" t="s">
        <v>240</v>
      </c>
      <c r="I36" s="9">
        <v>3</v>
      </c>
      <c r="J36" s="9" t="s">
        <v>160</v>
      </c>
      <c r="K36" s="9">
        <v>3</v>
      </c>
      <c r="L36" s="9">
        <v>5.2725841499999992</v>
      </c>
      <c r="M36" s="9">
        <v>0.71015270708224565</v>
      </c>
      <c r="N36" s="9">
        <v>11.40917505585732</v>
      </c>
    </row>
    <row r="37" spans="1:14">
      <c r="A37" s="10">
        <v>45657</v>
      </c>
      <c r="B37" s="20" t="s">
        <v>241</v>
      </c>
      <c r="C37" s="20">
        <v>5</v>
      </c>
      <c r="D37" s="20" t="s">
        <v>160</v>
      </c>
      <c r="E37" s="9">
        <v>5.2419111599999999</v>
      </c>
      <c r="F37" s="10">
        <v>47483</v>
      </c>
      <c r="H37" s="9" t="s">
        <v>240</v>
      </c>
      <c r="I37" s="9">
        <v>5</v>
      </c>
      <c r="J37" s="9" t="s">
        <v>160</v>
      </c>
      <c r="K37" s="9">
        <v>5</v>
      </c>
      <c r="L37" s="9">
        <v>5.2419111599999999</v>
      </c>
      <c r="M37" s="9">
        <v>0.56401345718076767</v>
      </c>
      <c r="N37" s="9">
        <v>11.453543350382827</v>
      </c>
    </row>
    <row r="38" spans="1:14">
      <c r="A38" s="10">
        <v>45657</v>
      </c>
      <c r="B38" s="20" t="s">
        <v>241</v>
      </c>
      <c r="C38" s="20">
        <v>10</v>
      </c>
      <c r="D38" s="20" t="s">
        <v>160</v>
      </c>
      <c r="E38" s="9">
        <v>5.2650623699999999</v>
      </c>
      <c r="F38" s="10">
        <v>49309</v>
      </c>
      <c r="H38" s="9" t="s">
        <v>240</v>
      </c>
      <c r="I38" s="9">
        <v>10</v>
      </c>
      <c r="J38" s="9" t="s">
        <v>160</v>
      </c>
      <c r="K38" s="9">
        <v>10</v>
      </c>
      <c r="L38" s="9">
        <v>5.2650623699999999</v>
      </c>
      <c r="M38" s="9">
        <v>0.36821853934147386</v>
      </c>
      <c r="N38" s="9">
        <v>9.990786601702597</v>
      </c>
    </row>
    <row r="39" spans="1:14">
      <c r="A39" s="10">
        <v>45657</v>
      </c>
      <c r="B39" s="20" t="s">
        <v>241</v>
      </c>
      <c r="C39" s="20">
        <v>15</v>
      </c>
      <c r="D39" s="20" t="s">
        <v>160</v>
      </c>
      <c r="E39" s="9">
        <v>4.0591492300000001</v>
      </c>
      <c r="F39" s="10">
        <v>51135</v>
      </c>
      <c r="H39" s="9" t="s">
        <v>240</v>
      </c>
      <c r="I39" s="9">
        <v>15</v>
      </c>
      <c r="J39" s="9" t="s">
        <v>160</v>
      </c>
      <c r="K39" s="9">
        <v>15</v>
      </c>
      <c r="L39" s="9">
        <v>4.0591492300000001</v>
      </c>
      <c r="M39" s="9">
        <v>0.31880847765750131</v>
      </c>
      <c r="N39" s="9">
        <v>7.6210982667896845</v>
      </c>
    </row>
    <row r="40" spans="1:14">
      <c r="A40" s="10">
        <v>45657</v>
      </c>
      <c r="B40" s="20" t="s">
        <v>241</v>
      </c>
      <c r="C40" s="20">
        <v>20</v>
      </c>
      <c r="D40" s="20" t="s">
        <v>160</v>
      </c>
      <c r="E40" s="9">
        <v>4.0345753800000006</v>
      </c>
      <c r="F40" s="10">
        <v>52962</v>
      </c>
      <c r="H40" s="9" t="s">
        <v>240</v>
      </c>
      <c r="I40" s="9">
        <v>20</v>
      </c>
      <c r="J40" s="9" t="s">
        <v>160</v>
      </c>
      <c r="K40" s="9">
        <v>20</v>
      </c>
      <c r="L40" s="9">
        <v>4.0345753800000006</v>
      </c>
      <c r="M40" s="9">
        <v>0.17872028145725982</v>
      </c>
      <c r="N40" s="9">
        <v>8.6096668440605342</v>
      </c>
    </row>
    <row r="41" spans="1:14">
      <c r="A41" s="10">
        <v>45657</v>
      </c>
      <c r="B41" s="20" t="s">
        <v>241</v>
      </c>
      <c r="C41" s="20">
        <v>30</v>
      </c>
      <c r="D41" s="20" t="s">
        <v>160</v>
      </c>
      <c r="E41" s="9">
        <v>3.77604176</v>
      </c>
      <c r="F41" s="10">
        <v>56614</v>
      </c>
      <c r="H41" s="9" t="s">
        <v>240</v>
      </c>
      <c r="I41" s="9">
        <v>30</v>
      </c>
      <c r="J41" s="9" t="s">
        <v>160</v>
      </c>
      <c r="K41" s="9">
        <v>30</v>
      </c>
      <c r="L41" s="9">
        <v>3.77604176</v>
      </c>
      <c r="M41" s="9">
        <v>0.10847061412994119</v>
      </c>
      <c r="N41" s="9">
        <v>7.4042532673226278</v>
      </c>
    </row>
    <row r="42" spans="1:14">
      <c r="A42" s="9"/>
      <c r="B42" s="20"/>
      <c r="C42" s="20"/>
      <c r="D42" s="9"/>
      <c r="E42" s="9"/>
      <c r="F42" s="9"/>
      <c r="H42" s="9"/>
      <c r="I42" s="9"/>
      <c r="J42" s="9"/>
      <c r="K42" s="9"/>
      <c r="L42" s="9"/>
      <c r="M42" s="9"/>
      <c r="N42" s="9"/>
    </row>
    <row r="43" spans="1:14">
      <c r="A43" s="9"/>
      <c r="B43" s="20"/>
      <c r="C43" s="20"/>
      <c r="D43" s="9"/>
      <c r="E43" s="9"/>
      <c r="F43" s="9"/>
      <c r="H43" s="9"/>
      <c r="I43" s="9"/>
      <c r="J43" s="9"/>
      <c r="K43" s="9"/>
      <c r="L43" s="9"/>
      <c r="M43" s="9"/>
      <c r="N43" s="9"/>
    </row>
    <row r="44" spans="1:14">
      <c r="A44" s="9"/>
      <c r="B44" s="20"/>
      <c r="C44" s="20"/>
      <c r="D44" s="9"/>
      <c r="E44" s="9"/>
      <c r="F44" s="9"/>
      <c r="H44" s="9"/>
      <c r="I44" s="9"/>
      <c r="J44" s="9"/>
      <c r="K44" s="9"/>
      <c r="L44" s="9"/>
      <c r="M44" s="9"/>
      <c r="N44" s="9"/>
    </row>
    <row r="45" spans="1:14">
      <c r="A45" s="9"/>
      <c r="B45" s="20"/>
      <c r="C45" s="20"/>
      <c r="D45" s="9"/>
      <c r="E45" s="9"/>
      <c r="F45" s="9"/>
      <c r="H45" s="9"/>
      <c r="I45" s="9"/>
      <c r="J45" s="9"/>
      <c r="K45" s="9"/>
      <c r="L45" s="9"/>
      <c r="M45" s="9"/>
      <c r="N45" s="9"/>
    </row>
    <row r="46" spans="1:14">
      <c r="A46" s="9"/>
      <c r="B46" s="20"/>
      <c r="C46" s="20"/>
      <c r="D46" s="9"/>
      <c r="E46" s="9"/>
      <c r="F46" s="9"/>
      <c r="H46" s="9"/>
      <c r="I46" s="9"/>
      <c r="J46" s="9"/>
      <c r="K46" s="9"/>
      <c r="L46" s="9"/>
      <c r="M46" s="9"/>
      <c r="N46" s="9"/>
    </row>
    <row r="47" spans="1:14">
      <c r="A47" s="9"/>
      <c r="B47" s="20"/>
      <c r="C47" s="20"/>
      <c r="D47" s="9"/>
      <c r="E47" s="9"/>
      <c r="F47" s="9"/>
      <c r="H47" s="9"/>
      <c r="I47" s="9"/>
      <c r="J47" s="9"/>
      <c r="K47" s="9"/>
      <c r="L47" s="9"/>
      <c r="M47" s="9"/>
      <c r="N47" s="9"/>
    </row>
    <row r="48" spans="1:14">
      <c r="A48" s="9"/>
      <c r="B48" s="20"/>
      <c r="C48" s="20"/>
      <c r="D48" s="9"/>
      <c r="E48" s="9"/>
      <c r="F48" s="9"/>
      <c r="H48" s="9"/>
      <c r="I48" s="9"/>
      <c r="J48" s="9"/>
      <c r="K48" s="9"/>
      <c r="L48" s="9"/>
      <c r="M48" s="9"/>
      <c r="N48" s="9"/>
    </row>
    <row r="49" spans="1:14">
      <c r="A49" s="9"/>
      <c r="B49" s="20"/>
      <c r="C49" s="20"/>
      <c r="D49" s="9"/>
      <c r="E49" s="9"/>
      <c r="F49" s="9"/>
      <c r="H49" s="9"/>
      <c r="I49" s="9"/>
      <c r="J49" s="9"/>
      <c r="K49" s="9"/>
      <c r="L49" s="9"/>
      <c r="M49" s="9"/>
      <c r="N49" s="9"/>
    </row>
    <row r="50" spans="1:14">
      <c r="A50" s="9"/>
      <c r="B50" s="20"/>
      <c r="C50" s="20"/>
      <c r="D50" s="9"/>
      <c r="E50" s="9"/>
      <c r="F50" s="9"/>
      <c r="H50" s="9"/>
      <c r="I50" s="9"/>
      <c r="J50" s="9"/>
      <c r="K50" s="9"/>
      <c r="L50" s="9"/>
      <c r="M50" s="9"/>
      <c r="N50" s="9"/>
    </row>
    <row r="51" spans="1:14">
      <c r="A51" s="9"/>
      <c r="B51" s="20"/>
      <c r="C51" s="20"/>
      <c r="D51" s="9"/>
      <c r="E51" s="9"/>
      <c r="F51" s="9"/>
      <c r="H51" s="9"/>
      <c r="I51" s="9"/>
      <c r="J51" s="9"/>
      <c r="K51" s="9"/>
      <c r="L51" s="9"/>
      <c r="M51" s="9"/>
      <c r="N51" s="9"/>
    </row>
    <row r="52" spans="1:14">
      <c r="A52" s="9"/>
      <c r="B52" s="20"/>
      <c r="C52" s="20"/>
      <c r="D52" s="9"/>
      <c r="E52" s="9"/>
      <c r="F52" s="9"/>
      <c r="H52" s="9"/>
      <c r="I52" s="9"/>
      <c r="J52" s="9"/>
      <c r="K52" s="9"/>
      <c r="L52" s="9"/>
      <c r="M52" s="9"/>
      <c r="N52" s="9"/>
    </row>
    <row r="53" spans="1:14">
      <c r="A53" s="9"/>
      <c r="B53" s="20"/>
      <c r="C53" s="20"/>
      <c r="D53" s="9"/>
      <c r="E53" s="9"/>
      <c r="F53" s="9"/>
      <c r="H53" s="9"/>
      <c r="I53" s="9"/>
      <c r="J53" s="9"/>
      <c r="K53" s="9"/>
      <c r="L53" s="9"/>
      <c r="M53" s="9"/>
      <c r="N53" s="9"/>
    </row>
    <row r="54" spans="1:14">
      <c r="A54" s="9"/>
      <c r="B54" s="20"/>
      <c r="C54" s="20"/>
      <c r="D54" s="9"/>
      <c r="E54" s="9"/>
      <c r="F54" s="9"/>
      <c r="H54" s="9"/>
      <c r="I54" s="9"/>
      <c r="J54" s="9"/>
      <c r="K54" s="9"/>
      <c r="L54" s="9"/>
      <c r="M54" s="9"/>
      <c r="N54" s="9"/>
    </row>
    <row r="55" spans="1:14">
      <c r="A55" s="9"/>
      <c r="B55" s="20"/>
      <c r="C55" s="20"/>
      <c r="D55" s="9"/>
      <c r="E55" s="9"/>
      <c r="F55" s="9"/>
      <c r="H55" s="9"/>
      <c r="I55" s="9"/>
      <c r="J55" s="9"/>
      <c r="K55" s="9"/>
      <c r="L55" s="9"/>
      <c r="M55" s="9"/>
      <c r="N55" s="9"/>
    </row>
    <row r="56" spans="1:14">
      <c r="A56" s="9"/>
      <c r="B56" s="20"/>
      <c r="C56" s="20"/>
      <c r="D56" s="9"/>
      <c r="E56" s="9"/>
      <c r="F56" s="9"/>
      <c r="H56" s="9"/>
      <c r="I56" s="9"/>
      <c r="J56" s="9"/>
      <c r="K56" s="9"/>
      <c r="L56" s="9"/>
      <c r="M56" s="9"/>
      <c r="N56" s="9"/>
    </row>
    <row r="57" spans="1:14">
      <c r="A57" s="9"/>
      <c r="B57" s="20"/>
      <c r="C57" s="20"/>
      <c r="D57" s="9"/>
      <c r="E57" s="9"/>
      <c r="F57" s="9"/>
      <c r="H57" s="9"/>
      <c r="I57" s="9"/>
      <c r="J57" s="9"/>
      <c r="K57" s="9"/>
      <c r="L57" s="9"/>
      <c r="M57" s="9"/>
      <c r="N57" s="9"/>
    </row>
    <row r="58" spans="1:14">
      <c r="A58" s="9"/>
      <c r="B58" s="20"/>
      <c r="C58" s="20"/>
      <c r="D58" s="9"/>
      <c r="E58" s="9"/>
      <c r="F58" s="9"/>
      <c r="H58" s="9"/>
      <c r="I58" s="9"/>
      <c r="J58" s="9"/>
      <c r="K58" s="9"/>
      <c r="L58" s="9"/>
      <c r="M58" s="9"/>
      <c r="N58" s="9"/>
    </row>
    <row r="59" spans="1:14">
      <c r="A59" s="9"/>
      <c r="B59" s="20"/>
      <c r="C59" s="20"/>
      <c r="D59" s="9"/>
      <c r="E59" s="9"/>
      <c r="F59" s="9"/>
      <c r="H59" s="9"/>
      <c r="I59" s="9"/>
      <c r="J59" s="9"/>
      <c r="K59" s="9"/>
      <c r="L59" s="9"/>
      <c r="M59" s="9"/>
      <c r="N59" s="9"/>
    </row>
  </sheetData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E104"/>
  <sheetViews>
    <sheetView topLeftCell="A27" zoomScale="80" zoomScaleNormal="80" workbookViewId="0">
      <selection activeCell="C49" sqref="C49"/>
    </sheetView>
  </sheetViews>
  <sheetFormatPr defaultColWidth="9" defaultRowHeight="16.5"/>
  <cols>
    <col min="1" max="1" width="4.625" style="1" customWidth="1"/>
    <col min="2" max="2" width="46.125" style="1" bestFit="1" customWidth="1"/>
    <col min="3" max="3" width="83.125" style="1" customWidth="1"/>
    <col min="4" max="5" width="70.625" style="1" customWidth="1"/>
    <col min="6" max="16384" width="9" style="1"/>
  </cols>
  <sheetData>
    <row r="1" spans="2:3" s="3" customFormat="1"/>
    <row r="2" spans="2:3" s="4" customFormat="1"/>
    <row r="3" spans="2:3" ht="8.1" customHeight="1"/>
    <row r="4" spans="2:3">
      <c r="B4" s="6" t="s">
        <v>39</v>
      </c>
    </row>
    <row r="5" spans="2:3" ht="8.1" customHeight="1"/>
    <row r="6" spans="2:3" ht="16.5" customHeight="1">
      <c r="B6" s="120" t="s">
        <v>40</v>
      </c>
      <c r="C6" s="114" t="s">
        <v>41</v>
      </c>
    </row>
    <row r="7" spans="2:3">
      <c r="B7" s="5" t="s">
        <v>42</v>
      </c>
      <c r="C7" s="5"/>
    </row>
    <row r="8" spans="2:3">
      <c r="B8" s="5" t="s">
        <v>302</v>
      </c>
      <c r="C8" s="5"/>
    </row>
    <row r="9" spans="2:3">
      <c r="B9" s="5" t="s">
        <v>303</v>
      </c>
      <c r="C9" s="5" t="s">
        <v>43</v>
      </c>
    </row>
    <row r="10" spans="2:3">
      <c r="B10" s="5" t="s">
        <v>304</v>
      </c>
      <c r="C10" s="5" t="s">
        <v>44</v>
      </c>
    </row>
    <row r="11" spans="2:3">
      <c r="B11" s="5" t="s">
        <v>305</v>
      </c>
      <c r="C11" s="5" t="s">
        <v>45</v>
      </c>
    </row>
    <row r="12" spans="2:3">
      <c r="B12" s="5" t="s">
        <v>306</v>
      </c>
      <c r="C12" s="5" t="s">
        <v>46</v>
      </c>
    </row>
    <row r="13" spans="2:3">
      <c r="B13" s="5" t="s">
        <v>307</v>
      </c>
      <c r="C13" s="5" t="s">
        <v>47</v>
      </c>
    </row>
    <row r="14" spans="2:3">
      <c r="B14" s="5" t="s">
        <v>308</v>
      </c>
      <c r="C14" s="5" t="s">
        <v>47</v>
      </c>
    </row>
    <row r="15" spans="2:3">
      <c r="B15" s="5" t="s">
        <v>309</v>
      </c>
      <c r="C15" s="5" t="s">
        <v>47</v>
      </c>
    </row>
    <row r="16" spans="2:3">
      <c r="B16" s="5" t="s">
        <v>310</v>
      </c>
      <c r="C16" s="5" t="s">
        <v>48</v>
      </c>
    </row>
    <row r="17" spans="2:3">
      <c r="B17" s="5" t="s">
        <v>311</v>
      </c>
      <c r="C17" s="5" t="s">
        <v>48</v>
      </c>
    </row>
    <row r="18" spans="2:3">
      <c r="B18" s="5" t="s">
        <v>312</v>
      </c>
      <c r="C18" s="5" t="s">
        <v>48</v>
      </c>
    </row>
    <row r="19" spans="2:3">
      <c r="B19" s="5" t="s">
        <v>313</v>
      </c>
      <c r="C19" s="5" t="s">
        <v>48</v>
      </c>
    </row>
    <row r="20" spans="2:3">
      <c r="B20" s="5" t="s">
        <v>314</v>
      </c>
      <c r="C20" s="5" t="s">
        <v>49</v>
      </c>
    </row>
    <row r="21" spans="2:3">
      <c r="B21" s="5" t="s">
        <v>315</v>
      </c>
      <c r="C21" s="5" t="s">
        <v>49</v>
      </c>
    </row>
    <row r="22" spans="2:3">
      <c r="B22" s="5" t="s">
        <v>316</v>
      </c>
      <c r="C22" s="5" t="s">
        <v>49</v>
      </c>
    </row>
    <row r="23" spans="2:3">
      <c r="B23" s="5" t="s">
        <v>317</v>
      </c>
      <c r="C23" s="5"/>
    </row>
    <row r="24" spans="2:3">
      <c r="B24" s="5" t="s">
        <v>318</v>
      </c>
      <c r="C24" s="5" t="s">
        <v>50</v>
      </c>
    </row>
    <row r="25" spans="2:3">
      <c r="B25" s="5" t="s">
        <v>51</v>
      </c>
      <c r="C25" s="5"/>
    </row>
    <row r="26" spans="2:3">
      <c r="B26" s="5" t="s">
        <v>319</v>
      </c>
      <c r="C26" s="5"/>
    </row>
    <row r="27" spans="2:3">
      <c r="B27" s="5" t="s">
        <v>320</v>
      </c>
      <c r="C27" s="5"/>
    </row>
    <row r="30" spans="2:3">
      <c r="B30" s="6" t="s">
        <v>301</v>
      </c>
    </row>
    <row r="32" spans="2:3">
      <c r="B32" s="1" t="s">
        <v>29</v>
      </c>
    </row>
    <row r="33" spans="2:5">
      <c r="B33" s="1" t="s">
        <v>30</v>
      </c>
    </row>
    <row r="34" spans="2:5">
      <c r="B34" s="1" t="s">
        <v>31</v>
      </c>
    </row>
    <row r="35" spans="2:5">
      <c r="B35" s="1" t="s">
        <v>32</v>
      </c>
    </row>
    <row r="36" spans="2:5">
      <c r="B36" s="1" t="s">
        <v>33</v>
      </c>
    </row>
    <row r="37" spans="2:5">
      <c r="B37" s="1" t="s">
        <v>34</v>
      </c>
    </row>
    <row r="38" spans="2:5">
      <c r="B38" s="1" t="s">
        <v>35</v>
      </c>
    </row>
    <row r="39" spans="2:5">
      <c r="B39" s="1" t="s">
        <v>36</v>
      </c>
    </row>
    <row r="40" spans="2:5">
      <c r="B40" s="1" t="s">
        <v>37</v>
      </c>
    </row>
    <row r="41" spans="2:5">
      <c r="B41" s="1" t="s">
        <v>38</v>
      </c>
    </row>
    <row r="43" spans="2:5">
      <c r="B43" s="6" t="s">
        <v>0</v>
      </c>
    </row>
    <row r="45" spans="2:5">
      <c r="B45" s="7" t="s">
        <v>141</v>
      </c>
      <c r="C45" s="7" t="s">
        <v>142</v>
      </c>
      <c r="D45" s="7" t="s">
        <v>143</v>
      </c>
      <c r="E45" s="7" t="s">
        <v>140</v>
      </c>
    </row>
    <row r="46" spans="2:5">
      <c r="B46" s="5" t="s">
        <v>1</v>
      </c>
      <c r="C46" s="5" t="s">
        <v>2</v>
      </c>
      <c r="D46" s="5" t="s">
        <v>3</v>
      </c>
      <c r="E46" s="5" t="s">
        <v>4</v>
      </c>
    </row>
    <row r="47" spans="2:5">
      <c r="B47" s="5" t="s">
        <v>5</v>
      </c>
      <c r="C47" s="5" t="s">
        <v>6</v>
      </c>
      <c r="D47" s="5" t="s">
        <v>7</v>
      </c>
      <c r="E47" s="5" t="s">
        <v>8</v>
      </c>
    </row>
    <row r="48" spans="2:5">
      <c r="B48" s="5" t="s">
        <v>5</v>
      </c>
      <c r="C48" s="5" t="s">
        <v>9</v>
      </c>
      <c r="D48" s="5"/>
      <c r="E48" s="5" t="s">
        <v>10</v>
      </c>
    </row>
    <row r="49" spans="2:5">
      <c r="B49" s="5" t="s">
        <v>11</v>
      </c>
      <c r="C49" s="5" t="s">
        <v>327</v>
      </c>
      <c r="D49" s="5"/>
      <c r="E49" s="5" t="s">
        <v>188</v>
      </c>
    </row>
    <row r="50" spans="2:5">
      <c r="B50" s="5" t="s">
        <v>12</v>
      </c>
      <c r="C50" s="5" t="s">
        <v>13</v>
      </c>
      <c r="D50" s="5"/>
      <c r="E50" s="5" t="s">
        <v>189</v>
      </c>
    </row>
    <row r="51" spans="2:5">
      <c r="B51" s="5" t="s">
        <v>14</v>
      </c>
      <c r="C51" s="5" t="s">
        <v>15</v>
      </c>
      <c r="D51" s="5" t="s">
        <v>16</v>
      </c>
      <c r="E51" s="5" t="s">
        <v>17</v>
      </c>
    </row>
    <row r="52" spans="2:5">
      <c r="B52" s="5" t="s">
        <v>18</v>
      </c>
      <c r="C52" s="5" t="s">
        <v>19</v>
      </c>
      <c r="D52" s="5" t="s">
        <v>20</v>
      </c>
      <c r="E52" s="5" t="s">
        <v>21</v>
      </c>
    </row>
    <row r="53" spans="2:5">
      <c r="B53" s="5" t="s">
        <v>18</v>
      </c>
      <c r="C53" s="5" t="s">
        <v>22</v>
      </c>
      <c r="D53" s="5" t="s">
        <v>23</v>
      </c>
      <c r="E53" s="5" t="s">
        <v>24</v>
      </c>
    </row>
    <row r="54" spans="2:5">
      <c r="B54" s="5" t="s">
        <v>18</v>
      </c>
      <c r="C54" s="5" t="s">
        <v>25</v>
      </c>
      <c r="D54" s="5" t="s">
        <v>16</v>
      </c>
      <c r="E54" s="5" t="s">
        <v>26</v>
      </c>
    </row>
    <row r="55" spans="2:5">
      <c r="B55" s="5" t="s">
        <v>18</v>
      </c>
      <c r="C55" s="5" t="s">
        <v>25</v>
      </c>
      <c r="D55" s="5" t="s">
        <v>20</v>
      </c>
      <c r="E55" s="5" t="s">
        <v>27</v>
      </c>
    </row>
    <row r="58" spans="2:5">
      <c r="B58" s="6" t="s">
        <v>28</v>
      </c>
    </row>
    <row r="59" spans="2:5">
      <c r="B59" s="2"/>
    </row>
    <row r="60" spans="2:5">
      <c r="B60" s="13" t="s">
        <v>52</v>
      </c>
      <c r="C60" s="12" t="s">
        <v>70</v>
      </c>
      <c r="D60" s="12"/>
      <c r="E60" s="12"/>
    </row>
    <row r="61" spans="2:5">
      <c r="B61" s="8" t="s">
        <v>77</v>
      </c>
      <c r="C61" s="1" t="s">
        <v>77</v>
      </c>
      <c r="D61" s="8" t="s">
        <v>87</v>
      </c>
      <c r="E61" s="8"/>
    </row>
    <row r="62" spans="2:5">
      <c r="B62" s="8"/>
      <c r="D62" s="8" t="s">
        <v>84</v>
      </c>
      <c r="E62" s="8"/>
    </row>
    <row r="63" spans="2:5">
      <c r="B63" s="8"/>
      <c r="D63" s="8" t="s">
        <v>85</v>
      </c>
      <c r="E63" s="8"/>
    </row>
    <row r="64" spans="2:5">
      <c r="B64" s="8"/>
      <c r="D64" s="8" t="s">
        <v>86</v>
      </c>
      <c r="E64" s="8"/>
    </row>
    <row r="65" spans="2:5">
      <c r="B65" s="8"/>
      <c r="D65" s="8" t="s">
        <v>82</v>
      </c>
      <c r="E65" s="8"/>
    </row>
    <row r="66" spans="2:5">
      <c r="B66" s="8" t="s">
        <v>78</v>
      </c>
      <c r="C66" s="1" t="s">
        <v>78</v>
      </c>
      <c r="D66" s="8" t="s">
        <v>80</v>
      </c>
      <c r="E66" s="8"/>
    </row>
    <row r="67" spans="2:5">
      <c r="B67" s="8"/>
      <c r="D67" s="8" t="s">
        <v>82</v>
      </c>
      <c r="E67" s="8"/>
    </row>
    <row r="68" spans="2:5">
      <c r="B68" s="8"/>
      <c r="D68" s="8" t="s">
        <v>83</v>
      </c>
      <c r="E68" s="8"/>
    </row>
    <row r="69" spans="2:5">
      <c r="B69" s="121" t="s">
        <v>79</v>
      </c>
      <c r="C69" s="122" t="s">
        <v>323</v>
      </c>
      <c r="D69" s="121" t="s">
        <v>80</v>
      </c>
      <c r="E69" s="121"/>
    </row>
    <row r="70" spans="2:5">
      <c r="B70" s="121"/>
      <c r="C70" s="122"/>
      <c r="D70" s="121" t="s">
        <v>81</v>
      </c>
      <c r="E70" s="121"/>
    </row>
    <row r="71" spans="2:5">
      <c r="B71" s="8" t="s">
        <v>71</v>
      </c>
      <c r="C71" s="1" t="s">
        <v>324</v>
      </c>
      <c r="D71" s="8" t="s">
        <v>74</v>
      </c>
      <c r="E71" s="8"/>
    </row>
    <row r="72" spans="2:5">
      <c r="B72" s="8" t="s">
        <v>72</v>
      </c>
      <c r="C72" s="1" t="s">
        <v>325</v>
      </c>
      <c r="D72" s="8" t="s">
        <v>73</v>
      </c>
      <c r="E72" s="8"/>
    </row>
    <row r="73" spans="2:5">
      <c r="B73" s="8" t="s">
        <v>65</v>
      </c>
      <c r="C73" s="1" t="s">
        <v>65</v>
      </c>
      <c r="D73" s="8" t="s">
        <v>75</v>
      </c>
      <c r="E73" s="8"/>
    </row>
    <row r="74" spans="2:5">
      <c r="B74" s="123" t="s">
        <v>66</v>
      </c>
      <c r="C74" s="122" t="s">
        <v>323</v>
      </c>
      <c r="D74" s="121" t="s">
        <v>76</v>
      </c>
      <c r="E74" s="121"/>
    </row>
    <row r="75" spans="2:5">
      <c r="B75" s="8"/>
      <c r="C75" s="8"/>
      <c r="D75" s="8"/>
      <c r="E75" s="8"/>
    </row>
    <row r="76" spans="2:5">
      <c r="B76" s="13" t="s">
        <v>53</v>
      </c>
      <c r="C76" s="12" t="s">
        <v>88</v>
      </c>
      <c r="D76" s="12"/>
      <c r="E76" s="12"/>
    </row>
    <row r="77" spans="2:5">
      <c r="B77" s="8" t="s">
        <v>54</v>
      </c>
      <c r="C77" s="8" t="s">
        <v>54</v>
      </c>
      <c r="D77" s="8" t="s">
        <v>59</v>
      </c>
      <c r="E77" s="8"/>
    </row>
    <row r="78" spans="2:5">
      <c r="B78" s="8" t="s">
        <v>55</v>
      </c>
      <c r="C78" s="8" t="s">
        <v>89</v>
      </c>
      <c r="D78" s="8" t="s">
        <v>60</v>
      </c>
      <c r="E78" s="8"/>
    </row>
    <row r="79" spans="2:5">
      <c r="B79" s="8" t="s">
        <v>56</v>
      </c>
      <c r="C79" s="8" t="s">
        <v>56</v>
      </c>
      <c r="D79" s="8" t="s">
        <v>61</v>
      </c>
      <c r="E79" s="8"/>
    </row>
    <row r="80" spans="2:5">
      <c r="B80" s="8" t="s">
        <v>57</v>
      </c>
      <c r="C80" s="8" t="s">
        <v>90</v>
      </c>
      <c r="D80" s="8" t="s">
        <v>62</v>
      </c>
      <c r="E80" s="8"/>
    </row>
    <row r="81" spans="2:5">
      <c r="B81" s="8" t="s">
        <v>58</v>
      </c>
      <c r="C81" s="8" t="s">
        <v>91</v>
      </c>
      <c r="D81" s="8" t="s">
        <v>63</v>
      </c>
      <c r="E81" s="8"/>
    </row>
    <row r="82" spans="2:5">
      <c r="B82" s="8"/>
      <c r="C82" s="8"/>
      <c r="D82" s="8"/>
      <c r="E82" s="8"/>
    </row>
    <row r="83" spans="2:5">
      <c r="B83" s="13" t="s">
        <v>67</v>
      </c>
      <c r="C83" s="12"/>
      <c r="D83" s="12"/>
      <c r="E83" s="12"/>
    </row>
    <row r="84" spans="2:5">
      <c r="B84" s="8" t="s">
        <v>68</v>
      </c>
      <c r="C84" s="8" t="s">
        <v>68</v>
      </c>
      <c r="D84" s="8" t="s">
        <v>321</v>
      </c>
      <c r="E84" s="8"/>
    </row>
    <row r="85" spans="2:5">
      <c r="B85" s="8" t="s">
        <v>69</v>
      </c>
      <c r="C85" s="8" t="s">
        <v>69</v>
      </c>
      <c r="D85" s="8" t="s">
        <v>322</v>
      </c>
      <c r="E85" s="8"/>
    </row>
    <row r="86" spans="2:5">
      <c r="B86" s="8"/>
      <c r="C86" s="8"/>
      <c r="D86" s="8"/>
      <c r="E86" s="8"/>
    </row>
    <row r="87" spans="2:5">
      <c r="B87" s="13" t="s">
        <v>101</v>
      </c>
      <c r="C87" s="12"/>
      <c r="D87" s="12"/>
      <c r="E87" s="12"/>
    </row>
    <row r="88" spans="2:5">
      <c r="B88" s="8"/>
      <c r="C88" s="8"/>
      <c r="D88" s="8"/>
      <c r="E88" s="8"/>
    </row>
    <row r="89" spans="2:5">
      <c r="B89" s="8"/>
      <c r="C89" s="8"/>
      <c r="D89" s="8"/>
      <c r="E89" s="8"/>
    </row>
    <row r="90" spans="2:5">
      <c r="B90" s="8"/>
      <c r="C90" s="8"/>
      <c r="D90" s="8"/>
      <c r="E90" s="8"/>
    </row>
    <row r="91" spans="2:5">
      <c r="B91" s="2"/>
    </row>
    <row r="92" spans="2:5">
      <c r="B92" s="2"/>
    </row>
    <row r="93" spans="2:5">
      <c r="B93" s="2"/>
    </row>
    <row r="94" spans="2:5">
      <c r="B94" s="2"/>
    </row>
    <row r="95" spans="2:5">
      <c r="B95" s="2"/>
    </row>
    <row r="96" spans="2:5">
      <c r="B96" s="2"/>
    </row>
    <row r="97" spans="2:5">
      <c r="B97" s="2"/>
    </row>
    <row r="98" spans="2:5">
      <c r="B98" s="13" t="s">
        <v>109</v>
      </c>
      <c r="C98" s="12"/>
      <c r="D98" s="12"/>
      <c r="E98" s="12"/>
    </row>
    <row r="99" spans="2:5">
      <c r="B99" s="2"/>
    </row>
    <row r="100" spans="2:5">
      <c r="B100" s="2"/>
    </row>
    <row r="101" spans="2:5">
      <c r="B101" s="2"/>
    </row>
    <row r="102" spans="2:5">
      <c r="B102" s="2"/>
    </row>
    <row r="103" spans="2:5">
      <c r="B103" s="2"/>
    </row>
    <row r="104" spans="2:5">
      <c r="B104" s="2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4"/>
  <sheetViews>
    <sheetView workbookViewId="0">
      <selection activeCell="J17" sqref="J17"/>
    </sheetView>
  </sheetViews>
  <sheetFormatPr defaultRowHeight="16.5"/>
  <cols>
    <col min="1" max="1" width="11.375" bestFit="1" customWidth="1"/>
    <col min="2" max="2" width="16" bestFit="1" customWidth="1"/>
  </cols>
  <sheetData>
    <row r="1" spans="1:2">
      <c r="A1" t="s">
        <v>105</v>
      </c>
      <c r="B1" t="s">
        <v>131</v>
      </c>
    </row>
    <row r="2" spans="1:2">
      <c r="A2" t="s">
        <v>136</v>
      </c>
      <c r="B2" t="s">
        <v>64</v>
      </c>
    </row>
    <row r="3" spans="1:2">
      <c r="A3" t="s">
        <v>138</v>
      </c>
      <c r="B3" t="s">
        <v>64</v>
      </c>
    </row>
    <row r="4" spans="1:2">
      <c r="A4" t="s">
        <v>219</v>
      </c>
      <c r="B4" t="s">
        <v>64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19"/>
  <sheetViews>
    <sheetView workbookViewId="0">
      <selection activeCell="J9" sqref="J9"/>
    </sheetView>
  </sheetViews>
  <sheetFormatPr defaultRowHeight="16.5"/>
  <cols>
    <col min="2" max="2" width="12.375" bestFit="1" customWidth="1"/>
  </cols>
  <sheetData>
    <row r="2" spans="2:7">
      <c r="B2" t="s">
        <v>92</v>
      </c>
    </row>
    <row r="4" spans="2:7">
      <c r="B4" t="s">
        <v>148</v>
      </c>
    </row>
    <row r="6" spans="2:7">
      <c r="B6" t="s">
        <v>155</v>
      </c>
    </row>
    <row r="7" spans="2:7">
      <c r="B7" t="s">
        <v>103</v>
      </c>
    </row>
    <row r="8" spans="2:7">
      <c r="B8" t="s">
        <v>105</v>
      </c>
    </row>
    <row r="9" spans="2:7">
      <c r="B9" t="s">
        <v>108</v>
      </c>
      <c r="C9" t="s">
        <v>152</v>
      </c>
    </row>
    <row r="10" spans="2:7">
      <c r="B10" t="s">
        <v>106</v>
      </c>
      <c r="C10" t="s">
        <v>151</v>
      </c>
      <c r="G10" t="s">
        <v>153</v>
      </c>
    </row>
    <row r="11" spans="2:7">
      <c r="B11" t="s">
        <v>107</v>
      </c>
      <c r="C11" t="s">
        <v>154</v>
      </c>
    </row>
    <row r="17" spans="2:2">
      <c r="B17" t="s">
        <v>149</v>
      </c>
    </row>
    <row r="18" spans="2:2">
      <c r="B18" t="s">
        <v>150</v>
      </c>
    </row>
    <row r="19" spans="2:2">
      <c r="B19" t="s">
        <v>326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E19"/>
  <sheetViews>
    <sheetView zoomScale="70" zoomScaleNormal="70" workbookViewId="0">
      <pane ySplit="2" topLeftCell="A3" activePane="bottomLeft" state="frozen"/>
      <selection pane="bottomLeft" activeCell="C7" sqref="C7"/>
    </sheetView>
  </sheetViews>
  <sheetFormatPr defaultColWidth="9" defaultRowHeight="16.5"/>
  <cols>
    <col min="1" max="1" width="5" style="1" customWidth="1"/>
    <col min="2" max="2" width="9" style="21"/>
    <col min="3" max="3" width="11.125" style="21" bestFit="1" customWidth="1"/>
    <col min="4" max="4" width="98.125" style="1" customWidth="1"/>
    <col min="5" max="5" width="100.625" style="1" customWidth="1"/>
    <col min="6" max="16384" width="9" style="1"/>
  </cols>
  <sheetData>
    <row r="2" spans="2:5">
      <c r="B2" s="24" t="s">
        <v>211</v>
      </c>
      <c r="C2" s="24" t="s">
        <v>210</v>
      </c>
      <c r="D2" s="24" t="s">
        <v>41</v>
      </c>
      <c r="E2" s="24" t="s">
        <v>214</v>
      </c>
    </row>
    <row r="3" spans="2:5" ht="99.75" customHeight="1">
      <c r="B3" s="20">
        <v>1</v>
      </c>
      <c r="C3" s="57">
        <v>45743</v>
      </c>
      <c r="D3" s="58" t="s">
        <v>212</v>
      </c>
      <c r="E3" s="58"/>
    </row>
    <row r="4" spans="2:5" ht="99.75" customHeight="1">
      <c r="B4" s="20">
        <v>2</v>
      </c>
      <c r="C4" s="57">
        <v>45743</v>
      </c>
      <c r="D4" s="58" t="s">
        <v>213</v>
      </c>
      <c r="E4" s="58"/>
    </row>
    <row r="5" spans="2:5">
      <c r="B5" s="20">
        <v>3</v>
      </c>
      <c r="C5" s="57">
        <v>45758</v>
      </c>
      <c r="D5" s="58" t="s">
        <v>299</v>
      </c>
      <c r="E5" s="9"/>
    </row>
    <row r="6" spans="2:5" ht="49.5">
      <c r="B6" s="20">
        <v>4</v>
      </c>
      <c r="C6" s="57">
        <v>45758</v>
      </c>
      <c r="D6" s="58" t="s">
        <v>300</v>
      </c>
      <c r="E6" s="9"/>
    </row>
    <row r="7" spans="2:5">
      <c r="B7" s="20"/>
      <c r="C7" s="20"/>
      <c r="D7" s="58"/>
      <c r="E7" s="9"/>
    </row>
    <row r="8" spans="2:5">
      <c r="B8" s="20"/>
      <c r="C8" s="20"/>
      <c r="D8" s="58"/>
      <c r="E8" s="9"/>
    </row>
    <row r="9" spans="2:5">
      <c r="B9" s="20"/>
      <c r="C9" s="20"/>
      <c r="D9" s="58"/>
      <c r="E9" s="9"/>
    </row>
    <row r="10" spans="2:5">
      <c r="B10" s="20"/>
      <c r="C10" s="20"/>
      <c r="D10" s="58"/>
      <c r="E10" s="9"/>
    </row>
    <row r="11" spans="2:5">
      <c r="B11" s="20"/>
      <c r="C11" s="20"/>
      <c r="D11" s="58"/>
      <c r="E11" s="9"/>
    </row>
    <row r="12" spans="2:5">
      <c r="B12" s="20"/>
      <c r="C12" s="20"/>
      <c r="D12" s="58"/>
      <c r="E12" s="9"/>
    </row>
    <row r="13" spans="2:5">
      <c r="B13" s="20"/>
      <c r="C13" s="20"/>
      <c r="D13" s="58"/>
      <c r="E13" s="9"/>
    </row>
    <row r="14" spans="2:5">
      <c r="B14" s="20"/>
      <c r="C14" s="20"/>
      <c r="D14" s="58"/>
      <c r="E14" s="9"/>
    </row>
    <row r="15" spans="2:5">
      <c r="B15" s="20"/>
      <c r="C15" s="20"/>
      <c r="D15" s="58"/>
      <c r="E15" s="9"/>
    </row>
    <row r="16" spans="2:5">
      <c r="B16" s="20"/>
      <c r="C16" s="20"/>
      <c r="D16" s="58"/>
      <c r="E16" s="9"/>
    </row>
    <row r="17" spans="2:5">
      <c r="B17" s="20"/>
      <c r="C17" s="20"/>
      <c r="D17" s="58"/>
      <c r="E17" s="9"/>
    </row>
    <row r="18" spans="2:5">
      <c r="B18" s="20"/>
      <c r="C18" s="20"/>
      <c r="D18" s="58"/>
      <c r="E18" s="9"/>
    </row>
    <row r="19" spans="2:5">
      <c r="B19" s="20"/>
      <c r="C19" s="20"/>
      <c r="D19" s="58"/>
      <c r="E19" s="9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I19"/>
  <sheetViews>
    <sheetView workbookViewId="0">
      <selection activeCell="AA5" sqref="AA5"/>
    </sheetView>
  </sheetViews>
  <sheetFormatPr defaultRowHeight="16.5"/>
  <cols>
    <col min="1" max="48" width="4.625" style="1" customWidth="1"/>
    <col min="49" max="16384" width="9" style="1"/>
  </cols>
  <sheetData>
    <row r="2" spans="2:35">
      <c r="B2" s="102" t="s">
        <v>243</v>
      </c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4"/>
    </row>
    <row r="3" spans="2:35" s="21" customFormat="1">
      <c r="B3" s="110"/>
      <c r="C3" s="52">
        <v>1</v>
      </c>
      <c r="D3" s="52">
        <v>2</v>
      </c>
      <c r="E3" s="52">
        <v>3</v>
      </c>
      <c r="F3" s="52">
        <v>4</v>
      </c>
      <c r="G3" s="52">
        <v>5</v>
      </c>
      <c r="H3" s="52">
        <v>6</v>
      </c>
      <c r="I3" s="52">
        <v>7</v>
      </c>
      <c r="J3" s="52">
        <v>8</v>
      </c>
      <c r="K3" s="52">
        <v>1</v>
      </c>
      <c r="L3" s="52">
        <v>2</v>
      </c>
      <c r="M3" s="52">
        <v>3</v>
      </c>
      <c r="N3" s="52">
        <v>4</v>
      </c>
      <c r="O3" s="52">
        <v>5</v>
      </c>
      <c r="P3" s="52">
        <v>6</v>
      </c>
      <c r="Q3" s="52">
        <v>7</v>
      </c>
      <c r="R3" s="52">
        <v>8</v>
      </c>
      <c r="S3" s="52">
        <v>1</v>
      </c>
      <c r="T3" s="52">
        <v>2</v>
      </c>
      <c r="U3" s="52">
        <v>3</v>
      </c>
      <c r="V3" s="52">
        <v>4</v>
      </c>
      <c r="W3" s="52">
        <v>5</v>
      </c>
      <c r="X3" s="52">
        <v>6</v>
      </c>
      <c r="Y3" s="52">
        <v>7</v>
      </c>
      <c r="Z3" s="52">
        <v>8</v>
      </c>
      <c r="AA3" s="52">
        <v>1</v>
      </c>
      <c r="AB3" s="52">
        <v>2</v>
      </c>
      <c r="AC3" s="52">
        <v>3</v>
      </c>
      <c r="AD3" s="52">
        <v>4</v>
      </c>
      <c r="AE3" s="52">
        <v>5</v>
      </c>
      <c r="AF3" s="52">
        <v>6</v>
      </c>
      <c r="AG3" s="52">
        <v>7</v>
      </c>
      <c r="AH3" s="52">
        <v>8</v>
      </c>
      <c r="AI3" s="111"/>
    </row>
    <row r="4" spans="2:35">
      <c r="B4" s="105"/>
      <c r="C4" s="112" t="s">
        <v>259</v>
      </c>
      <c r="D4" s="112"/>
      <c r="E4" s="112"/>
      <c r="F4" s="112"/>
      <c r="G4" s="112"/>
      <c r="H4" s="112"/>
      <c r="I4" s="4"/>
      <c r="J4" s="44"/>
      <c r="K4" s="112" t="s">
        <v>260</v>
      </c>
      <c r="L4" s="4"/>
      <c r="M4" s="4"/>
      <c r="N4" s="112"/>
      <c r="O4" s="112"/>
      <c r="P4" s="4"/>
      <c r="Q4" s="112"/>
      <c r="R4" s="44"/>
      <c r="S4" s="112" t="s">
        <v>261</v>
      </c>
      <c r="T4" s="112"/>
      <c r="U4" s="112"/>
      <c r="V4" s="4"/>
      <c r="W4" s="4"/>
      <c r="X4" s="112"/>
      <c r="Y4" s="112"/>
      <c r="Z4" s="44"/>
      <c r="AA4" s="112" t="s">
        <v>258</v>
      </c>
      <c r="AB4" s="112"/>
      <c r="AC4" s="112"/>
      <c r="AD4" s="112"/>
      <c r="AE4" s="4"/>
      <c r="AF4" s="112"/>
      <c r="AG4" s="4"/>
      <c r="AH4" s="44"/>
      <c r="AI4" s="106"/>
    </row>
    <row r="5" spans="2:35">
      <c r="B5" s="105"/>
      <c r="C5" s="44" t="s">
        <v>262</v>
      </c>
      <c r="D5" s="44"/>
      <c r="E5" s="44"/>
      <c r="F5" s="44"/>
      <c r="G5" s="44"/>
      <c r="H5" s="44"/>
      <c r="I5" s="44"/>
      <c r="J5" s="44"/>
      <c r="K5" s="44" t="s">
        <v>247</v>
      </c>
      <c r="L5" s="44"/>
      <c r="N5" s="44"/>
      <c r="O5" s="44"/>
      <c r="P5" s="44"/>
      <c r="Q5" s="44"/>
      <c r="R5" s="44"/>
      <c r="S5" s="44" t="s">
        <v>253</v>
      </c>
      <c r="T5" s="44"/>
      <c r="U5" s="44"/>
      <c r="V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106"/>
    </row>
    <row r="6" spans="2:35">
      <c r="B6" s="105"/>
      <c r="C6" s="1" t="s">
        <v>246</v>
      </c>
      <c r="D6" s="44"/>
      <c r="E6" s="44"/>
      <c r="F6" s="44"/>
      <c r="G6" s="44"/>
      <c r="H6" s="44"/>
      <c r="I6" s="44"/>
      <c r="J6" s="44"/>
      <c r="K6" s="44" t="s">
        <v>248</v>
      </c>
      <c r="L6" s="44"/>
      <c r="N6" s="44"/>
      <c r="O6" s="44"/>
      <c r="P6" s="44"/>
      <c r="Q6" s="44"/>
      <c r="R6" s="44"/>
      <c r="S6" s="44" t="s">
        <v>254</v>
      </c>
      <c r="T6" s="44"/>
      <c r="U6" s="44"/>
      <c r="V6" s="44"/>
      <c r="X6" s="44"/>
      <c r="Y6" s="44"/>
      <c r="Z6" s="44"/>
      <c r="AB6" s="44"/>
      <c r="AC6" s="44"/>
      <c r="AD6" s="44"/>
      <c r="AE6" s="44"/>
      <c r="AF6" s="44"/>
      <c r="AG6" s="44"/>
      <c r="AH6" s="44"/>
      <c r="AI6" s="106"/>
    </row>
    <row r="7" spans="2:35">
      <c r="B7" s="105"/>
      <c r="C7" s="1" t="s">
        <v>271</v>
      </c>
      <c r="D7" s="44"/>
      <c r="E7" s="44"/>
      <c r="F7" s="44"/>
      <c r="G7" s="44"/>
      <c r="H7" s="44"/>
      <c r="I7" s="44"/>
      <c r="J7" s="44"/>
      <c r="K7" s="44" t="s">
        <v>249</v>
      </c>
      <c r="L7" s="44"/>
      <c r="N7" s="44"/>
      <c r="O7" s="44"/>
      <c r="P7" s="44"/>
      <c r="Q7" s="44"/>
      <c r="R7" s="44"/>
      <c r="S7" s="1" t="s">
        <v>255</v>
      </c>
      <c r="T7" s="44"/>
      <c r="U7" s="44"/>
      <c r="V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106"/>
    </row>
    <row r="8" spans="2:35">
      <c r="B8" s="105"/>
      <c r="C8" s="44" t="s">
        <v>244</v>
      </c>
      <c r="D8" s="44"/>
      <c r="E8" s="44"/>
      <c r="F8" s="44"/>
      <c r="G8" s="44"/>
      <c r="H8" s="44"/>
      <c r="I8" s="44"/>
      <c r="J8" s="44"/>
      <c r="K8" s="44" t="s">
        <v>250</v>
      </c>
      <c r="L8" s="44"/>
      <c r="N8" s="44"/>
      <c r="O8" s="44"/>
      <c r="P8" s="44"/>
      <c r="Q8" s="44"/>
      <c r="R8" s="44"/>
      <c r="S8" s="44" t="s">
        <v>256</v>
      </c>
      <c r="T8" s="44"/>
      <c r="U8" s="44"/>
      <c r="V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106"/>
    </row>
    <row r="9" spans="2:35">
      <c r="B9" s="105"/>
      <c r="C9" s="44" t="s">
        <v>245</v>
      </c>
      <c r="D9" s="44"/>
      <c r="E9" s="44"/>
      <c r="F9" s="44"/>
      <c r="G9" s="44"/>
      <c r="H9" s="44"/>
      <c r="I9" s="44"/>
      <c r="J9" s="44"/>
      <c r="K9" s="44" t="s">
        <v>251</v>
      </c>
      <c r="L9" s="44"/>
      <c r="N9" s="44"/>
      <c r="O9" s="44"/>
      <c r="P9" s="44"/>
      <c r="Q9" s="44"/>
      <c r="R9" s="44"/>
      <c r="S9" s="44" t="s">
        <v>257</v>
      </c>
      <c r="T9" s="44"/>
      <c r="U9" s="44"/>
      <c r="V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106"/>
    </row>
    <row r="10" spans="2:35">
      <c r="B10" s="105"/>
      <c r="C10" s="44" t="s">
        <v>267</v>
      </c>
      <c r="D10" s="44"/>
      <c r="E10" s="44"/>
      <c r="F10" s="44"/>
      <c r="G10" s="44"/>
      <c r="H10" s="44"/>
      <c r="I10" s="44"/>
      <c r="J10" s="44"/>
      <c r="K10" s="44" t="s">
        <v>252</v>
      </c>
      <c r="L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106"/>
    </row>
    <row r="11" spans="2:35">
      <c r="B11" s="105"/>
      <c r="D11" s="44"/>
      <c r="E11" s="44"/>
      <c r="F11" s="44"/>
      <c r="G11" s="44"/>
      <c r="H11" s="44"/>
      <c r="I11" s="44"/>
      <c r="J11" s="44"/>
      <c r="K11" s="44" t="s">
        <v>265</v>
      </c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106"/>
    </row>
    <row r="12" spans="2:35">
      <c r="B12" s="105"/>
      <c r="C12" s="44"/>
      <c r="D12" s="44"/>
      <c r="E12" s="44"/>
      <c r="F12" s="44"/>
      <c r="G12" s="44"/>
      <c r="H12" s="44"/>
      <c r="I12" s="44"/>
      <c r="J12" s="44"/>
      <c r="K12" s="1" t="s">
        <v>266</v>
      </c>
      <c r="L12" s="44"/>
      <c r="M12" s="44"/>
      <c r="N12" s="44"/>
      <c r="O12" s="44"/>
      <c r="P12" s="44"/>
      <c r="Q12" s="44"/>
      <c r="R12" s="44"/>
      <c r="S12" s="44" t="s">
        <v>268</v>
      </c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106"/>
    </row>
    <row r="13" spans="2:35">
      <c r="B13" s="105"/>
      <c r="C13" s="44"/>
      <c r="D13" s="44"/>
      <c r="E13" s="44"/>
      <c r="F13" s="44"/>
      <c r="G13" s="44"/>
      <c r="H13" s="44"/>
      <c r="I13" s="44"/>
      <c r="J13" s="44"/>
      <c r="L13" s="44"/>
      <c r="M13" s="44"/>
      <c r="N13" s="44"/>
      <c r="O13" s="44"/>
      <c r="P13" s="44"/>
      <c r="Q13" s="44"/>
      <c r="R13" s="44"/>
      <c r="S13" s="44" t="s">
        <v>269</v>
      </c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106"/>
    </row>
    <row r="14" spans="2:35">
      <c r="B14" s="105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 t="s">
        <v>270</v>
      </c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106"/>
    </row>
    <row r="15" spans="2:35">
      <c r="B15" s="105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 t="s">
        <v>295</v>
      </c>
      <c r="AB15" s="44"/>
      <c r="AC15" s="44"/>
      <c r="AD15" s="44"/>
      <c r="AE15" s="44"/>
      <c r="AF15" s="44"/>
      <c r="AG15" s="44"/>
      <c r="AH15" s="44"/>
      <c r="AI15" s="106"/>
    </row>
    <row r="16" spans="2:35">
      <c r="B16" s="105"/>
      <c r="C16" s="44"/>
      <c r="D16" s="44"/>
      <c r="E16" s="44"/>
      <c r="F16" s="44"/>
      <c r="G16" s="44"/>
      <c r="H16" s="44"/>
      <c r="I16" s="44"/>
      <c r="J16" s="44"/>
      <c r="K16" s="44" t="s">
        <v>263</v>
      </c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106"/>
    </row>
    <row r="17" spans="2:35">
      <c r="B17" s="105"/>
      <c r="C17" s="44"/>
      <c r="D17" s="44"/>
      <c r="E17" s="44"/>
      <c r="F17" s="44"/>
      <c r="G17" s="44"/>
      <c r="H17" s="44"/>
      <c r="I17" s="44"/>
      <c r="J17" s="44"/>
      <c r="K17" s="44" t="s">
        <v>264</v>
      </c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106"/>
    </row>
    <row r="18" spans="2:35">
      <c r="B18" s="105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106"/>
    </row>
    <row r="19" spans="2:35">
      <c r="B19" s="107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9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2"/>
  <sheetViews>
    <sheetView workbookViewId="0">
      <selection activeCell="G23" sqref="G23"/>
    </sheetView>
  </sheetViews>
  <sheetFormatPr defaultRowHeight="16.5"/>
  <cols>
    <col min="1" max="1" width="26.375" style="113" bestFit="1" customWidth="1"/>
    <col min="2" max="2" width="23.875" customWidth="1"/>
    <col min="3" max="3" width="5.75" customWidth="1"/>
    <col min="4" max="4" width="15.375" customWidth="1"/>
    <col min="9" max="10" width="13" bestFit="1" customWidth="1"/>
    <col min="11" max="11" width="13.125" bestFit="1" customWidth="1"/>
    <col min="12" max="12" width="11.875" bestFit="1" customWidth="1"/>
  </cols>
  <sheetData>
    <row r="1" spans="1:12">
      <c r="A1" s="113" t="s">
        <v>282</v>
      </c>
    </row>
    <row r="2" spans="1:12">
      <c r="A2" s="115" t="s">
        <v>277</v>
      </c>
      <c r="B2" s="116" t="s">
        <v>103</v>
      </c>
      <c r="C2" s="116" t="s">
        <v>296</v>
      </c>
      <c r="D2" s="116" t="s">
        <v>287</v>
      </c>
    </row>
    <row r="3" spans="1:12">
      <c r="A3" s="115" t="s">
        <v>276</v>
      </c>
      <c r="B3" s="116" t="s">
        <v>290</v>
      </c>
      <c r="C3" s="116" t="s">
        <v>296</v>
      </c>
      <c r="D3" s="116"/>
    </row>
    <row r="4" spans="1:12">
      <c r="A4" s="115" t="s">
        <v>272</v>
      </c>
      <c r="B4" s="116" t="s">
        <v>130</v>
      </c>
      <c r="C4" s="116" t="s">
        <v>296</v>
      </c>
      <c r="D4" s="116"/>
    </row>
    <row r="5" spans="1:12">
      <c r="A5" s="115" t="s">
        <v>278</v>
      </c>
      <c r="B5" s="116" t="s">
        <v>291</v>
      </c>
      <c r="C5" s="116"/>
      <c r="D5" s="116"/>
    </row>
    <row r="6" spans="1:12">
      <c r="A6" s="115" t="s">
        <v>273</v>
      </c>
      <c r="B6" s="116" t="s">
        <v>289</v>
      </c>
      <c r="C6" s="116"/>
      <c r="D6" s="116"/>
    </row>
    <row r="7" spans="1:12">
      <c r="A7" s="115" t="s">
        <v>283</v>
      </c>
      <c r="B7" s="116" t="s">
        <v>288</v>
      </c>
      <c r="C7" s="116"/>
      <c r="D7" s="116" t="s">
        <v>288</v>
      </c>
    </row>
    <row r="8" spans="1:12">
      <c r="A8" s="115" t="s">
        <v>284</v>
      </c>
      <c r="B8" s="116" t="s">
        <v>288</v>
      </c>
      <c r="C8" s="116"/>
      <c r="D8" s="116" t="s">
        <v>288</v>
      </c>
    </row>
    <row r="9" spans="1:12">
      <c r="A9" s="115" t="s">
        <v>274</v>
      </c>
      <c r="B9" s="116" t="s">
        <v>288</v>
      </c>
      <c r="C9" s="116"/>
      <c r="D9" s="116" t="s">
        <v>288</v>
      </c>
    </row>
    <row r="10" spans="1:12">
      <c r="A10" s="115" t="s">
        <v>275</v>
      </c>
      <c r="B10" s="116" t="s">
        <v>288</v>
      </c>
      <c r="C10" s="116"/>
      <c r="D10" s="116" t="s">
        <v>288</v>
      </c>
      <c r="I10" s="118"/>
    </row>
    <row r="11" spans="1:12">
      <c r="A11" s="115" t="s">
        <v>285</v>
      </c>
      <c r="B11" s="116" t="s">
        <v>288</v>
      </c>
      <c r="C11" s="116"/>
      <c r="D11" s="116" t="s">
        <v>288</v>
      </c>
      <c r="I11" s="118"/>
    </row>
    <row r="12" spans="1:12">
      <c r="A12" s="115" t="s">
        <v>286</v>
      </c>
      <c r="B12" s="116" t="s">
        <v>288</v>
      </c>
      <c r="C12" s="116"/>
      <c r="D12" s="116" t="s">
        <v>288</v>
      </c>
      <c r="I12" s="118"/>
      <c r="J12" s="118"/>
      <c r="K12" s="119"/>
    </row>
    <row r="13" spans="1:12">
      <c r="A13" s="115" t="s">
        <v>279</v>
      </c>
      <c r="B13" s="116" t="s">
        <v>292</v>
      </c>
      <c r="C13" s="116"/>
      <c r="D13" s="116"/>
      <c r="K13" s="119"/>
      <c r="L13" s="118"/>
    </row>
    <row r="14" spans="1:12">
      <c r="A14" s="115" t="s">
        <v>280</v>
      </c>
      <c r="B14" s="116" t="s">
        <v>293</v>
      </c>
      <c r="C14" s="116"/>
      <c r="D14" s="116"/>
      <c r="L14" s="118"/>
    </row>
    <row r="15" spans="1:12">
      <c r="A15" s="115" t="s">
        <v>281</v>
      </c>
      <c r="B15" s="116" t="s">
        <v>294</v>
      </c>
      <c r="C15" s="116"/>
      <c r="D15" s="116"/>
    </row>
    <row r="18" spans="1:10">
      <c r="A18" s="117" t="s">
        <v>297</v>
      </c>
      <c r="B18" t="s">
        <v>298</v>
      </c>
    </row>
    <row r="19" spans="1:10">
      <c r="A19" s="115" t="s">
        <v>277</v>
      </c>
      <c r="B19" s="116" t="s">
        <v>103</v>
      </c>
      <c r="C19" s="116" t="s">
        <v>296</v>
      </c>
      <c r="D19" s="116" t="s">
        <v>287</v>
      </c>
      <c r="J19" s="118"/>
    </row>
    <row r="20" spans="1:10">
      <c r="A20" s="115" t="s">
        <v>276</v>
      </c>
      <c r="B20" s="116" t="s">
        <v>290</v>
      </c>
      <c r="C20" s="116" t="s">
        <v>296</v>
      </c>
      <c r="D20" s="116"/>
    </row>
    <row r="21" spans="1:10">
      <c r="A21" s="115" t="s">
        <v>272</v>
      </c>
      <c r="B21" s="116" t="s">
        <v>130</v>
      </c>
      <c r="C21" s="116" t="s">
        <v>296</v>
      </c>
      <c r="D21" s="116"/>
      <c r="J21" s="118"/>
    </row>
    <row r="22" spans="1:10">
      <c r="A22" s="115" t="s">
        <v>278</v>
      </c>
      <c r="B22" s="116" t="s">
        <v>291</v>
      </c>
      <c r="C22" s="116"/>
      <c r="D22" s="116"/>
      <c r="J22" s="118"/>
    </row>
    <row r="23" spans="1:10">
      <c r="A23" s="115" t="s">
        <v>273</v>
      </c>
      <c r="B23" s="116" t="s">
        <v>289</v>
      </c>
      <c r="C23" s="116"/>
      <c r="D23" s="116"/>
      <c r="J23" s="118"/>
    </row>
    <row r="24" spans="1:10">
      <c r="A24" s="115"/>
      <c r="B24" s="116"/>
      <c r="C24" s="116"/>
      <c r="D24" s="116"/>
    </row>
    <row r="25" spans="1:10">
      <c r="A25" s="115"/>
      <c r="B25" s="116"/>
      <c r="C25" s="116"/>
      <c r="D25" s="116"/>
      <c r="J25" s="119"/>
    </row>
    <row r="26" spans="1:10">
      <c r="A26" s="115"/>
      <c r="B26" s="116"/>
      <c r="C26" s="116"/>
      <c r="D26" s="116"/>
    </row>
    <row r="27" spans="1:10">
      <c r="A27" s="115"/>
      <c r="B27" s="116"/>
      <c r="C27" s="116"/>
      <c r="D27" s="116"/>
    </row>
    <row r="28" spans="1:10">
      <c r="A28" s="115"/>
      <c r="B28" s="116"/>
      <c r="C28" s="116"/>
      <c r="D28" s="116"/>
    </row>
    <row r="29" spans="1:10">
      <c r="A29" s="115"/>
      <c r="B29" s="116"/>
      <c r="C29" s="116"/>
      <c r="D29" s="116"/>
    </row>
    <row r="30" spans="1:10">
      <c r="A30" s="115"/>
      <c r="B30" s="116"/>
      <c r="C30" s="116"/>
      <c r="D30" s="116"/>
    </row>
    <row r="31" spans="1:10">
      <c r="A31" s="115"/>
      <c r="B31" s="116"/>
      <c r="C31" s="116"/>
      <c r="D31" s="116"/>
    </row>
    <row r="32" spans="1:10">
      <c r="A32" s="115"/>
      <c r="B32" s="116"/>
      <c r="C32" s="116"/>
      <c r="D32" s="116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CFD223CB8436154C8476FD99AD410FC1" ma:contentTypeVersion="3" ma:contentTypeDescription="새 문서를 만듭니다." ma:contentTypeScope="" ma:versionID="9b7f8eaf008a579dc7f3d93cb4e630b5">
  <xsd:schema xmlns:xsd="http://www.w3.org/2001/XMLSchema" xmlns:xs="http://www.w3.org/2001/XMLSchema" xmlns:p="http://schemas.microsoft.com/office/2006/metadata/properties" xmlns:ns2="8cb414a6-6ea2-4481-8ab9-11494f00b036" targetNamespace="http://schemas.microsoft.com/office/2006/metadata/properties" ma:root="true" ma:fieldsID="6a26984b55d4935125b0c51cdc21b8c2" ns2:_="">
    <xsd:import namespace="8cb414a6-6ea2-4481-8ab9-11494f00b0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414a6-6ea2-4481-8ab9-11494f00b0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C52558-1D30-48C9-A1EF-89148C4B3250}">
  <ds:schemaRefs>
    <ds:schemaRef ds:uri="http://schemas.microsoft.com/office/infopath/2007/PartnerControls"/>
    <ds:schemaRef ds:uri="http://schemas.microsoft.com/office/2006/documentManagement/types"/>
    <ds:schemaRef ds:uri="8cb414a6-6ea2-4481-8ab9-11494f00b036"/>
    <ds:schemaRef ds:uri="http://purl.org/dc/terms/"/>
    <ds:schemaRef ds:uri="http://purl.org/dc/dcmitype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34AAF53-EA89-4457-8CD9-4774D77967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b414a6-6ea2-4481-8ab9-11494f00b0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67A1B9-7952-4E00-8EA2-A61D4CF8E238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Bond</vt:lpstr>
      <vt:lpstr>FX Forward</vt:lpstr>
      <vt:lpstr>Curve</vt:lpstr>
      <vt:lpstr>Appendix</vt:lpstr>
      <vt:lpstr>Curve Setting</vt:lpstr>
      <vt:lpstr>고려사항</vt:lpstr>
      <vt:lpstr>협의</vt:lpstr>
      <vt:lpstr>개요</vt:lpstr>
      <vt:lpstr>Data Elements&gt;&gt;</vt:lpstr>
      <vt:lpstr>Sheet4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Song, Young Ho</dc:creator>
  <cp:keywords/>
  <dc:description/>
  <cp:lastModifiedBy>icis</cp:lastModifiedBy>
  <cp:revision/>
  <dcterms:created xsi:type="dcterms:W3CDTF">2025-03-13T02:31:02Z</dcterms:created>
  <dcterms:modified xsi:type="dcterms:W3CDTF">2025-04-29T06:14:01Z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0x010100CFD223CB8436154C8476FD99AD410FC1</vt:lpwstr>
  </property>
</Properties>
</file>