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\\icis-winsvr\기술연구소\10.프로젝트\전북은행\전북은행_업무공유\"/>
    </mc:Choice>
  </mc:AlternateContent>
  <xr:revisionPtr revIDLastSave="0" documentId="13_ncr:1_{14E0F54A-9C80-484F-AF5B-A53CB60C0592}" xr6:coauthVersionLast="47" xr6:coauthVersionMax="47" xr10:uidLastSave="{00000000-0000-0000-0000-000000000000}"/>
  <bookViews>
    <workbookView xWindow="-28920" yWindow="-120" windowWidth="29040" windowHeight="15720" activeTab="1" xr2:uid="{C823104A-F605-4FED-B28E-5F229F6706E8}"/>
  </bookViews>
  <sheets>
    <sheet name="Trade" sheetId="21" r:id="rId1"/>
    <sheet name="Result" sheetId="23" r:id="rId2"/>
    <sheet name="Verify" sheetId="22" r:id="rId3"/>
    <sheet name="Doc" sheetId="25" r:id="rId4"/>
    <sheet name="ConvData" sheetId="24" r:id="rId5"/>
  </sheets>
  <functionGroups builtInGroupCount="19"/>
  <definedNames>
    <definedName name="solver_adj" localSheetId="2" hidden="1">Verify!$K$18</definedName>
    <definedName name="solver_cvg" localSheetId="2" hidden="1">0.0001</definedName>
    <definedName name="solver_drv" localSheetId="2" hidden="1">1</definedName>
    <definedName name="solver_eng" localSheetId="2" hidden="1">1</definedName>
    <definedName name="solver_est" localSheetId="2" hidden="1">1</definedName>
    <definedName name="solver_itr" localSheetId="2" hidden="1">2147483647</definedName>
    <definedName name="solver_mip" localSheetId="2" hidden="1">2147483647</definedName>
    <definedName name="solver_mni" localSheetId="2" hidden="1">30</definedName>
    <definedName name="solver_mrt" localSheetId="2" hidden="1">0.075</definedName>
    <definedName name="solver_msl" localSheetId="2" hidden="1">2</definedName>
    <definedName name="solver_neg" localSheetId="2" hidden="1">1</definedName>
    <definedName name="solver_nod" localSheetId="2" hidden="1">2147483647</definedName>
    <definedName name="solver_num" localSheetId="2" hidden="1">0</definedName>
    <definedName name="solver_nwt" localSheetId="2" hidden="1">1</definedName>
    <definedName name="solver_opt" localSheetId="2" hidden="1">Verify!$J$21</definedName>
    <definedName name="solver_pre" localSheetId="2" hidden="1">0.000001</definedName>
    <definedName name="solver_rbv" localSheetId="2" hidden="1">1</definedName>
    <definedName name="solver_rlx" localSheetId="2" hidden="1">2</definedName>
    <definedName name="solver_rsd" localSheetId="2" hidden="1">0</definedName>
    <definedName name="solver_scl" localSheetId="2" hidden="1">1</definedName>
    <definedName name="solver_sho" localSheetId="2" hidden="1">2</definedName>
    <definedName name="solver_ssz" localSheetId="2" hidden="1">100</definedName>
    <definedName name="solver_tim" localSheetId="2" hidden="1">2147483647</definedName>
    <definedName name="solver_tol" localSheetId="2" hidden="1">0.01</definedName>
    <definedName name="solver_typ" localSheetId="2" hidden="1">3</definedName>
    <definedName name="solver_val" localSheetId="2" hidden="1">0</definedName>
    <definedName name="solver_ver" localSheetId="2" hidden="1">3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22" i="23" l="1"/>
  <c r="J22" i="23"/>
  <c r="M5" i="23"/>
  <c r="J5" i="23"/>
  <c r="J33" i="23" l="1"/>
  <c r="T7" i="23"/>
  <c r="S5" i="23" l="1"/>
  <c r="S5" i="21"/>
  <c r="P5" i="21"/>
  <c r="M5" i="21" l="1"/>
  <c r="J5" i="21"/>
  <c r="J26" i="21"/>
  <c r="V4" i="22"/>
  <c r="U4" i="22"/>
  <c r="T4" i="22"/>
  <c r="S4" i="22"/>
  <c r="R4" i="22"/>
  <c r="Q4" i="22"/>
  <c r="P4" i="22"/>
  <c r="O4" i="22"/>
  <c r="N4" i="22"/>
  <c r="M4" i="22"/>
  <c r="L4" i="22"/>
  <c r="K4" i="22"/>
  <c r="C5" i="22"/>
  <c r="J4" i="22" s="1"/>
  <c r="AA9" i="22" s="1"/>
  <c r="L5" i="22" l="1"/>
  <c r="K5" i="22"/>
  <c r="I42" i="22"/>
  <c r="M42" i="22"/>
  <c r="I49" i="22"/>
  <c r="J52" i="22"/>
  <c r="AI52" i="22"/>
  <c r="AI51" i="22"/>
  <c r="AI50" i="22"/>
  <c r="L49" i="22"/>
  <c r="AL48" i="22" s="1"/>
  <c r="AI47" i="22" l="1"/>
  <c r="AI48" i="22"/>
  <c r="AI53" i="22"/>
  <c r="AI46" i="22"/>
  <c r="AI49" i="22"/>
  <c r="AI44" i="22"/>
  <c r="AI45" i="22"/>
  <c r="AL47" i="22"/>
  <c r="AL44" i="22"/>
  <c r="AL45" i="22"/>
  <c r="AL46" i="22"/>
  <c r="I40" i="22" l="1"/>
  <c r="I39" i="22"/>
  <c r="I38" i="22"/>
  <c r="I37" i="22"/>
  <c r="J45" i="22"/>
  <c r="AD48" i="22" l="1"/>
  <c r="AF48" i="22" s="1"/>
  <c r="AD47" i="22"/>
  <c r="AF47" i="22" s="1"/>
  <c r="AD46" i="22"/>
  <c r="AF46" i="22" s="1"/>
  <c r="AD45" i="22"/>
  <c r="AF45" i="22" s="1"/>
  <c r="AD44" i="22"/>
  <c r="AF44" i="22" s="1"/>
  <c r="Z53" i="22"/>
  <c r="AB53" i="22" s="1"/>
  <c r="Z52" i="22"/>
  <c r="AB52" i="22" s="1"/>
  <c r="Z51" i="22"/>
  <c r="AB51" i="22" s="1"/>
  <c r="Z50" i="22"/>
  <c r="AB50" i="22" s="1"/>
  <c r="Z49" i="22"/>
  <c r="AB49" i="22" s="1"/>
  <c r="Z48" i="22"/>
  <c r="AB48" i="22" s="1"/>
  <c r="Z47" i="22"/>
  <c r="AB47" i="22" s="1"/>
  <c r="Z46" i="22"/>
  <c r="AB46" i="22" s="1"/>
  <c r="Z45" i="22"/>
  <c r="AB45" i="22" s="1"/>
  <c r="Z44" i="22"/>
  <c r="AB44" i="22" s="1"/>
  <c r="K11" i="22" l="1"/>
  <c r="H49" i="25"/>
  <c r="J18" i="22"/>
  <c r="L18" i="22"/>
  <c r="M18" i="22" s="1"/>
  <c r="C12" i="22"/>
  <c r="C11" i="22"/>
  <c r="C10" i="22"/>
  <c r="C9" i="22"/>
  <c r="C7" i="22"/>
  <c r="C6" i="22"/>
  <c r="K7" i="22" l="1"/>
  <c r="K8" i="22" s="1"/>
  <c r="K9" i="22" s="1"/>
  <c r="J36" i="22"/>
  <c r="I36" i="22"/>
  <c r="N18" i="22"/>
  <c r="H36" i="22" l="1"/>
  <c r="L11" i="22"/>
  <c r="M11" i="22" s="1"/>
  <c r="N11" i="22" s="1"/>
  <c r="O11" i="22" s="1"/>
  <c r="P11" i="22" s="1"/>
  <c r="Q11" i="22" s="1"/>
  <c r="R11" i="22" s="1"/>
  <c r="S11" i="22" s="1"/>
  <c r="T11" i="22" s="1"/>
  <c r="U11" i="22" s="1"/>
  <c r="V11" i="22" s="1"/>
  <c r="O18" i="22"/>
  <c r="P18" i="22" l="1"/>
  <c r="Q18" i="22" s="1"/>
  <c r="R18" i="22" l="1"/>
  <c r="S18" i="22" l="1"/>
  <c r="T18" i="22" l="1"/>
  <c r="L7" i="22"/>
  <c r="L8" i="22" s="1"/>
  <c r="T7" i="22" l="1"/>
  <c r="T8" i="22" s="1"/>
  <c r="T9" i="22" s="1"/>
  <c r="O7" i="22"/>
  <c r="O8" i="22" s="1"/>
  <c r="O9" i="22" s="1"/>
  <c r="R7" i="22"/>
  <c r="R8" i="22" s="1"/>
  <c r="R9" i="22" s="1"/>
  <c r="V7" i="22"/>
  <c r="V8" i="22" s="1"/>
  <c r="V9" i="22" s="1"/>
  <c r="S7" i="22"/>
  <c r="S8" i="22" s="1"/>
  <c r="S9" i="22" s="1"/>
  <c r="M7" i="22"/>
  <c r="M8" i="22" s="1"/>
  <c r="M9" i="22" s="1"/>
  <c r="N7" i="22"/>
  <c r="N8" i="22" s="1"/>
  <c r="N9" i="22" s="1"/>
  <c r="P7" i="22"/>
  <c r="P8" i="22" s="1"/>
  <c r="P9" i="22" s="1"/>
  <c r="Q7" i="22"/>
  <c r="Q8" i="22" s="1"/>
  <c r="Q9" i="22" s="1"/>
  <c r="U7" i="22"/>
  <c r="U8" i="22" s="1"/>
  <c r="U9" i="22" s="1"/>
  <c r="AE13" i="22"/>
  <c r="AE48" i="22" s="1"/>
  <c r="AK48" i="22" s="1"/>
  <c r="AA16" i="22"/>
  <c r="AA51" i="22" s="1"/>
  <c r="AH51" i="22" s="1"/>
  <c r="AA15" i="22"/>
  <c r="AA50" i="22" s="1"/>
  <c r="AH50" i="22" s="1"/>
  <c r="AA14" i="22"/>
  <c r="AA49" i="22" s="1"/>
  <c r="AH49" i="22" s="1"/>
  <c r="AA13" i="22"/>
  <c r="AA48" i="22" s="1"/>
  <c r="AH48" i="22" s="1"/>
  <c r="AA12" i="22"/>
  <c r="AA47" i="22" s="1"/>
  <c r="AH47" i="22" s="1"/>
  <c r="AE12" i="22"/>
  <c r="AE47" i="22" s="1"/>
  <c r="AK47" i="22" s="1"/>
  <c r="AE11" i="22"/>
  <c r="AE46" i="22" s="1"/>
  <c r="AK46" i="22" s="1"/>
  <c r="AE10" i="22"/>
  <c r="AE45" i="22" s="1"/>
  <c r="AK45" i="22" s="1"/>
  <c r="AE9" i="22"/>
  <c r="AE44" i="22" s="1"/>
  <c r="AK44" i="22" s="1"/>
  <c r="AA18" i="22"/>
  <c r="AA53" i="22" s="1"/>
  <c r="AH53" i="22" s="1"/>
  <c r="AA17" i="22"/>
  <c r="AA52" i="22" s="1"/>
  <c r="AH52" i="22" s="1"/>
  <c r="AA11" i="22"/>
  <c r="AA46" i="22" s="1"/>
  <c r="AH46" i="22" s="1"/>
  <c r="AA10" i="22"/>
  <c r="AA45" i="22" s="1"/>
  <c r="AH45" i="22" s="1"/>
  <c r="U18" i="22"/>
  <c r="J5" i="22"/>
  <c r="J16" i="22" s="1"/>
  <c r="Q5" i="22"/>
  <c r="R5" i="22"/>
  <c r="N5" i="22"/>
  <c r="O5" i="22"/>
  <c r="P5" i="22"/>
  <c r="S5" i="22"/>
  <c r="L9" i="22"/>
  <c r="T5" i="22"/>
  <c r="M5" i="22"/>
  <c r="U5" i="22"/>
  <c r="V5" i="22"/>
  <c r="U10" i="22" a="1"/>
  <c r="T10" i="22" a="1"/>
  <c r="V10" i="22" a="1"/>
  <c r="S10" i="22" a="1"/>
  <c r="O10" i="22" a="1"/>
  <c r="N10" i="22" a="1"/>
  <c r="L10" i="22" a="1"/>
  <c r="M10" i="22" a="1"/>
  <c r="R10" i="22" a="1"/>
  <c r="K10" i="22" a="1"/>
  <c r="P10" i="22" a="1"/>
  <c r="Q10" i="22" a="1"/>
  <c r="K10" i="22" l="1"/>
  <c r="K12" i="22" s="1"/>
  <c r="T6" i="22"/>
  <c r="R6" i="22"/>
  <c r="M6" i="22"/>
  <c r="L6" i="22"/>
  <c r="S6" i="22"/>
  <c r="P6" i="22"/>
  <c r="O6" i="22"/>
  <c r="N6" i="22"/>
  <c r="Q6" i="22"/>
  <c r="K6" i="22"/>
  <c r="V6" i="22"/>
  <c r="U6" i="22"/>
  <c r="U24" i="22" s="1"/>
  <c r="V10" i="22"/>
  <c r="V12" i="22" s="1"/>
  <c r="U10" i="22"/>
  <c r="U12" i="22" s="1"/>
  <c r="T10" i="22"/>
  <c r="T12" i="22" s="1"/>
  <c r="T13" i="22" s="1"/>
  <c r="T14" i="22" s="1"/>
  <c r="M10" i="22"/>
  <c r="M12" i="22" s="1"/>
  <c r="M13" i="22" s="1"/>
  <c r="M14" i="22" s="1"/>
  <c r="P10" i="22"/>
  <c r="P12" i="22" s="1"/>
  <c r="S10" i="22"/>
  <c r="S12" i="22" s="1"/>
  <c r="R10" i="22"/>
  <c r="R12" i="22" s="1"/>
  <c r="Q10" i="22"/>
  <c r="Q12" i="22" s="1"/>
  <c r="O10" i="22"/>
  <c r="O12" i="22" s="1"/>
  <c r="N10" i="22"/>
  <c r="N12" i="22" s="1"/>
  <c r="L10" i="22"/>
  <c r="L12" i="22" s="1"/>
  <c r="AA44" i="22"/>
  <c r="V18" i="22"/>
  <c r="J9" i="22"/>
  <c r="Q43" i="22" a="1"/>
  <c r="S43" i="22" a="1"/>
  <c r="T43" i="22" a="1"/>
  <c r="M43" i="22" a="1"/>
  <c r="N43" i="22" a="1"/>
  <c r="V43" i="22" a="1"/>
  <c r="P43" i="22" a="1"/>
  <c r="U43" i="22" a="1"/>
  <c r="R43" i="22" a="1"/>
  <c r="L43" i="22" a="1"/>
  <c r="O43" i="22" a="1"/>
  <c r="K43" i="22" a="1"/>
  <c r="U13" i="22" l="1"/>
  <c r="U14" i="22" s="1"/>
  <c r="S13" i="22"/>
  <c r="S14" i="22" s="1"/>
  <c r="L13" i="22"/>
  <c r="L14" i="22" s="1"/>
  <c r="V13" i="22"/>
  <c r="V14" i="22" s="1"/>
  <c r="K13" i="22"/>
  <c r="K14" i="22" s="1"/>
  <c r="K43" i="22"/>
  <c r="K44" i="22" s="1"/>
  <c r="K45" i="22" s="1"/>
  <c r="K46" i="22" s="1"/>
  <c r="AH44" i="22"/>
  <c r="O13" i="22"/>
  <c r="O14" i="22" s="1"/>
  <c r="N13" i="22"/>
  <c r="N14" i="22" s="1"/>
  <c r="Q13" i="22"/>
  <c r="Q14" i="22" s="1"/>
  <c r="R13" i="22"/>
  <c r="R14" i="22" s="1"/>
  <c r="P13" i="22"/>
  <c r="P14" i="22" s="1"/>
  <c r="U43" i="22"/>
  <c r="U44" i="22" s="1"/>
  <c r="R43" i="22"/>
  <c r="R44" i="22" s="1"/>
  <c r="N43" i="22"/>
  <c r="N44" i="22" s="1"/>
  <c r="V43" i="22"/>
  <c r="V44" i="22" s="1"/>
  <c r="T43" i="22"/>
  <c r="T44" i="22" s="1"/>
  <c r="S43" i="22"/>
  <c r="S44" i="22" s="1"/>
  <c r="Q43" i="22"/>
  <c r="Q44" i="22" s="1"/>
  <c r="P43" i="22"/>
  <c r="P44" i="22" s="1"/>
  <c r="O43" i="22"/>
  <c r="O44" i="22" s="1"/>
  <c r="M43" i="22"/>
  <c r="M44" i="22" s="1"/>
  <c r="L43" i="22"/>
  <c r="L44" i="22" s="1"/>
  <c r="M30" i="22"/>
  <c r="M31" i="22" s="1"/>
  <c r="M32" i="22" s="1"/>
  <c r="V30" i="22"/>
  <c r="V31" i="22" s="1"/>
  <c r="V32" i="22" s="1"/>
  <c r="R30" i="22"/>
  <c r="R31" i="22" s="1"/>
  <c r="R32" i="22" s="1"/>
  <c r="N30" i="22"/>
  <c r="N31" i="22" s="1"/>
  <c r="N32" i="22" s="1"/>
  <c r="Q30" i="22"/>
  <c r="Q31" i="22" s="1"/>
  <c r="Q32" i="22" s="1"/>
  <c r="O30" i="22"/>
  <c r="O31" i="22" s="1"/>
  <c r="O32" i="22" s="1"/>
  <c r="P30" i="22"/>
  <c r="P31" i="22" s="1"/>
  <c r="P32" i="22" s="1"/>
  <c r="S30" i="22"/>
  <c r="S31" i="22" s="1"/>
  <c r="S32" i="22" s="1"/>
  <c r="T30" i="22"/>
  <c r="T31" i="22" s="1"/>
  <c r="T32" i="22" s="1"/>
  <c r="L30" i="22"/>
  <c r="L31" i="22" s="1"/>
  <c r="L32" i="22" s="1"/>
  <c r="U30" i="22"/>
  <c r="U31" i="22" s="1"/>
  <c r="U32" i="22" s="1"/>
  <c r="M19" i="22"/>
  <c r="M20" i="22" s="1"/>
  <c r="M24" i="22"/>
  <c r="M25" i="22" s="1"/>
  <c r="K30" i="22"/>
  <c r="K31" i="22" s="1"/>
  <c r="K32" i="22" s="1"/>
  <c r="K24" i="22"/>
  <c r="K25" i="22" s="1"/>
  <c r="K19" i="22"/>
  <c r="K27" i="22" s="1"/>
  <c r="R19" i="22"/>
  <c r="R20" i="22" s="1"/>
  <c r="R24" i="22"/>
  <c r="R25" i="22" s="1"/>
  <c r="N19" i="22"/>
  <c r="N20" i="22" s="1"/>
  <c r="N24" i="22"/>
  <c r="N25" i="22" s="1"/>
  <c r="Q19" i="22"/>
  <c r="Q20" i="22" s="1"/>
  <c r="Q24" i="22"/>
  <c r="Q25" i="22" s="1"/>
  <c r="O19" i="22"/>
  <c r="O20" i="22" s="1"/>
  <c r="O24" i="22"/>
  <c r="O25" i="22" s="1"/>
  <c r="P19" i="22"/>
  <c r="P20" i="22" s="1"/>
  <c r="P24" i="22"/>
  <c r="P25" i="22" s="1"/>
  <c r="T19" i="22"/>
  <c r="T20" i="22" s="1"/>
  <c r="T24" i="22"/>
  <c r="T25" i="22" s="1"/>
  <c r="L19" i="22"/>
  <c r="L20" i="22" s="1"/>
  <c r="L24" i="22"/>
  <c r="L25" i="22" s="1"/>
  <c r="U19" i="22"/>
  <c r="U20" i="22" s="1"/>
  <c r="U25" i="22"/>
  <c r="V24" i="22"/>
  <c r="V25" i="22" s="1"/>
  <c r="S19" i="22"/>
  <c r="S20" i="22" s="1"/>
  <c r="S24" i="22"/>
  <c r="S25" i="22" s="1"/>
  <c r="V19" i="22"/>
  <c r="V20" i="22" s="1"/>
  <c r="T50" i="22" a="1"/>
  <c r="K50" i="22" a="1"/>
  <c r="Q50" i="22" a="1"/>
  <c r="M50" i="22" a="1"/>
  <c r="L50" i="22" a="1"/>
  <c r="P50" i="22" a="1"/>
  <c r="N50" i="22" a="1"/>
  <c r="O50" i="22" a="1"/>
  <c r="U50" i="22" a="1"/>
  <c r="S50" i="22" a="1"/>
  <c r="R50" i="22" a="1"/>
  <c r="V50" i="22" a="1"/>
  <c r="U50" i="22" l="1"/>
  <c r="U51" i="22" s="1"/>
  <c r="U52" i="22" s="1"/>
  <c r="U53" i="22" s="1"/>
  <c r="V50" i="22"/>
  <c r="V51" i="22" s="1"/>
  <c r="V52" i="22" s="1"/>
  <c r="V53" i="22" s="1"/>
  <c r="K50" i="22"/>
  <c r="K51" i="22" s="1"/>
  <c r="K52" i="22" s="1"/>
  <c r="K53" i="22" s="1"/>
  <c r="Q50" i="22"/>
  <c r="Q51" i="22" s="1"/>
  <c r="Q52" i="22" s="1"/>
  <c r="Q53" i="22" s="1"/>
  <c r="N50" i="22"/>
  <c r="N51" i="22" s="1"/>
  <c r="N52" i="22" s="1"/>
  <c r="N53" i="22" s="1"/>
  <c r="O50" i="22"/>
  <c r="O51" i="22" s="1"/>
  <c r="O52" i="22" s="1"/>
  <c r="O53" i="22" s="1"/>
  <c r="P50" i="22"/>
  <c r="P51" i="22" s="1"/>
  <c r="P52" i="22" s="1"/>
  <c r="P53" i="22" s="1"/>
  <c r="S50" i="22"/>
  <c r="S51" i="22" s="1"/>
  <c r="S52" i="22" s="1"/>
  <c r="S53" i="22" s="1"/>
  <c r="L50" i="22"/>
  <c r="L51" i="22" s="1"/>
  <c r="L52" i="22" s="1"/>
  <c r="L53" i="22" s="1"/>
  <c r="M50" i="22"/>
  <c r="M51" i="22" s="1"/>
  <c r="M52" i="22" s="1"/>
  <c r="M53" i="22" s="1"/>
  <c r="R50" i="22"/>
  <c r="R51" i="22" s="1"/>
  <c r="R52" i="22" s="1"/>
  <c r="R53" i="22" s="1"/>
  <c r="T50" i="22"/>
  <c r="T51" i="22" s="1"/>
  <c r="T52" i="22" s="1"/>
  <c r="T53" i="22" s="1"/>
  <c r="M45" i="22"/>
  <c r="M46" i="22" s="1"/>
  <c r="V45" i="22"/>
  <c r="V46" i="22" s="1"/>
  <c r="R45" i="22"/>
  <c r="R46" i="22" s="1"/>
  <c r="L45" i="22"/>
  <c r="L46" i="22" s="1"/>
  <c r="P45" i="22"/>
  <c r="P46" i="22" s="1"/>
  <c r="Q45" i="22"/>
  <c r="Q46" i="22" s="1"/>
  <c r="S45" i="22"/>
  <c r="S46" i="22" s="1"/>
  <c r="T45" i="22"/>
  <c r="T46" i="22" s="1"/>
  <c r="N45" i="22"/>
  <c r="N46" i="22" s="1"/>
  <c r="U45" i="22"/>
  <c r="U46" i="22" s="1"/>
  <c r="O45" i="22"/>
  <c r="O46" i="22" s="1"/>
  <c r="P27" i="22"/>
  <c r="U22" i="22"/>
  <c r="Q27" i="22"/>
  <c r="L27" i="22"/>
  <c r="L22" i="22"/>
  <c r="P22" i="22"/>
  <c r="R22" i="22"/>
  <c r="R27" i="22"/>
  <c r="M27" i="22"/>
  <c r="M22" i="22"/>
  <c r="O22" i="22"/>
  <c r="O27" i="22"/>
  <c r="S22" i="22"/>
  <c r="U27" i="22"/>
  <c r="V22" i="22"/>
  <c r="T22" i="22"/>
  <c r="V27" i="22"/>
  <c r="Q22" i="22"/>
  <c r="K22" i="22"/>
  <c r="K20" i="22"/>
  <c r="J20" i="22" s="1"/>
  <c r="T27" i="22"/>
  <c r="N22" i="22"/>
  <c r="J32" i="22"/>
  <c r="S27" i="22"/>
  <c r="N27" i="22"/>
  <c r="J25" i="22"/>
  <c r="J53" i="22" l="1"/>
  <c r="J46" i="22"/>
  <c r="J27" i="22"/>
  <c r="J22" i="22"/>
  <c r="J23" i="22" s="1"/>
  <c r="J38" i="22" s="1"/>
  <c r="H38" i="22" s="1"/>
  <c r="G38" i="22" s="1"/>
  <c r="C5" i="23" l="1"/>
  <c r="J14" i="22"/>
  <c r="J49" i="22" l="1"/>
  <c r="H49" i="22" s="1"/>
  <c r="G49" i="22" s="1"/>
  <c r="J42" i="22"/>
  <c r="H42" i="22" s="1"/>
  <c r="G42" i="22" s="1"/>
  <c r="J21" i="22"/>
  <c r="J17" i="22"/>
  <c r="J33" i="22"/>
  <c r="J40" i="22" s="1"/>
  <c r="H40" i="22" s="1"/>
  <c r="G40" i="22" s="1"/>
  <c r="J26" i="22"/>
  <c r="J37" i="22"/>
  <c r="H37" i="22" s="1"/>
  <c r="G37" i="22" s="1"/>
  <c r="J15" i="22"/>
  <c r="J28" i="22"/>
  <c r="J29" i="22" l="1"/>
  <c r="J39" i="22"/>
  <c r="H39" i="22" s="1"/>
  <c r="G39" i="2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junghwan Park</author>
  </authors>
  <commentList>
    <comment ref="H13" authorId="0" shapeId="0" xr:uid="{C1CE53E9-99E4-4993-ABF8-4E93A9D56270}">
      <text>
        <r>
          <rPr>
            <sz val="9"/>
            <color indexed="81"/>
            <rFont val="Tahoma"/>
            <family val="2"/>
          </rPr>
          <t>SMP  :1/(1+[A]*[2])
CONT:1/EXP([A]*[2])</t>
        </r>
      </text>
    </comment>
    <comment ref="H45" authorId="0" shapeId="0" xr:uid="{753B72AE-74A3-436F-ADE9-B5EE94A18513}">
      <text>
        <r>
          <rPr>
            <sz val="9"/>
            <color indexed="81"/>
            <rFont val="Tahoma"/>
            <family val="2"/>
          </rPr>
          <t>SMP  :1/(1+[A]*[2])
CONT:1/EXP([A]*[2])</t>
        </r>
      </text>
    </comment>
    <comment ref="H52" authorId="0" shapeId="0" xr:uid="{0A60C04E-E05B-4DDC-B6C0-BA29AE5EFCD8}">
      <text>
        <r>
          <rPr>
            <sz val="9"/>
            <color indexed="81"/>
            <rFont val="Tahoma"/>
            <family val="2"/>
          </rPr>
          <t>SMP  :1/(1+[A]*[2])
CONT:1/EXP([A]*[2])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<sst xmlns="http://schemas.openxmlformats.org/spreadsheetml/2006/main" count="1266" uniqueCount="791">
  <si>
    <t>MATU_DT</t>
    <phoneticPr fontId="1" type="noConversion"/>
  </si>
  <si>
    <t>CASHFLOW</t>
    <phoneticPr fontId="1" type="noConversion"/>
  </si>
  <si>
    <t>Value</t>
    <phoneticPr fontId="1" type="noConversion"/>
  </si>
  <si>
    <t>SEQ</t>
    <phoneticPr fontId="1" type="noConversion"/>
  </si>
  <si>
    <t>Position Information</t>
    <phoneticPr fontId="2" type="noConversion"/>
  </si>
  <si>
    <t>Curve / Volatility(T)</t>
    <phoneticPr fontId="2" type="noConversion"/>
  </si>
  <si>
    <t>IRKRW-IRS</t>
    <phoneticPr fontId="2" type="noConversion"/>
  </si>
  <si>
    <t>SEQ</t>
    <phoneticPr fontId="2" type="noConversion"/>
  </si>
  <si>
    <t>Attribute</t>
    <phoneticPr fontId="2" type="noConversion"/>
  </si>
  <si>
    <t xml:space="preserve"> </t>
    <phoneticPr fontId="2" type="noConversion"/>
  </si>
  <si>
    <t>No</t>
    <phoneticPr fontId="2" type="noConversion"/>
  </si>
  <si>
    <t>Day</t>
    <phoneticPr fontId="2" type="noConversion"/>
  </si>
  <si>
    <t>Value</t>
    <phoneticPr fontId="2" type="noConversion"/>
  </si>
  <si>
    <t>Schedule</t>
    <phoneticPr fontId="2" type="noConversion"/>
  </si>
  <si>
    <t>Delta</t>
    <phoneticPr fontId="2" type="noConversion"/>
  </si>
  <si>
    <t>Calcu Y/N</t>
    <phoneticPr fontId="2" type="noConversion"/>
  </si>
  <si>
    <t>Tenor</t>
    <phoneticPr fontId="2" type="noConversion"/>
  </si>
  <si>
    <t>THEO/Value</t>
    <phoneticPr fontId="2" type="noConversion"/>
  </si>
  <si>
    <t>Vega</t>
    <phoneticPr fontId="2" type="noConversion"/>
  </si>
  <si>
    <t>Gamma</t>
    <phoneticPr fontId="2" type="noConversion"/>
  </si>
  <si>
    <t>Curvature/Gamma</t>
    <phoneticPr fontId="2" type="noConversion"/>
  </si>
  <si>
    <t>FRTB_DELTA_GIRR</t>
    <phoneticPr fontId="1" type="noConversion"/>
  </si>
  <si>
    <t>FRTB_DELTA_FX</t>
    <phoneticPr fontId="1" type="noConversion"/>
  </si>
  <si>
    <t>만기일</t>
  </si>
  <si>
    <t>발행일</t>
  </si>
  <si>
    <t>원금</t>
  </si>
  <si>
    <t>ISSU_DT</t>
    <phoneticPr fontId="1" type="noConversion"/>
  </si>
  <si>
    <t>DLL Prameter Information</t>
    <phoneticPr fontId="2" type="noConversion"/>
  </si>
  <si>
    <t>COUP_RATE</t>
    <phoneticPr fontId="1" type="noConversion"/>
  </si>
  <si>
    <t>시장가격</t>
    <phoneticPr fontId="1" type="noConversion"/>
  </si>
  <si>
    <t>Duration</t>
    <phoneticPr fontId="2" type="noConversion"/>
  </si>
  <si>
    <t>PV01</t>
    <phoneticPr fontId="2" type="noConversion"/>
  </si>
  <si>
    <t>FRTB_DELTA_CSR</t>
    <phoneticPr fontId="1" type="noConversion"/>
  </si>
  <si>
    <t>FRTB_DELTA_EQ</t>
    <phoneticPr fontId="1" type="noConversion"/>
  </si>
  <si>
    <t>FRTB_DELTA_CM</t>
    <phoneticPr fontId="1" type="noConversion"/>
  </si>
  <si>
    <t>FRTB_VEGA_GIRR</t>
  </si>
  <si>
    <t>FRTB_VEGA_FX</t>
  </si>
  <si>
    <t>FRTB_VEGA_EQ</t>
  </si>
  <si>
    <t>FRTB_VEGA_CM</t>
  </si>
  <si>
    <t>FRTB_CVR_GIRR</t>
    <phoneticPr fontId="1" type="noConversion"/>
  </si>
  <si>
    <t>FRTB_CVR_FX</t>
    <phoneticPr fontId="1" type="noConversion"/>
  </si>
  <si>
    <t>FRTB_CVR_EQ</t>
    <phoneticPr fontId="1" type="noConversion"/>
  </si>
  <si>
    <t>FRTB_CVR_CM</t>
    <phoneticPr fontId="1" type="noConversion"/>
  </si>
  <si>
    <t>FRTB_JTD</t>
    <phoneticPr fontId="1" type="noConversion"/>
  </si>
  <si>
    <t>FRB: Fixed Rate Bond</t>
    <phoneticPr fontId="2" type="noConversion"/>
  </si>
  <si>
    <t>평가일</t>
    <phoneticPr fontId="1" type="noConversion"/>
  </si>
  <si>
    <t>쿠폰지급주기 코드</t>
    <phoneticPr fontId="1" type="noConversion"/>
  </si>
  <si>
    <t>쿠폰 개수</t>
    <phoneticPr fontId="1" type="noConversion"/>
  </si>
  <si>
    <t>쿠폰 지급일</t>
    <phoneticPr fontId="1" type="noConversion"/>
  </si>
  <si>
    <t>쿠폰 시작일</t>
    <phoneticPr fontId="1" type="noConversion"/>
  </si>
  <si>
    <t>쿠폰 종료일</t>
    <phoneticPr fontId="1" type="noConversion"/>
  </si>
  <si>
    <t>쿠폰이율</t>
    <phoneticPr fontId="1" type="noConversion"/>
  </si>
  <si>
    <t>GIRR 커브 데이터 사이즈</t>
    <phoneticPr fontId="1" type="noConversion"/>
  </si>
  <si>
    <t>GIRR 만기일수</t>
    <phoneticPr fontId="1" type="noConversion"/>
  </si>
  <si>
    <t>GIRR 금리</t>
    <phoneticPr fontId="1" type="noConversion"/>
  </si>
  <si>
    <t>CSR 커브 데이터사이즈</t>
    <phoneticPr fontId="1" type="noConversion"/>
  </si>
  <si>
    <t>CSR 만기일수</t>
    <phoneticPr fontId="1" type="noConversion"/>
  </si>
  <si>
    <t>CSR 스프레드 금리</t>
    <phoneticPr fontId="1" type="noConversion"/>
  </si>
  <si>
    <t>측정구분</t>
    <phoneticPr fontId="1" type="noConversion"/>
  </si>
  <si>
    <t>로깅여부</t>
    <phoneticPr fontId="1" type="noConversion"/>
  </si>
  <si>
    <t>NOTI_AMT</t>
    <phoneticPr fontId="1" type="noConversion"/>
  </si>
  <si>
    <t>COUP_DCB_CD</t>
    <phoneticPr fontId="1" type="noConversion"/>
  </si>
  <si>
    <t>SPOT_PRIC</t>
    <phoneticPr fontId="1" type="noConversion"/>
  </si>
  <si>
    <t>CAL_TYPE</t>
    <phoneticPr fontId="1" type="noConversion"/>
  </si>
  <si>
    <t>LOG_YN</t>
    <phoneticPr fontId="1" type="noConversion"/>
  </si>
  <si>
    <t>지급일</t>
    <phoneticPr fontId="1" type="noConversion"/>
  </si>
  <si>
    <t>시작일</t>
    <phoneticPr fontId="1" type="noConversion"/>
  </si>
  <si>
    <t>종료일</t>
    <phoneticPr fontId="1" type="noConversion"/>
  </si>
  <si>
    <t>GIRR 커브</t>
    <phoneticPr fontId="1" type="noConversion"/>
  </si>
  <si>
    <t>CSR 커브</t>
    <phoneticPr fontId="1" type="noConversion"/>
  </si>
  <si>
    <t>쿠폰 스케줄</t>
    <phoneticPr fontId="1" type="noConversion"/>
  </si>
  <si>
    <t>FRB000001</t>
    <phoneticPr fontId="2" type="noConversion"/>
  </si>
  <si>
    <t>IRKRW-IRS</t>
    <phoneticPr fontId="1" type="noConversion"/>
  </si>
  <si>
    <t>SCH_001</t>
    <phoneticPr fontId="1" type="noConversion"/>
  </si>
  <si>
    <t>COUP_CNT</t>
    <phoneticPr fontId="1" type="noConversion"/>
  </si>
  <si>
    <t>COUP_PAYMENT_DT</t>
    <phoneticPr fontId="1" type="noConversion"/>
  </si>
  <si>
    <t>COUP_START_DT</t>
    <phoneticPr fontId="1" type="noConversion"/>
  </si>
  <si>
    <t>COUP_END_DT</t>
    <phoneticPr fontId="1" type="noConversion"/>
  </si>
  <si>
    <t>EVALU_DT</t>
    <phoneticPr fontId="1" type="noConversion"/>
  </si>
  <si>
    <t>GIRR 위험가중치</t>
    <phoneticPr fontId="1" type="noConversion"/>
  </si>
  <si>
    <t>SOY</t>
    <phoneticPr fontId="1" type="noConversion"/>
  </si>
  <si>
    <t>로깅파일 생성여부</t>
    <phoneticPr fontId="1" type="noConversion"/>
  </si>
  <si>
    <t>NOTI_CCY</t>
    <phoneticPr fontId="1" type="noConversion"/>
  </si>
  <si>
    <t>쿠폰일수산출방식 코드</t>
    <phoneticPr fontId="1" type="noConversion"/>
  </si>
  <si>
    <t>쿠폰일수산출방식 코드</t>
  </si>
  <si>
    <t>COL_NM</t>
    <phoneticPr fontId="1" type="noConversion"/>
  </si>
  <si>
    <t>FRB : Fixed Rate Bond</t>
    <phoneticPr fontId="2" type="noConversion"/>
  </si>
  <si>
    <r>
      <t>C</t>
    </r>
    <r>
      <rPr>
        <b/>
        <sz val="9"/>
        <color theme="0" tint="-4.9989318521683403E-2"/>
        <rFont val="맑은 고딕"/>
        <family val="3"/>
        <charset val="129"/>
      </rPr>
      <t>a</t>
    </r>
    <r>
      <rPr>
        <b/>
        <sz val="9"/>
        <color theme="0" tint="-4.9989318521683403E-2"/>
        <rFont val="나눔바른펜"/>
        <family val="3"/>
        <charset val="129"/>
      </rPr>
      <t>shflow</t>
    </r>
    <phoneticPr fontId="2" type="noConversion"/>
  </si>
  <si>
    <t>Convexity</t>
    <phoneticPr fontId="2" type="noConversion"/>
  </si>
  <si>
    <t>Y</t>
  </si>
  <si>
    <t>N</t>
  </si>
  <si>
    <t>Curvature</t>
    <phoneticPr fontId="2" type="noConversion"/>
  </si>
  <si>
    <t>Up</t>
    <phoneticPr fontId="2" type="noConversion"/>
  </si>
  <si>
    <t>Down</t>
    <phoneticPr fontId="2" type="noConversion"/>
  </si>
  <si>
    <t>Calculation Option</t>
    <phoneticPr fontId="2" type="noConversion"/>
  </si>
  <si>
    <t>IRKRW-Treasury-CSR</t>
    <phoneticPr fontId="1" type="noConversion"/>
  </si>
  <si>
    <t>COUP_TERM</t>
    <phoneticPr fontId="1" type="noConversion"/>
  </si>
  <si>
    <t>지급통화</t>
    <phoneticPr fontId="1" type="noConversion"/>
  </si>
  <si>
    <t>COUP_GEN_METH</t>
    <phoneticPr fontId="1" type="noConversion"/>
  </si>
  <si>
    <t>BDAY_RULE</t>
    <phoneticPr fontId="1" type="noConversion"/>
  </si>
  <si>
    <t>BDAY_RULE_CALEN</t>
    <phoneticPr fontId="1" type="noConversion"/>
  </si>
  <si>
    <t>지급지연적용일수</t>
  </si>
  <si>
    <t>PMT_DLY_DAYS</t>
  </si>
  <si>
    <t>COUP_DAYC_BASIS</t>
    <phoneticPr fontId="1" type="noConversion"/>
  </si>
  <si>
    <t>일자산출방식</t>
    <phoneticPr fontId="1" type="noConversion"/>
  </si>
  <si>
    <t>보간방식</t>
    <phoneticPr fontId="1" type="noConversion"/>
  </si>
  <si>
    <t>Linear</t>
    <phoneticPr fontId="1" type="noConversion"/>
  </si>
  <si>
    <t>금리산출방식</t>
    <phoneticPr fontId="1" type="noConversion"/>
  </si>
  <si>
    <t>복리주기</t>
    <phoneticPr fontId="1" type="noConversion"/>
  </si>
  <si>
    <t>휴일조정방식</t>
    <phoneticPr fontId="1" type="noConversion"/>
  </si>
  <si>
    <t>캘린더</t>
    <phoneticPr fontId="1" type="noConversion"/>
  </si>
  <si>
    <t>이자생성방식</t>
  </si>
  <si>
    <t>CSR 위험가중치 (버킷별)</t>
    <phoneticPr fontId="1" type="noConversion"/>
  </si>
  <si>
    <t>PMT_DLY_DAYS</t>
    <phoneticPr fontId="1" type="noConversion"/>
  </si>
  <si>
    <t>SpreadOverYield( CONT ACT/365)</t>
    <phoneticPr fontId="1" type="noConversion"/>
  </si>
  <si>
    <t>FRTB_CVR_CSR</t>
    <phoneticPr fontId="1" type="noConversion"/>
  </si>
  <si>
    <t>Attribute</t>
    <phoneticPr fontId="1" type="noConversion"/>
  </si>
  <si>
    <t>Enum</t>
    <phoneticPr fontId="1" type="noConversion"/>
  </si>
  <si>
    <t>Pricing Option</t>
    <phoneticPr fontId="2" type="noConversion"/>
  </si>
  <si>
    <t>LGD For JTD</t>
    <phoneticPr fontId="1" type="noConversion"/>
  </si>
  <si>
    <t>GIRR 위험가중치 For CVR</t>
    <phoneticPr fontId="1" type="noConversion"/>
  </si>
  <si>
    <t xml:space="preserve">LGD  </t>
    <phoneticPr fontId="1" type="noConversion"/>
  </si>
  <si>
    <t>CSR 버킷</t>
    <phoneticPr fontId="1" type="noConversion"/>
  </si>
  <si>
    <t>02</t>
    <phoneticPr fontId="1" type="noConversion"/>
  </si>
  <si>
    <t>CSR_BUCKET</t>
    <phoneticPr fontId="1" type="noConversion"/>
  </si>
  <si>
    <t>Actual365Fixed</t>
  </si>
  <si>
    <t>INTP_TYPE</t>
    <phoneticPr fontId="1" type="noConversion"/>
  </si>
  <si>
    <t>Linear</t>
  </si>
  <si>
    <t>COMP_TYPE</t>
    <phoneticPr fontId="1" type="noConversion"/>
  </si>
  <si>
    <t>Continuous</t>
  </si>
  <si>
    <t>COMP_TERM</t>
    <phoneticPr fontId="1" type="noConversion"/>
  </si>
  <si>
    <t>Annual</t>
  </si>
  <si>
    <t>Backward</t>
    <phoneticPr fontId="1" type="noConversion"/>
  </si>
  <si>
    <t>Forward</t>
    <phoneticPr fontId="1" type="noConversion"/>
  </si>
  <si>
    <t>Zero</t>
    <phoneticPr fontId="1" type="noConversion"/>
  </si>
  <si>
    <t>ThirdWednesday</t>
    <phoneticPr fontId="1" type="noConversion"/>
  </si>
  <si>
    <t>Twentieth</t>
    <phoneticPr fontId="1" type="noConversion"/>
  </si>
  <si>
    <t>TwentiethIMM</t>
    <phoneticPr fontId="1" type="noConversion"/>
  </si>
  <si>
    <t>OldCDS</t>
    <phoneticPr fontId="1" type="noConversion"/>
  </si>
  <si>
    <t>CDS</t>
    <phoneticPr fontId="1" type="noConversion"/>
  </si>
  <si>
    <t>CDS2015</t>
    <phoneticPr fontId="1" type="noConversion"/>
  </si>
  <si>
    <t>EndOfMonth</t>
    <phoneticPr fontId="1" type="noConversion"/>
  </si>
  <si>
    <t>BDAY_CALEN_CD</t>
    <phoneticPr fontId="1" type="noConversion"/>
  </si>
  <si>
    <t>COUP_TERM_CD</t>
    <phoneticPr fontId="1" type="noConversion"/>
  </si>
  <si>
    <t>휴일조정방식달력 코드</t>
    <phoneticPr fontId="1" type="noConversion"/>
  </si>
  <si>
    <t>쿠폰스케줄 생성기준 코드</t>
    <phoneticPr fontId="1" type="noConversion"/>
  </si>
  <si>
    <t>COUP_GEN_METH_CD</t>
    <phoneticPr fontId="1" type="noConversion"/>
  </si>
  <si>
    <t>휴일조정방식 코드</t>
    <phoneticPr fontId="1" type="noConversion"/>
  </si>
  <si>
    <t>BDAY_RULE_CD</t>
    <phoneticPr fontId="1" type="noConversion"/>
  </si>
  <si>
    <t>지급일 지연일수</t>
    <phoneticPr fontId="1" type="noConversion"/>
  </si>
  <si>
    <t>0</t>
    <phoneticPr fontId="1" type="noConversion"/>
  </si>
  <si>
    <t>GIRR 컨벤션 (일수산출방식, 보간방식, 금리산출방식, 금리주기)</t>
    <phoneticPr fontId="1" type="noConversion"/>
  </si>
  <si>
    <t>ZERO_CNT</t>
    <phoneticPr fontId="1" type="noConversion"/>
  </si>
  <si>
    <t>ZERO_T</t>
    <phoneticPr fontId="1" type="noConversion"/>
  </si>
  <si>
    <t>ZERO_RATES</t>
    <phoneticPr fontId="1" type="noConversion"/>
  </si>
  <si>
    <t>CSR_CNT</t>
    <phoneticPr fontId="1" type="noConversion"/>
  </si>
  <si>
    <t>CSR_T</t>
    <phoneticPr fontId="1" type="noConversion"/>
  </si>
  <si>
    <t>CSR_RATES</t>
    <phoneticPr fontId="1" type="noConversion"/>
  </si>
  <si>
    <t>Bool</t>
    <phoneticPr fontId="1" type="noConversion"/>
  </si>
  <si>
    <t>VolatilityType</t>
    <phoneticPr fontId="1" type="noConversion"/>
  </si>
  <si>
    <t>RateAveragingType</t>
    <phoneticPr fontId="1" type="noConversion"/>
  </si>
  <si>
    <t>SwapType</t>
    <phoneticPr fontId="1" type="noConversion"/>
  </si>
  <si>
    <t>OptionOwner</t>
    <phoneticPr fontId="1" type="noConversion"/>
  </si>
  <si>
    <t>Period</t>
    <phoneticPr fontId="1" type="noConversion"/>
  </si>
  <si>
    <t>CompoundingRule</t>
    <phoneticPr fontId="1" type="noConversion"/>
  </si>
  <si>
    <t>OptionType</t>
    <phoneticPr fontId="1" type="noConversion"/>
  </si>
  <si>
    <t>StrikeType</t>
    <phoneticPr fontId="1" type="noConversion"/>
  </si>
  <si>
    <t>AverageType</t>
    <phoneticPr fontId="1" type="noConversion"/>
  </si>
  <si>
    <t>AccumulationDirection</t>
    <phoneticPr fontId="1" type="noConversion"/>
  </si>
  <si>
    <t>BarrierType</t>
    <phoneticPr fontId="1" type="noConversion"/>
  </si>
  <si>
    <t>StrikedTypePayoff</t>
    <phoneticPr fontId="1" type="noConversion"/>
  </si>
  <si>
    <t>SouthKorea</t>
    <phoneticPr fontId="1" type="noConversion"/>
  </si>
  <si>
    <t>UnitedStates::Settlement</t>
    <phoneticPr fontId="1" type="noConversion"/>
  </si>
  <si>
    <t>UnitedStates::NYSE</t>
    <phoneticPr fontId="1" type="noConversion"/>
  </si>
  <si>
    <t>UnitedStates::GovernmentBond</t>
    <phoneticPr fontId="1" type="noConversion"/>
  </si>
  <si>
    <t>UnitedStates::NERC</t>
    <phoneticPr fontId="1" type="noConversion"/>
  </si>
  <si>
    <t>UnitedStates::LiborImpact</t>
    <phoneticPr fontId="1" type="noConversion"/>
  </si>
  <si>
    <t>UnitedStates::FederalReserve</t>
    <phoneticPr fontId="1" type="noConversion"/>
  </si>
  <si>
    <t>UnitedStates::SOFR</t>
    <phoneticPr fontId="1" type="noConversion"/>
  </si>
  <si>
    <t>Actual365Fixed</t>
    <phoneticPr fontId="1" type="noConversion"/>
  </si>
  <si>
    <t>Actual360</t>
    <phoneticPr fontId="1" type="noConversion"/>
  </si>
  <si>
    <t>Actual364</t>
    <phoneticPr fontId="1" type="noConversion"/>
  </si>
  <si>
    <t>Actual36525</t>
    <phoneticPr fontId="1" type="noConversion"/>
  </si>
  <si>
    <t>Actual366</t>
    <phoneticPr fontId="1" type="noConversion"/>
  </si>
  <si>
    <t>ActualActual</t>
    <phoneticPr fontId="1" type="noConversion"/>
  </si>
  <si>
    <t>Business252</t>
    <phoneticPr fontId="1" type="noConversion"/>
  </si>
  <si>
    <t>one</t>
    <phoneticPr fontId="1" type="noConversion"/>
  </si>
  <si>
    <t>simpleDayCounter</t>
    <phoneticPr fontId="1" type="noConversion"/>
  </si>
  <si>
    <t>Thirty360::USA</t>
    <phoneticPr fontId="1" type="noConversion"/>
  </si>
  <si>
    <t>Thirty360::BondBasis</t>
    <phoneticPr fontId="1" type="noConversion"/>
  </si>
  <si>
    <t>Thirty360::European</t>
    <phoneticPr fontId="1" type="noConversion"/>
  </si>
  <si>
    <t>Thirty360::EurobondBasis</t>
    <phoneticPr fontId="1" type="noConversion"/>
  </si>
  <si>
    <t>Thirty360::Italian</t>
    <phoneticPr fontId="1" type="noConversion"/>
  </si>
  <si>
    <t>Thirty360::German</t>
    <phoneticPr fontId="1" type="noConversion"/>
  </si>
  <si>
    <t>Thirty360::ISMA</t>
    <phoneticPr fontId="1" type="noConversion"/>
  </si>
  <si>
    <t>Thirty360::ISDA</t>
    <phoneticPr fontId="1" type="noConversion"/>
  </si>
  <si>
    <t>Thirty360::NASD</t>
    <phoneticPr fontId="1" type="noConversion"/>
  </si>
  <si>
    <t>Thirty365</t>
    <phoneticPr fontId="1" type="noConversion"/>
  </si>
  <si>
    <t>Continuous</t>
    <phoneticPr fontId="1" type="noConversion"/>
  </si>
  <si>
    <t>Simple</t>
    <phoneticPr fontId="1" type="noConversion"/>
  </si>
  <si>
    <t>Compounded</t>
    <phoneticPr fontId="1" type="noConversion"/>
  </si>
  <si>
    <t>SimpleThenCompounded</t>
    <phoneticPr fontId="1" type="noConversion"/>
  </si>
  <si>
    <t>CompoundedThenSimple</t>
    <phoneticPr fontId="1" type="noConversion"/>
  </si>
  <si>
    <t>Annual</t>
    <phoneticPr fontId="1" type="noConversion"/>
  </si>
  <si>
    <t>Semiannual</t>
    <phoneticPr fontId="1" type="noConversion"/>
  </si>
  <si>
    <t>Quarterly</t>
    <phoneticPr fontId="1" type="noConversion"/>
  </si>
  <si>
    <t>Monthly</t>
    <phoneticPr fontId="1" type="noConversion"/>
  </si>
  <si>
    <t>Bimonthly</t>
    <phoneticPr fontId="1" type="noConversion"/>
  </si>
  <si>
    <t>Weekly</t>
    <phoneticPr fontId="1" type="noConversion"/>
  </si>
  <si>
    <t>Biweekly</t>
    <phoneticPr fontId="1" type="noConversion"/>
  </si>
  <si>
    <t>Daily</t>
    <phoneticPr fontId="1" type="noConversion"/>
  </si>
  <si>
    <t>NoFrequency</t>
    <phoneticPr fontId="1" type="noConversion"/>
  </si>
  <si>
    <t>Once</t>
    <phoneticPr fontId="1" type="noConversion"/>
  </si>
  <si>
    <t>EveryFourthMonth</t>
    <phoneticPr fontId="1" type="noConversion"/>
  </si>
  <si>
    <t>EveryFourthWeek</t>
    <phoneticPr fontId="1" type="noConversion"/>
  </si>
  <si>
    <t>ModifiedFollowing</t>
    <phoneticPr fontId="1" type="noConversion"/>
  </si>
  <si>
    <t>Following</t>
    <phoneticPr fontId="1" type="noConversion"/>
  </si>
  <si>
    <t>Preceding</t>
    <phoneticPr fontId="1" type="noConversion"/>
  </si>
  <si>
    <t>ModifiedPreceding</t>
    <phoneticPr fontId="1" type="noConversion"/>
  </si>
  <si>
    <t>Unadjusted</t>
    <phoneticPr fontId="1" type="noConversion"/>
  </si>
  <si>
    <t>HalfMonthModifiedFollowing</t>
    <phoneticPr fontId="1" type="noConversion"/>
  </si>
  <si>
    <t>Nearest</t>
    <phoneticPr fontId="1" type="noConversion"/>
  </si>
  <si>
    <t>ShiftedLognormal</t>
    <phoneticPr fontId="1" type="noConversion"/>
  </si>
  <si>
    <t>Normal</t>
    <phoneticPr fontId="1" type="noConversion"/>
  </si>
  <si>
    <t>Compound</t>
    <phoneticPr fontId="1" type="noConversion"/>
  </si>
  <si>
    <t>PAY</t>
    <phoneticPr fontId="1" type="noConversion"/>
  </si>
  <si>
    <t>RCV</t>
    <phoneticPr fontId="1" type="noConversion"/>
  </si>
  <si>
    <t>Them</t>
    <phoneticPr fontId="1" type="noConversion"/>
  </si>
  <si>
    <t>D</t>
    <phoneticPr fontId="1" type="noConversion"/>
  </si>
  <si>
    <t>M</t>
    <phoneticPr fontId="1" type="noConversion"/>
  </si>
  <si>
    <t>Y</t>
    <phoneticPr fontId="1" type="noConversion"/>
  </si>
  <si>
    <t>IMatIM</t>
    <phoneticPr fontId="1" type="noConversion"/>
  </si>
  <si>
    <t>IMatI</t>
    <phoneticPr fontId="1" type="noConversion"/>
  </si>
  <si>
    <t>IatIplusM</t>
    <phoneticPr fontId="1" type="noConversion"/>
  </si>
  <si>
    <t>IatIM</t>
    <phoneticPr fontId="1" type="noConversion"/>
  </si>
  <si>
    <t>IatIMplusM</t>
    <phoneticPr fontId="1" type="noConversion"/>
  </si>
  <si>
    <t>NoCompounding</t>
    <phoneticPr fontId="1" type="noConversion"/>
  </si>
  <si>
    <t>IM1atIM2</t>
    <phoneticPr fontId="1" type="noConversion"/>
  </si>
  <si>
    <t>Call</t>
    <phoneticPr fontId="1" type="noConversion"/>
  </si>
  <si>
    <t>Put</t>
    <phoneticPr fontId="1" type="noConversion"/>
  </si>
  <si>
    <t>FixedStrike</t>
    <phoneticPr fontId="1" type="noConversion"/>
  </si>
  <si>
    <t>FloatingStrike</t>
    <phoneticPr fontId="1" type="noConversion"/>
  </si>
  <si>
    <t>Arithmetic</t>
    <phoneticPr fontId="1" type="noConversion"/>
  </si>
  <si>
    <t>Geometric</t>
    <phoneticPr fontId="1" type="noConversion"/>
  </si>
  <si>
    <t>ProfitOnly</t>
    <phoneticPr fontId="1" type="noConversion"/>
  </si>
  <si>
    <t>LossOnly</t>
    <phoneticPr fontId="1" type="noConversion"/>
  </si>
  <si>
    <t>DownIn</t>
    <phoneticPr fontId="1" type="noConversion"/>
  </si>
  <si>
    <t>UpIn</t>
    <phoneticPr fontId="1" type="noConversion"/>
  </si>
  <si>
    <t>DownOut</t>
    <phoneticPr fontId="1" type="noConversion"/>
  </si>
  <si>
    <t>UpOut</t>
    <phoneticPr fontId="1" type="noConversion"/>
  </si>
  <si>
    <t>None</t>
    <phoneticPr fontId="1" type="noConversion"/>
  </si>
  <si>
    <t>PlainVanilla</t>
    <phoneticPr fontId="1" type="noConversion"/>
  </si>
  <si>
    <t>PercentageStrike</t>
    <phoneticPr fontId="1" type="noConversion"/>
  </si>
  <si>
    <t>AssetOrNothing</t>
    <phoneticPr fontId="1" type="noConversion"/>
  </si>
  <si>
    <t>CashOrNothing</t>
    <phoneticPr fontId="1" type="noConversion"/>
  </si>
  <si>
    <t>Gap</t>
    <phoneticPr fontId="1" type="noConversion"/>
  </si>
  <si>
    <t>SuperFund</t>
    <phoneticPr fontId="1" type="noConversion"/>
  </si>
  <si>
    <t>SuperShare</t>
    <phoneticPr fontId="1" type="noConversion"/>
  </si>
  <si>
    <t>GIRR_CONVENTION</t>
    <phoneticPr fontId="1" type="noConversion"/>
  </si>
  <si>
    <t>CSR 위험가중치 For CVR</t>
    <phoneticPr fontId="1" type="noConversion"/>
  </si>
  <si>
    <t>만기일</t>
    <phoneticPr fontId="1" type="noConversion"/>
  </si>
  <si>
    <t>6000000000</t>
    <phoneticPr fontId="1" type="noConversion"/>
  </si>
  <si>
    <t>5536303734.68839</t>
    <phoneticPr fontId="1" type="noConversion"/>
  </si>
  <si>
    <t>LOG_YN (NO:0, YES:1)</t>
    <phoneticPr fontId="1" type="noConversion"/>
  </si>
  <si>
    <t>6000000000</t>
  </si>
  <si>
    <t>5</t>
  </si>
  <si>
    <t>0</t>
  </si>
  <si>
    <t>1</t>
  </si>
  <si>
    <t>90|180|360|720|1080|1800|3600|5400|7200|10800</t>
  </si>
  <si>
    <t>0.0337|0.0317|0.0285|0.0272|0.0269|0.0271|0.0278|0.0272|0.0254|0.0222</t>
  </si>
  <si>
    <t>0|0|0|0</t>
  </si>
  <si>
    <t>180|360|1080|1800|3600</t>
  </si>
  <si>
    <t>0|0|0|0.0005|0.001</t>
  </si>
  <si>
    <t>5536303734.68839</t>
  </si>
  <si>
    <t>분석항목</t>
    <phoneticPr fontId="1" type="noConversion"/>
  </si>
  <si>
    <t>Fixed Rate Bond</t>
    <phoneticPr fontId="1" type="noConversion"/>
  </si>
  <si>
    <t>평가일자</t>
    <phoneticPr fontId="1" type="noConversion"/>
  </si>
  <si>
    <t>액면금액</t>
    <phoneticPr fontId="1" type="noConversion"/>
  </si>
  <si>
    <t>이자지급주기</t>
    <phoneticPr fontId="1" type="noConversion"/>
  </si>
  <si>
    <t>표면금리</t>
    <phoneticPr fontId="1" type="noConversion"/>
  </si>
  <si>
    <t>분석대상상품</t>
    <phoneticPr fontId="1" type="noConversion"/>
  </si>
  <si>
    <t>Term</t>
    <phoneticPr fontId="1" type="noConversion"/>
  </si>
  <si>
    <t>[1]</t>
    <phoneticPr fontId="1" type="noConversion"/>
  </si>
  <si>
    <t>[2]</t>
    <phoneticPr fontId="1" type="noConversion"/>
  </si>
  <si>
    <t>TF</t>
    <phoneticPr fontId="1" type="noConversion"/>
  </si>
  <si>
    <t>[1]/365</t>
    <phoneticPr fontId="1" type="noConversion"/>
  </si>
  <si>
    <t>CashFlow</t>
    <phoneticPr fontId="1" type="noConversion"/>
  </si>
  <si>
    <t>표면금리DC</t>
    <phoneticPr fontId="1" type="noConversion"/>
  </si>
  <si>
    <t>Day()</t>
    <phoneticPr fontId="1" type="noConversion"/>
  </si>
  <si>
    <t>[3]</t>
    <phoneticPr fontId="1" type="noConversion"/>
  </si>
  <si>
    <t>직전지급일</t>
    <phoneticPr fontId="1" type="noConversion"/>
  </si>
  <si>
    <t>[4]</t>
    <phoneticPr fontId="1" type="noConversion"/>
  </si>
  <si>
    <t>[3]/365</t>
    <phoneticPr fontId="1" type="noConversion"/>
  </si>
  <si>
    <t>CF</t>
    <phoneticPr fontId="1" type="noConversion"/>
  </si>
  <si>
    <t>[5]</t>
    <phoneticPr fontId="1" type="noConversion"/>
  </si>
  <si>
    <t>(P*R)*[4]</t>
    <phoneticPr fontId="1" type="noConversion"/>
  </si>
  <si>
    <t>impliedSpread</t>
    <phoneticPr fontId="1" type="noConversion"/>
  </si>
  <si>
    <t>DR</t>
    <phoneticPr fontId="1" type="noConversion"/>
  </si>
  <si>
    <t>[6]</t>
    <phoneticPr fontId="1" type="noConversion"/>
  </si>
  <si>
    <t>LN(DC)</t>
    <phoneticPr fontId="1" type="noConversion"/>
  </si>
  <si>
    <t>Verify</t>
    <phoneticPr fontId="1" type="noConversion"/>
  </si>
  <si>
    <t>ImSpread</t>
    <phoneticPr fontId="1" type="noConversion"/>
  </si>
  <si>
    <t>[7]</t>
    <phoneticPr fontId="1" type="noConversion"/>
  </si>
  <si>
    <t>해찾기 or 입수값</t>
    <phoneticPr fontId="1" type="noConversion"/>
  </si>
  <si>
    <t>DF</t>
    <phoneticPr fontId="1" type="noConversion"/>
  </si>
  <si>
    <t>CONT</t>
    <phoneticPr fontId="1" type="noConversion"/>
  </si>
  <si>
    <t>오차</t>
    <phoneticPr fontId="1" type="noConversion"/>
  </si>
  <si>
    <t>[A]</t>
    <phoneticPr fontId="1" type="noConversion"/>
  </si>
  <si>
    <t>[6]+[7]</t>
    <phoneticPr fontId="1" type="noConversion"/>
  </si>
  <si>
    <t>[B]</t>
    <phoneticPr fontId="1" type="noConversion"/>
  </si>
  <si>
    <t>[C]</t>
    <phoneticPr fontId="1" type="noConversion"/>
  </si>
  <si>
    <t>[5]*[B]</t>
    <phoneticPr fontId="1" type="noConversion"/>
  </si>
  <si>
    <t>[D]</t>
    <phoneticPr fontId="1" type="noConversion"/>
  </si>
  <si>
    <t>[5]/[3]*[1]</t>
    <phoneticPr fontId="1" type="noConversion"/>
  </si>
  <si>
    <t>Price</t>
    <phoneticPr fontId="1" type="noConversion"/>
  </si>
  <si>
    <t>[E]</t>
    <phoneticPr fontId="1" type="noConversion"/>
  </si>
  <si>
    <t>[C]-[D]</t>
    <phoneticPr fontId="1" type="noConversion"/>
  </si>
  <si>
    <t>Yield</t>
    <phoneticPr fontId="1" type="noConversion"/>
  </si>
  <si>
    <t>[F]</t>
    <phoneticPr fontId="1" type="noConversion"/>
  </si>
  <si>
    <t>이자지급회수</t>
    <phoneticPr fontId="1" type="noConversion"/>
  </si>
  <si>
    <t>1/(1+[F]/rc)^([2]*rc)</t>
    <phoneticPr fontId="1" type="noConversion"/>
  </si>
  <si>
    <t>[G]</t>
    <phoneticPr fontId="1" type="noConversion"/>
  </si>
  <si>
    <t>[H]</t>
    <phoneticPr fontId="1" type="noConversion"/>
  </si>
  <si>
    <t>[5]*[G]</t>
    <phoneticPr fontId="1" type="noConversion"/>
  </si>
  <si>
    <t xml:space="preserve">해찾기   </t>
    <phoneticPr fontId="1" type="noConversion"/>
  </si>
  <si>
    <t>Duration</t>
    <phoneticPr fontId="1" type="noConversion"/>
  </si>
  <si>
    <t>[J]</t>
    <phoneticPr fontId="1" type="noConversion"/>
  </si>
  <si>
    <t>[2]*[5]*[G]</t>
    <phoneticPr fontId="1" type="noConversion"/>
  </si>
  <si>
    <t>Macaulay</t>
    <phoneticPr fontId="1" type="noConversion"/>
  </si>
  <si>
    <t>[K]</t>
    <phoneticPr fontId="1" type="noConversion"/>
  </si>
  <si>
    <t>[J]/[G]</t>
    <phoneticPr fontId="1" type="noConversion"/>
  </si>
  <si>
    <t>[L]</t>
    <phoneticPr fontId="1" type="noConversion"/>
  </si>
  <si>
    <t>(1+[F]/rc)^(-[2]*rc-1)</t>
    <phoneticPr fontId="1" type="noConversion"/>
  </si>
  <si>
    <t>[M]</t>
    <phoneticPr fontId="1" type="noConversion"/>
  </si>
  <si>
    <t>[2]*[5]*[L]</t>
    <phoneticPr fontId="1" type="noConversion"/>
  </si>
  <si>
    <t>Adjusted</t>
    <phoneticPr fontId="1" type="noConversion"/>
  </si>
  <si>
    <t>[N]</t>
    <phoneticPr fontId="1" type="noConversion"/>
  </si>
  <si>
    <t>[M/[C]</t>
    <phoneticPr fontId="1" type="noConversion"/>
  </si>
  <si>
    <t>Convexity</t>
    <phoneticPr fontId="1" type="noConversion"/>
  </si>
  <si>
    <t>[P]</t>
    <phoneticPr fontId="1" type="noConversion"/>
  </si>
  <si>
    <t>[2]*[5]*[G]*([2]+1/rc)</t>
    <phoneticPr fontId="1" type="noConversion"/>
  </si>
  <si>
    <t>Covexity</t>
    <phoneticPr fontId="1" type="noConversion"/>
  </si>
  <si>
    <t>[Q]</t>
    <phoneticPr fontId="1" type="noConversion"/>
  </si>
  <si>
    <t>Moneytary</t>
    <phoneticPr fontId="1" type="noConversion"/>
  </si>
  <si>
    <t>[R]</t>
    <phoneticPr fontId="1" type="noConversion"/>
  </si>
  <si>
    <t>[Q]*[H]</t>
    <phoneticPr fontId="1" type="noConversion"/>
  </si>
  <si>
    <t>[P]/((1+[F]/rc)^2*[C])</t>
    <phoneticPr fontId="1" type="noConversion"/>
  </si>
  <si>
    <t>PV01</t>
    <phoneticPr fontId="1" type="noConversion"/>
  </si>
  <si>
    <t>[S]</t>
    <phoneticPr fontId="1" type="noConversion"/>
  </si>
  <si>
    <t>[A]+0.0001</t>
    <phoneticPr fontId="1" type="noConversion"/>
  </si>
  <si>
    <t>[T]</t>
    <phoneticPr fontId="1" type="noConversion"/>
  </si>
  <si>
    <t>1/EXP([2]*[S])</t>
    <phoneticPr fontId="1" type="noConversion"/>
  </si>
  <si>
    <t>[U]</t>
    <phoneticPr fontId="1" type="noConversion"/>
  </si>
  <si>
    <t>[5]*[T]</t>
    <phoneticPr fontId="1" type="noConversion"/>
  </si>
  <si>
    <t>[V]</t>
    <phoneticPr fontId="1" type="noConversion"/>
  </si>
  <si>
    <t>[U]-[C]</t>
    <phoneticPr fontId="1" type="noConversion"/>
  </si>
  <si>
    <t>Module</t>
    <phoneticPr fontId="1" type="noConversion"/>
  </si>
  <si>
    <t>Duation</t>
    <phoneticPr fontId="1" type="noConversion"/>
  </si>
  <si>
    <t>Yield 해찾기 Gap?</t>
    <phoneticPr fontId="1" type="noConversion"/>
  </si>
  <si>
    <t>Excel</t>
    <phoneticPr fontId="1" type="noConversion"/>
  </si>
  <si>
    <t>imSpread</t>
    <phoneticPr fontId="1" type="noConversion"/>
  </si>
  <si>
    <t>2. Valuation</t>
    <phoneticPr fontId="18" type="noConversion"/>
  </si>
  <si>
    <t xml:space="preserve">       단가계산 실례(관행적방식)</t>
    <phoneticPr fontId="18" type="noConversion"/>
  </si>
  <si>
    <t xml:space="preserve">         [기본산식] 세전단가(P) =</t>
    <phoneticPr fontId="18" type="noConversion"/>
  </si>
  <si>
    <t xml:space="preserve">                      {CR/a+(CR/a)/(1+r÷a)^0+(CR/a)/(1+r÷a)^1+······+(CR/a)/(1+r÷a)^(N-2)</t>
    <phoneticPr fontId="18" type="noConversion"/>
  </si>
  <si>
    <t xml:space="preserve">                      +(CR/a)/(1+r÷a)^(N-1)}/(1+r÷a×d÷NN)</t>
    <phoneticPr fontId="18" type="noConversion"/>
  </si>
  <si>
    <t xml:space="preserve">                      Whereas  r : 매매수익률      d : 단위일수이하 잔존일수         NN :기중일수</t>
    <phoneticPr fontId="18" type="noConversion"/>
  </si>
  <si>
    <t xml:space="preserve">                                   CR : 표면금리        N : 잔존이자지급횟수         a : 연이자지급횟수</t>
    <phoneticPr fontId="18" type="noConversion"/>
  </si>
  <si>
    <t xml:space="preserve">        [예       제]대림산업210</t>
    <phoneticPr fontId="18" type="noConversion"/>
  </si>
  <si>
    <t xml:space="preserve">    ▶ 발행조건</t>
    <phoneticPr fontId="18" type="noConversion"/>
  </si>
  <si>
    <t>발행일</t>
    <phoneticPr fontId="18" type="noConversion"/>
  </si>
  <si>
    <t>표면금리</t>
    <phoneticPr fontId="18" type="noConversion"/>
  </si>
  <si>
    <t>만기일</t>
    <phoneticPr fontId="18" type="noConversion"/>
  </si>
  <si>
    <t>이표횟수</t>
    <phoneticPr fontId="18" type="noConversion"/>
  </si>
  <si>
    <t>년4회</t>
    <phoneticPr fontId="18" type="noConversion"/>
  </si>
  <si>
    <t xml:space="preserve">    ▶ 매매조건</t>
    <phoneticPr fontId="18" type="noConversion"/>
  </si>
  <si>
    <t>매매일</t>
    <phoneticPr fontId="18" type="noConversion"/>
  </si>
  <si>
    <t>매매수익률</t>
    <phoneticPr fontId="18" type="noConversion"/>
  </si>
  <si>
    <t>거래액면</t>
    <phoneticPr fontId="18" type="noConversion"/>
  </si>
  <si>
    <t>기중일수</t>
    <phoneticPr fontId="18" type="noConversion"/>
  </si>
  <si>
    <t>잔존일수</t>
    <phoneticPr fontId="18" type="noConversion"/>
  </si>
  <si>
    <t>거래금액</t>
    <phoneticPr fontId="18" type="noConversion"/>
  </si>
  <si>
    <t xml:space="preserve">    ▶ 현금흐름</t>
    <phoneticPr fontId="18" type="noConversion"/>
  </si>
  <si>
    <t xml:space="preserve">       ☞ 단가(P) = {200+200/(1+10.3%÷4)^1+200/(1+10.3%÷4)^2+200/(1+10.3%÷4)^3+</t>
    <phoneticPr fontId="18" type="noConversion"/>
  </si>
  <si>
    <t xml:space="preserve">                         200/(1+10.3%÷4)^4+200/(1+10.3%÷4)^5+200/(1+10.3%÷4)^6+</t>
    <phoneticPr fontId="18" type="noConversion"/>
  </si>
  <si>
    <t xml:space="preserve">                         10,200/(1+10.3%÷4)^7}/(1+10.3%÷4*36÷92) = @9,737(원미만은 절사)</t>
    <phoneticPr fontId="18" type="noConversion"/>
  </si>
  <si>
    <t xml:space="preserve">           거래금액 = 20,000,000,000×9,737÷10,000 = 19,474,000,000원</t>
    <phoneticPr fontId="18" type="noConversion"/>
  </si>
  <si>
    <t>Fixed Rate Bond (이표채)</t>
    <phoneticPr fontId="18" type="noConversion"/>
  </si>
  <si>
    <t>GAP%</t>
    <phoneticPr fontId="1" type="noConversion"/>
  </si>
  <si>
    <t>Cday</t>
    <phoneticPr fontId="1" type="noConversion"/>
  </si>
  <si>
    <t>day360, 윤년</t>
    <phoneticPr fontId="1" type="noConversion"/>
  </si>
  <si>
    <t>GIRR</t>
    <phoneticPr fontId="1" type="noConversion"/>
  </si>
  <si>
    <t>CSR</t>
    <phoneticPr fontId="1" type="noConversion"/>
  </si>
  <si>
    <t>FRTB_Delta</t>
    <phoneticPr fontId="1" type="noConversion"/>
  </si>
  <si>
    <t>&lt; GIRR/CSR선택, TERM조정시 해당값 계산 및 Gap을 확인할 수 있음</t>
    <phoneticPr fontId="1" type="noConversion"/>
  </si>
  <si>
    <t>Modified Value by Term</t>
    <phoneticPr fontId="1" type="noConversion"/>
  </si>
  <si>
    <t>Days()</t>
    <phoneticPr fontId="1" type="noConversion"/>
  </si>
  <si>
    <t>윤년(Acture:366)</t>
    <phoneticPr fontId="1" type="noConversion"/>
  </si>
  <si>
    <t>SMP/CONT</t>
    <phoneticPr fontId="1" type="noConversion"/>
  </si>
  <si>
    <t>매매구분</t>
    <phoneticPr fontId="1" type="noConversion"/>
  </si>
  <si>
    <t>DEAL_KIND</t>
    <phoneticPr fontId="1" type="noConversion"/>
  </si>
  <si>
    <t>L</t>
    <phoneticPr fontId="1" type="noConversion"/>
  </si>
  <si>
    <t>&lt; JTDlong = max ( 0, LGD*명목원금 + 시가평가손익), JTDShort = min( 0, LGD*명목원금 + 시가평가손익 ), 시가평가손익 = 시가평가액-액면금액</t>
    <phoneticPr fontId="1" type="noConversion"/>
  </si>
  <si>
    <t>Curvature</t>
    <phoneticPr fontId="1" type="noConversion"/>
  </si>
  <si>
    <t>for GIRR Delta</t>
    <phoneticPr fontId="1" type="noConversion"/>
  </si>
  <si>
    <t>for CSR Delta</t>
    <phoneticPr fontId="1" type="noConversion"/>
  </si>
  <si>
    <t>&lt; GIRR/CSR선택, Shock적용 계산 (Up:1, Down:-1)</t>
    <phoneticPr fontId="1" type="noConversion"/>
  </si>
  <si>
    <t>for GIRR CVR</t>
    <phoneticPr fontId="1" type="noConversion"/>
  </si>
  <si>
    <t>for CSR CVR</t>
    <phoneticPr fontId="1" type="noConversion"/>
  </si>
  <si>
    <t>위험군</t>
    <phoneticPr fontId="1" type="noConversion"/>
  </si>
  <si>
    <t>Day</t>
    <phoneticPr fontId="1" type="noConversion"/>
  </si>
  <si>
    <t>Year</t>
    <phoneticPr fontId="1" type="noConversion"/>
  </si>
  <si>
    <t>Shock</t>
    <phoneticPr fontId="1" type="noConversion"/>
  </si>
  <si>
    <t>Up/Down</t>
    <phoneticPr fontId="1" type="noConversion"/>
  </si>
  <si>
    <t>Tenor</t>
    <phoneticPr fontId="1" type="noConversion"/>
  </si>
  <si>
    <t>USD</t>
    <phoneticPr fontId="1" type="noConversion"/>
  </si>
  <si>
    <t xml:space="preserve"> </t>
    <phoneticPr fontId="1" type="noConversion"/>
  </si>
  <si>
    <t>Payment Date</t>
  </si>
  <si>
    <t>Payment Amount</t>
  </si>
  <si>
    <t>Payment Procedure Referencer</t>
  </si>
  <si>
    <t>Real Start Date</t>
  </si>
  <si>
    <t>Real End Date</t>
  </si>
  <si>
    <t>Theo Start Date</t>
  </si>
  <si>
    <t>Theo End Date</t>
  </si>
  <si>
    <t>Coupon Rate</t>
  </si>
  <si>
    <t>Prorated</t>
  </si>
  <si>
    <t>Coupon Factor</t>
  </si>
  <si>
    <t>Hidden Odd Coupon</t>
  </si>
  <si>
    <t>Reset Date</t>
  </si>
  <si>
    <t>Curve Index</t>
  </si>
  <si>
    <t>Discount Flag</t>
  </si>
  <si>
    <t>Current Rate Value</t>
  </si>
  <si>
    <t>Structured Payment Factor</t>
  </si>
  <si>
    <t>Instrument Spread</t>
  </si>
  <si>
    <t>Instrument Factor</t>
  </si>
  <si>
    <t>Forward Start Date</t>
  </si>
  <si>
    <t>Forward End Date</t>
  </si>
  <si>
    <t>Cap Maturity Date</t>
  </si>
  <si>
    <t>i_rawIndexRate</t>
  </si>
  <si>
    <t>i_vol</t>
  </si>
  <si>
    <t>i_physicalPayment</t>
  </si>
  <si>
    <t>Time Factor</t>
    <phoneticPr fontId="1" type="noConversion"/>
  </si>
  <si>
    <t>Discount Rate</t>
    <phoneticPr fontId="1" type="noConversion"/>
  </si>
  <si>
    <t>Discount Factor</t>
    <phoneticPr fontId="1" type="noConversion"/>
  </si>
  <si>
    <t>AI</t>
    <phoneticPr fontId="1" type="noConversion"/>
  </si>
  <si>
    <t>TF(3)</t>
    <phoneticPr fontId="1" type="noConversion"/>
  </si>
  <si>
    <t>TF(1)</t>
    <phoneticPr fontId="1" type="noConversion"/>
  </si>
  <si>
    <t>Accrued Interest</t>
    <phoneticPr fontId="1" type="noConversion"/>
  </si>
  <si>
    <t>1. 개요</t>
    <phoneticPr fontId="18" type="noConversion"/>
  </si>
  <si>
    <t>고정금리채(fixed-rate bond)는 채권 발행 시 결정된 이자율이 만기까지 변하지 않는 채권을 의미한다.
즉, 시장 변동성과 무관하게 미리 정해진 이자율로 일정한 기간마다 정기적으로 이자를 받을 수 있다.
이러한 특성 때문에 금리 변동 위험을 최소화할 수 있다는 장점이 있다.
일반적으로 장기채권일수록 고정금리채의 비중이 높다. 국내에서는 주로 금융기관이나 기업들이 자금 조달을 위해 발행하며, 개인투자자들도 직접 구매하거나 펀드 등을  통해 간접적으로 투자할 수 있다</t>
    <phoneticPr fontId="1" type="noConversion"/>
  </si>
  <si>
    <t>특징</t>
    <phoneticPr fontId="1" type="noConversion"/>
  </si>
  <si>
    <t>1) 이자율 확정성</t>
  </si>
  <si>
    <t>​2) 안정적인 현금 흐름</t>
  </si>
  <si>
    <t>3) 시장 변동성 영향 적음</t>
  </si>
  <si>
    <t>ACT</t>
    <phoneticPr fontId="1" type="noConversion"/>
  </si>
  <si>
    <t>ACT/ACT</t>
    <phoneticPr fontId="1" type="noConversion"/>
  </si>
  <si>
    <t>SEMI</t>
    <phoneticPr fontId="1" type="noConversion"/>
  </si>
  <si>
    <t>BWD</t>
    <phoneticPr fontId="1" type="noConversion"/>
  </si>
  <si>
    <t>MF</t>
    <phoneticPr fontId="1" type="noConversion"/>
  </si>
  <si>
    <t>ACT/365</t>
    <phoneticPr fontId="1" type="noConversion"/>
  </si>
  <si>
    <t>LN</t>
    <phoneticPr fontId="1" type="noConversion"/>
  </si>
  <si>
    <t>ANNU</t>
    <phoneticPr fontId="1" type="noConversion"/>
  </si>
  <si>
    <t>Description(EN)</t>
    <phoneticPr fontId="1" type="noConversion"/>
  </si>
  <si>
    <t>Description(KR)</t>
    <phoneticPr fontId="1" type="noConversion"/>
  </si>
  <si>
    <t>대한민국</t>
    <phoneticPr fontId="1" type="noConversion"/>
  </si>
  <si>
    <t>US</t>
    <phoneticPr fontId="2" type="noConversion"/>
  </si>
  <si>
    <t>미국</t>
    <phoneticPr fontId="1" type="noConversion"/>
  </si>
  <si>
    <t>미국뉴욕증권거래소</t>
    <phoneticPr fontId="1" type="noConversion"/>
  </si>
  <si>
    <t>미국국채</t>
    <phoneticPr fontId="1" type="noConversion"/>
  </si>
  <si>
    <t>북미전력공사</t>
    <phoneticPr fontId="1" type="noConversion"/>
  </si>
  <si>
    <t>US LIBOR</t>
    <phoneticPr fontId="1" type="noConversion"/>
  </si>
  <si>
    <t>연방준비제도</t>
    <phoneticPr fontId="1" type="noConversion"/>
  </si>
  <si>
    <t>SOFR</t>
    <phoneticPr fontId="1" type="noConversion"/>
  </si>
  <si>
    <t>DAYC_BASIS</t>
    <phoneticPr fontId="2" type="noConversion"/>
  </si>
  <si>
    <t>ACT/365</t>
    <phoneticPr fontId="2" type="noConversion"/>
  </si>
  <si>
    <t>ACT/360</t>
    <phoneticPr fontId="2" type="noConversion"/>
  </si>
  <si>
    <t>ACT/364</t>
    <phoneticPr fontId="2" type="noConversion"/>
  </si>
  <si>
    <t>ACT/36525</t>
    <phoneticPr fontId="2" type="noConversion"/>
  </si>
  <si>
    <t>ACT/366</t>
    <phoneticPr fontId="2" type="noConversion"/>
  </si>
  <si>
    <t>ACT/ACT</t>
    <phoneticPr fontId="2" type="noConversion"/>
  </si>
  <si>
    <t>BUSI/252</t>
    <phoneticPr fontId="2" type="noConversion"/>
  </si>
  <si>
    <t>ONE</t>
    <phoneticPr fontId="2" type="noConversion"/>
  </si>
  <si>
    <t>SIMP</t>
    <phoneticPr fontId="2" type="noConversion"/>
  </si>
  <si>
    <t>30/360_US</t>
    <phoneticPr fontId="2" type="noConversion"/>
  </si>
  <si>
    <t>30/360_B</t>
    <phoneticPr fontId="2" type="noConversion"/>
  </si>
  <si>
    <t>30/360_EU</t>
    <phoneticPr fontId="2" type="noConversion"/>
  </si>
  <si>
    <t>30/360_EUB</t>
    <phoneticPr fontId="2" type="noConversion"/>
  </si>
  <si>
    <t>30/360_ITA</t>
    <phoneticPr fontId="2" type="noConversion"/>
  </si>
  <si>
    <t>30/360_DEU</t>
    <phoneticPr fontId="2" type="noConversion"/>
  </si>
  <si>
    <t>30/360_ISMA</t>
    <phoneticPr fontId="2" type="noConversion"/>
  </si>
  <si>
    <t>30/360_ISDA</t>
    <phoneticPr fontId="2" type="noConversion"/>
  </si>
  <si>
    <t>30/360_NASD</t>
    <phoneticPr fontId="2" type="noConversion"/>
  </si>
  <si>
    <t>30/365</t>
    <phoneticPr fontId="2" type="noConversion"/>
  </si>
  <si>
    <t>LN</t>
    <phoneticPr fontId="2" type="noConversion"/>
  </si>
  <si>
    <t>선형보간</t>
    <phoneticPr fontId="1" type="noConversion"/>
  </si>
  <si>
    <t>CONT</t>
    <phoneticPr fontId="2" type="noConversion"/>
  </si>
  <si>
    <t>연속복리</t>
    <phoneticPr fontId="1" type="noConversion"/>
  </si>
  <si>
    <t>단리</t>
    <phoneticPr fontId="1" type="noConversion"/>
  </si>
  <si>
    <t>COMP</t>
    <phoneticPr fontId="2" type="noConversion"/>
  </si>
  <si>
    <t>복리</t>
    <phoneticPr fontId="1" type="noConversion"/>
  </si>
  <si>
    <t>STC</t>
    <phoneticPr fontId="2" type="noConversion"/>
  </si>
  <si>
    <t>단리후복리</t>
    <phoneticPr fontId="1" type="noConversion"/>
  </si>
  <si>
    <t>CTS</t>
    <phoneticPr fontId="2" type="noConversion"/>
  </si>
  <si>
    <t>복리후단리</t>
    <phoneticPr fontId="1" type="noConversion"/>
  </si>
  <si>
    <t>ANNU</t>
    <phoneticPr fontId="2" type="noConversion"/>
  </si>
  <si>
    <t>년</t>
    <phoneticPr fontId="1" type="noConversion"/>
  </si>
  <si>
    <t>SEMI</t>
    <phoneticPr fontId="2" type="noConversion"/>
  </si>
  <si>
    <t>반기</t>
    <phoneticPr fontId="1" type="noConversion"/>
  </si>
  <si>
    <t>분기</t>
    <phoneticPr fontId="1" type="noConversion"/>
  </si>
  <si>
    <t>MON</t>
    <phoneticPr fontId="2" type="noConversion"/>
  </si>
  <si>
    <t>월</t>
    <phoneticPr fontId="1" type="noConversion"/>
  </si>
  <si>
    <t>BIM</t>
    <phoneticPr fontId="2" type="noConversion"/>
  </si>
  <si>
    <t>2개월</t>
    <phoneticPr fontId="1" type="noConversion"/>
  </si>
  <si>
    <t>WEEK</t>
    <phoneticPr fontId="2" type="noConversion"/>
  </si>
  <si>
    <t>주</t>
    <phoneticPr fontId="1" type="noConversion"/>
  </si>
  <si>
    <t>BIW</t>
    <phoneticPr fontId="2" type="noConversion"/>
  </si>
  <si>
    <t>2주</t>
    <phoneticPr fontId="1" type="noConversion"/>
  </si>
  <si>
    <t>DLY</t>
    <phoneticPr fontId="2" type="noConversion"/>
  </si>
  <si>
    <t>일일</t>
    <phoneticPr fontId="1" type="noConversion"/>
  </si>
  <si>
    <t>NOFR</t>
    <phoneticPr fontId="2" type="noConversion"/>
  </si>
  <si>
    <t>주기없음</t>
    <phoneticPr fontId="1" type="noConversion"/>
  </si>
  <si>
    <t>ONCE</t>
    <phoneticPr fontId="2" type="noConversion"/>
  </si>
  <si>
    <t>1회</t>
    <phoneticPr fontId="1" type="noConversion"/>
  </si>
  <si>
    <t>4MON</t>
    <phoneticPr fontId="2" type="noConversion"/>
  </si>
  <si>
    <t>4개월</t>
    <phoneticPr fontId="1" type="noConversion"/>
  </si>
  <si>
    <t>4WK</t>
    <phoneticPr fontId="2" type="noConversion"/>
  </si>
  <si>
    <t>MF</t>
    <phoneticPr fontId="2" type="noConversion"/>
  </si>
  <si>
    <t>F</t>
    <phoneticPr fontId="2" type="noConversion"/>
  </si>
  <si>
    <t>P</t>
    <phoneticPr fontId="2" type="noConversion"/>
  </si>
  <si>
    <t>MP</t>
    <phoneticPr fontId="2" type="noConversion"/>
  </si>
  <si>
    <t>U</t>
    <phoneticPr fontId="2" type="noConversion"/>
  </si>
  <si>
    <t>HMMF</t>
    <phoneticPr fontId="2" type="noConversion"/>
  </si>
  <si>
    <t>N</t>
    <phoneticPr fontId="2" type="noConversion"/>
  </si>
  <si>
    <t>KRW</t>
    <phoneticPr fontId="2" type="noConversion"/>
  </si>
  <si>
    <t>대한민국 원화</t>
    <phoneticPr fontId="1" type="noConversion"/>
  </si>
  <si>
    <t>USD</t>
    <phoneticPr fontId="2" type="noConversion"/>
  </si>
  <si>
    <t>미국 달러화</t>
    <phoneticPr fontId="1" type="noConversion"/>
  </si>
  <si>
    <t>JPY</t>
    <phoneticPr fontId="2" type="noConversion"/>
  </si>
  <si>
    <t>일본 엔화</t>
    <phoneticPr fontId="1" type="noConversion"/>
  </si>
  <si>
    <t>EUR</t>
    <phoneticPr fontId="2" type="noConversion"/>
  </si>
  <si>
    <t>유럽 유로화</t>
    <phoneticPr fontId="1" type="noConversion"/>
  </si>
  <si>
    <t>GBP</t>
    <phoneticPr fontId="2" type="noConversion"/>
  </si>
  <si>
    <t>영국 파운드화</t>
    <phoneticPr fontId="1" type="noConversion"/>
  </si>
  <si>
    <t>F</t>
    <phoneticPr fontId="1" type="noConversion"/>
  </si>
  <si>
    <t>거짓</t>
    <phoneticPr fontId="1" type="noConversion"/>
  </si>
  <si>
    <t>T</t>
    <phoneticPr fontId="1" type="noConversion"/>
  </si>
  <si>
    <t>참</t>
    <phoneticPr fontId="1" type="noConversion"/>
  </si>
  <si>
    <t>SLNORM</t>
    <phoneticPr fontId="2" type="noConversion"/>
  </si>
  <si>
    <t>Shift-Log 정규형</t>
    <phoneticPr fontId="1" type="noConversion"/>
  </si>
  <si>
    <t>NORM</t>
    <phoneticPr fontId="2" type="noConversion"/>
  </si>
  <si>
    <t>정규형</t>
    <phoneticPr fontId="1" type="noConversion"/>
  </si>
  <si>
    <t>지급</t>
    <phoneticPr fontId="1" type="noConversion"/>
  </si>
  <si>
    <t>R</t>
    <phoneticPr fontId="2" type="noConversion"/>
  </si>
  <si>
    <t>수취</t>
    <phoneticPr fontId="1" type="noConversion"/>
  </si>
  <si>
    <t>Us</t>
    <phoneticPr fontId="2" type="noConversion"/>
  </si>
  <si>
    <t>옵션보유자</t>
    <phoneticPr fontId="1" type="noConversion"/>
  </si>
  <si>
    <t>THEM</t>
    <phoneticPr fontId="2" type="noConversion"/>
  </si>
  <si>
    <t>옵션의무자</t>
    <phoneticPr fontId="1" type="noConversion"/>
  </si>
  <si>
    <t>일</t>
    <phoneticPr fontId="1" type="noConversion"/>
  </si>
  <si>
    <t>Month</t>
    <phoneticPr fontId="2" type="noConversion"/>
  </si>
  <si>
    <t>Year</t>
    <phoneticPr fontId="2" type="noConversion"/>
  </si>
  <si>
    <t>IMATIM</t>
    <phoneticPr fontId="2" type="noConversion"/>
  </si>
  <si>
    <t>IMatIM</t>
    <phoneticPr fontId="2" type="noConversion"/>
  </si>
  <si>
    <t>IMATI</t>
    <phoneticPr fontId="2" type="noConversion"/>
  </si>
  <si>
    <t>IATIPLUSM</t>
    <phoneticPr fontId="2" type="noConversion"/>
  </si>
  <si>
    <t>IATIM</t>
    <phoneticPr fontId="2" type="noConversion"/>
  </si>
  <si>
    <t>IATIMPLUSM</t>
    <phoneticPr fontId="2" type="noConversion"/>
  </si>
  <si>
    <t>NOCOMP</t>
    <phoneticPr fontId="2" type="noConversion"/>
  </si>
  <si>
    <t>IM1ATIM2</t>
    <phoneticPr fontId="2" type="noConversion"/>
  </si>
  <si>
    <t>C</t>
    <phoneticPr fontId="2" type="noConversion"/>
  </si>
  <si>
    <t>FX</t>
    <phoneticPr fontId="2" type="noConversion"/>
  </si>
  <si>
    <t>행사가격 고정</t>
    <phoneticPr fontId="1" type="noConversion"/>
  </si>
  <si>
    <t>FL</t>
    <phoneticPr fontId="2" type="noConversion"/>
  </si>
  <si>
    <t>행사가격 변동</t>
    <phoneticPr fontId="1" type="noConversion"/>
  </si>
  <si>
    <t>AR</t>
    <phoneticPr fontId="2" type="noConversion"/>
  </si>
  <si>
    <t>산술평균</t>
    <phoneticPr fontId="1" type="noConversion"/>
  </si>
  <si>
    <t>GM</t>
    <phoneticPr fontId="2" type="noConversion"/>
  </si>
  <si>
    <t>기하평균</t>
    <phoneticPr fontId="1" type="noConversion"/>
  </si>
  <si>
    <t>PF</t>
    <phoneticPr fontId="2" type="noConversion"/>
  </si>
  <si>
    <t>수익구간누적</t>
    <phoneticPr fontId="1" type="noConversion"/>
  </si>
  <si>
    <t>LS</t>
    <phoneticPr fontId="2" type="noConversion"/>
  </si>
  <si>
    <t>손실구간누적</t>
    <phoneticPr fontId="1" type="noConversion"/>
  </si>
  <si>
    <t>DI</t>
    <phoneticPr fontId="2" type="noConversion"/>
  </si>
  <si>
    <t>UI</t>
    <phoneticPr fontId="2" type="noConversion"/>
  </si>
  <si>
    <t>DO</t>
    <phoneticPr fontId="2" type="noConversion"/>
  </si>
  <si>
    <t>UO</t>
    <phoneticPr fontId="2" type="noConversion"/>
  </si>
  <si>
    <t>NN</t>
    <phoneticPr fontId="2" type="noConversion"/>
  </si>
  <si>
    <t>PV</t>
    <phoneticPr fontId="2" type="noConversion"/>
  </si>
  <si>
    <t>PS</t>
    <phoneticPr fontId="2" type="noConversion"/>
  </si>
  <si>
    <t>A/N</t>
    <phoneticPr fontId="2" type="noConversion"/>
  </si>
  <si>
    <t>C/N</t>
    <phoneticPr fontId="2" type="noConversion"/>
  </si>
  <si>
    <t>GAP</t>
    <phoneticPr fontId="2" type="noConversion"/>
  </si>
  <si>
    <t>SF</t>
    <phoneticPr fontId="2" type="noConversion"/>
  </si>
  <si>
    <t>SS</t>
    <phoneticPr fontId="2" type="noConversion"/>
  </si>
  <si>
    <t>BWD</t>
    <phoneticPr fontId="2" type="noConversion"/>
  </si>
  <si>
    <t>역순생성</t>
    <phoneticPr fontId="1" type="noConversion"/>
  </si>
  <si>
    <t>FWD</t>
    <phoneticPr fontId="2" type="noConversion"/>
  </si>
  <si>
    <t>순방향 생성</t>
    <phoneticPr fontId="1" type="noConversion"/>
  </si>
  <si>
    <t>ZERO</t>
    <phoneticPr fontId="2" type="noConversion"/>
  </si>
  <si>
    <t>없음</t>
    <phoneticPr fontId="1" type="noConversion"/>
  </si>
  <si>
    <t>3WED</t>
    <phoneticPr fontId="2" type="noConversion"/>
  </si>
  <si>
    <t>셋째 수요일 기준</t>
    <phoneticPr fontId="1" type="noConversion"/>
  </si>
  <si>
    <t>20TH</t>
    <phoneticPr fontId="2" type="noConversion"/>
  </si>
  <si>
    <t>매월 20일 기준</t>
    <phoneticPr fontId="1" type="noConversion"/>
  </si>
  <si>
    <t>20THIMM</t>
    <phoneticPr fontId="2" type="noConversion"/>
  </si>
  <si>
    <t>IMM 20일 기준</t>
    <phoneticPr fontId="1" type="noConversion"/>
  </si>
  <si>
    <t>OCDS</t>
    <phoneticPr fontId="2" type="noConversion"/>
  </si>
  <si>
    <t>구형 CDS 규칙</t>
    <phoneticPr fontId="1" type="noConversion"/>
  </si>
  <si>
    <t>CDS</t>
    <phoneticPr fontId="2" type="noConversion"/>
  </si>
  <si>
    <t>CDS 규칙</t>
    <phoneticPr fontId="1" type="noConversion"/>
  </si>
  <si>
    <t>CDS2015</t>
    <phoneticPr fontId="2" type="noConversion"/>
  </si>
  <si>
    <t>CDS 2025 규칙</t>
    <phoneticPr fontId="1" type="noConversion"/>
  </si>
  <si>
    <t>월말미조정</t>
    <phoneticPr fontId="1" type="noConversion"/>
  </si>
  <si>
    <t>T</t>
    <phoneticPr fontId="2" type="noConversion"/>
  </si>
  <si>
    <t>월말조정</t>
    <phoneticPr fontId="1" type="noConversion"/>
  </si>
  <si>
    <t>Comment</t>
    <phoneticPr fontId="1" type="noConversion"/>
  </si>
  <si>
    <t>20241231</t>
  </si>
  <si>
    <t>20241231</t>
    <phoneticPr fontId="1" type="noConversion"/>
  </si>
  <si>
    <t>20201210</t>
  </si>
  <si>
    <t>20201210</t>
    <phoneticPr fontId="1" type="noConversion"/>
  </si>
  <si>
    <t>20301210</t>
  </si>
  <si>
    <t>20301210</t>
    <phoneticPr fontId="1" type="noConversion"/>
  </si>
  <si>
    <t>20250610</t>
    <phoneticPr fontId="1" type="noConversion"/>
  </si>
  <si>
    <t>20251210</t>
    <phoneticPr fontId="1" type="noConversion"/>
  </si>
  <si>
    <t>20260610</t>
    <phoneticPr fontId="1" type="noConversion"/>
  </si>
  <si>
    <t>20261210</t>
    <phoneticPr fontId="1" type="noConversion"/>
  </si>
  <si>
    <t>20270610</t>
    <phoneticPr fontId="1" type="noConversion"/>
  </si>
  <si>
    <t>20271210</t>
    <phoneticPr fontId="1" type="noConversion"/>
  </si>
  <si>
    <t>20280612</t>
    <phoneticPr fontId="1" type="noConversion"/>
  </si>
  <si>
    <t>20281211</t>
    <phoneticPr fontId="1" type="noConversion"/>
  </si>
  <si>
    <t>20290611</t>
    <phoneticPr fontId="1" type="noConversion"/>
  </si>
  <si>
    <t>20291210</t>
    <phoneticPr fontId="1" type="noConversion"/>
  </si>
  <si>
    <t>20300610</t>
    <phoneticPr fontId="1" type="noConversion"/>
  </si>
  <si>
    <t>20241210</t>
    <phoneticPr fontId="1" type="noConversion"/>
  </si>
  <si>
    <t>20250610|20251210|20260610|20261210|20270610|20271210|20280612|20281211|20290611|20291210|20300610|20301210</t>
  </si>
  <si>
    <t>20241210|20250610|20251210|20260610|20261210|20270610|20271210|20280612|20281211|20290611|20291210|20300610</t>
  </si>
  <si>
    <t>Rate</t>
    <phoneticPr fontId="1" type="noConversion"/>
  </si>
  <si>
    <t>BASE_DT</t>
    <phoneticPr fontId="1" type="noConversion"/>
  </si>
  <si>
    <t>7|0.25|0.5|1|2|3|5|10|-4285230.35049438|-19929556.7321777|-76031363.5349274|-158404648.752213|-391747015.810013|-24525009726.82|-6329655269.804</t>
  </si>
  <si>
    <t>5|0.5|1|3|5|10|-24214639.6064758|-151722504.997253|-474461473.455429|-24525009726.82|-6329655269.804</t>
  </si>
  <si>
    <t>-509905935.669532|563259921.294884</t>
  </si>
  <si>
    <t>-1366076485.10391|1830592484.91112</t>
  </si>
  <si>
    <t>13|45636|45818|6000000000|0.015|45818|44861890.8600946|0.985319523178218|45818|46001|6000000000|0.015|46001|45123287.6712324|0.971889129878339|46001|46183|6000000000|0.015|46183|44876712.328767|0.958633423060726|46183|46366|6000000000|0.015|46366|45123287.6712324|0.945843269828661|46366|46548|6000000000|0.015|46548|44876712.328767|0.932920367484649|46548|46731|6000000000|0.015|46731|45123287.6712324|0.920104957068542|46731|46916|6000000000|0.015|46916|45506624.747361|0.906447924387357|46916|47098|6000000000|0.015|47098|44754098.3606562|0.893053669413218|47098|47280|6000000000|0.015|47280|44862564.5632159|0.879704426808892|47280|47462|6000000000|0.015|47462|44876712.328767|0.866416530284412|47462|47644|6000000000|0.015|47644|44876712.328767|0.853414766971878|47644|47827|6000000000|0.015|47827|45123287.6712324|0.840435512401633|-1|-1|6000000000|-1|47827|6000000000|0.840435512401633</t>
  </si>
  <si>
    <t>SrtDT</t>
    <phoneticPr fontId="1" type="noConversion"/>
  </si>
  <si>
    <t>EndDT</t>
    <phoneticPr fontId="1" type="noConversion"/>
  </si>
  <si>
    <t>Noti</t>
    <phoneticPr fontId="1" type="noConversion"/>
  </si>
  <si>
    <t>PayDT</t>
    <phoneticPr fontId="1" type="noConversion"/>
  </si>
  <si>
    <t>SCHE_FG</t>
    <phoneticPr fontId="1" type="noConversion"/>
  </si>
  <si>
    <t>* Rate (금리 등) 정보 입수시 평가모듈에서 요구하는 단위로 입수요.   1.5%일 경우 1.5가 아닌 0.015 또는 1.5% 로 입수</t>
    <phoneticPr fontId="2" type="noConversion"/>
  </si>
  <si>
    <t>개월수</t>
    <phoneticPr fontId="1" type="noConversion"/>
  </si>
  <si>
    <t>금리확정일수</t>
    <phoneticPr fontId="1" type="noConversion"/>
  </si>
  <si>
    <t>통화</t>
    <phoneticPr fontId="1" type="noConversion"/>
  </si>
  <si>
    <t>월말여부</t>
    <phoneticPr fontId="1" type="noConversion"/>
  </si>
  <si>
    <t>할인커브</t>
    <phoneticPr fontId="1" type="noConversion"/>
  </si>
  <si>
    <t>동일여부</t>
    <phoneticPr fontId="1" type="noConversion"/>
  </si>
  <si>
    <t>Curve Index</t>
    <phoneticPr fontId="2" type="noConversion"/>
  </si>
  <si>
    <t>GIRR_CVR_SHOCK</t>
    <phoneticPr fontId="1" type="noConversion"/>
  </si>
  <si>
    <t>CSR_CVR_SHOCK</t>
    <phoneticPr fontId="1" type="noConversion"/>
  </si>
  <si>
    <t>DSC_CURV</t>
    <phoneticPr fontId="1" type="noConversion"/>
  </si>
  <si>
    <t>CSR_CURV</t>
    <phoneticPr fontId="1" type="noConversion"/>
  </si>
  <si>
    <t>CalKRW</t>
    <phoneticPr fontId="2" type="noConversion"/>
  </si>
  <si>
    <t>CalUSD</t>
    <phoneticPr fontId="2" type="noConversion"/>
  </si>
  <si>
    <t>CalUSD_US_NYSE</t>
    <phoneticPr fontId="2" type="noConversion"/>
  </si>
  <si>
    <t>CalUSD_US_GVBD</t>
    <phoneticPr fontId="2" type="noConversion"/>
  </si>
  <si>
    <t>CalUSD_US_NERC</t>
    <phoneticPr fontId="2" type="noConversion"/>
  </si>
  <si>
    <t>CalUSD_US_LIBOR</t>
    <phoneticPr fontId="2" type="noConversion"/>
  </si>
  <si>
    <t>CalUSD_US_FDRS</t>
    <phoneticPr fontId="2" type="noConversion"/>
  </si>
  <si>
    <t>CalUSD_US_SOFR</t>
    <phoneticPr fontId="2" type="noConversion"/>
  </si>
  <si>
    <t>CalAED</t>
  </si>
  <si>
    <t>아랍에미리트</t>
  </si>
  <si>
    <t>CalATS</t>
  </si>
  <si>
    <t>오스트리아</t>
  </si>
  <si>
    <t>CalAUD</t>
  </si>
  <si>
    <t>오스트레일리아</t>
  </si>
  <si>
    <t>CalBDT</t>
  </si>
  <si>
    <t>방글라데시</t>
  </si>
  <si>
    <t>CalBEF</t>
  </si>
  <si>
    <t>벨기에</t>
  </si>
  <si>
    <t>CalBHD</t>
  </si>
  <si>
    <t>바레인</t>
  </si>
  <si>
    <t>CalBND</t>
  </si>
  <si>
    <t>브루나이</t>
  </si>
  <si>
    <t>CalBRL</t>
  </si>
  <si>
    <t>브라질</t>
  </si>
  <si>
    <t>CalCAD</t>
  </si>
  <si>
    <t>캐나다</t>
  </si>
  <si>
    <t>CalCHF</t>
  </si>
  <si>
    <t>스위스</t>
  </si>
  <si>
    <t>CalCLP</t>
  </si>
  <si>
    <t>칠레</t>
  </si>
  <si>
    <t>CalCNH</t>
  </si>
  <si>
    <t>홍콩 오프쇼어 위안화</t>
  </si>
  <si>
    <t>CalCNY</t>
  </si>
  <si>
    <t>중국</t>
  </si>
  <si>
    <t>CalCZK</t>
  </si>
  <si>
    <t>체코</t>
  </si>
  <si>
    <t>CalDEM</t>
  </si>
  <si>
    <t>독일</t>
  </si>
  <si>
    <t>CalDKK</t>
  </si>
  <si>
    <t>덴마크</t>
  </si>
  <si>
    <t>CalEGP</t>
  </si>
  <si>
    <t>이집트</t>
  </si>
  <si>
    <t>CalESP</t>
  </si>
  <si>
    <t>스페인</t>
  </si>
  <si>
    <t>CalEUR</t>
  </si>
  <si>
    <t>유럽연합</t>
  </si>
  <si>
    <t>CalFIM</t>
  </si>
  <si>
    <t>핀란드</t>
  </si>
  <si>
    <t>CalFJD</t>
  </si>
  <si>
    <t>피지</t>
  </si>
  <si>
    <t>CalFRF</t>
  </si>
  <si>
    <t>프랑스</t>
  </si>
  <si>
    <t>CalGBP</t>
  </si>
  <si>
    <t>영국</t>
  </si>
  <si>
    <t>CalHKD</t>
  </si>
  <si>
    <t>홍콩</t>
  </si>
  <si>
    <t>CalHUF</t>
  </si>
  <si>
    <t>헝가리</t>
  </si>
  <si>
    <t>CalIDR</t>
  </si>
  <si>
    <t>인도네시아</t>
  </si>
  <si>
    <t>CalILS</t>
  </si>
  <si>
    <t>이스라엘</t>
  </si>
  <si>
    <t>CalINR</t>
  </si>
  <si>
    <t>인도</t>
  </si>
  <si>
    <t>CalITL</t>
  </si>
  <si>
    <t>이탈리아</t>
  </si>
  <si>
    <t>CalJOD</t>
  </si>
  <si>
    <t>요르단</t>
  </si>
  <si>
    <t>CalJPY</t>
  </si>
  <si>
    <t>일본</t>
  </si>
  <si>
    <t>CalKES</t>
  </si>
  <si>
    <t>케냐</t>
  </si>
  <si>
    <t>CalKHR</t>
  </si>
  <si>
    <t>캄보디아</t>
  </si>
  <si>
    <t>CalKWD</t>
  </si>
  <si>
    <t>쿠웨이트</t>
  </si>
  <si>
    <t>CalKZT</t>
  </si>
  <si>
    <t>카자흐스탄</t>
  </si>
  <si>
    <t>CalMMK</t>
  </si>
  <si>
    <t>미얀마</t>
  </si>
  <si>
    <t>CalMNT</t>
  </si>
  <si>
    <t>몽골</t>
  </si>
  <si>
    <t>CalMOP</t>
  </si>
  <si>
    <t>마카오</t>
  </si>
  <si>
    <t>CalMXN</t>
  </si>
  <si>
    <t>멕시코</t>
  </si>
  <si>
    <t>CalMYR</t>
  </si>
  <si>
    <t>말레이시아</t>
  </si>
  <si>
    <t>CalNLG</t>
  </si>
  <si>
    <t>네덜란드</t>
  </si>
  <si>
    <t>CalNOK</t>
  </si>
  <si>
    <t>노르웨이</t>
  </si>
  <si>
    <t>CalNPR</t>
  </si>
  <si>
    <t>네팔</t>
  </si>
  <si>
    <t>CalNZD</t>
  </si>
  <si>
    <t>뉴질랜드</t>
  </si>
  <si>
    <t>CalPHP</t>
  </si>
  <si>
    <t>필리핀</t>
  </si>
  <si>
    <t>CalPKR</t>
  </si>
  <si>
    <t>파키스탄</t>
  </si>
  <si>
    <t>CalPLN</t>
  </si>
  <si>
    <t>폴란드</t>
  </si>
  <si>
    <t>CalQAR</t>
  </si>
  <si>
    <t>카타르</t>
  </si>
  <si>
    <t>CalRUB</t>
  </si>
  <si>
    <t>러시아</t>
  </si>
  <si>
    <t>CalSAR</t>
  </si>
  <si>
    <t>사우디아라비아</t>
  </si>
  <si>
    <t>CalSEK</t>
  </si>
  <si>
    <t>스웨덴</t>
  </si>
  <si>
    <t>CalSGD</t>
  </si>
  <si>
    <t>싱가포르</t>
  </si>
  <si>
    <t>CalSKK</t>
  </si>
  <si>
    <t>슬로바키아</t>
  </si>
  <si>
    <t>CalTHB</t>
  </si>
  <si>
    <t>태국</t>
  </si>
  <si>
    <t>CalTRY</t>
  </si>
  <si>
    <t>튀르키예</t>
  </si>
  <si>
    <t>CalTWD</t>
  </si>
  <si>
    <t>대만</t>
  </si>
  <si>
    <t>CalVND</t>
  </si>
  <si>
    <t>베트남</t>
  </si>
  <si>
    <t>CalXAU</t>
  </si>
  <si>
    <t>금</t>
  </si>
  <si>
    <t>CalZAR</t>
  </si>
  <si>
    <t>남아프리카공화국</t>
  </si>
  <si>
    <t>QURT</t>
    <phoneticPr fontId="2" type="noConversion"/>
  </si>
  <si>
    <t>4주</t>
    <phoneticPr fontId="1" type="noConversion"/>
  </si>
  <si>
    <t>SpreadOverYield ( CONT ACT/365 )(%)</t>
    <phoneticPr fontId="1" type="noConversion"/>
  </si>
  <si>
    <t>쿠폰이율(%)</t>
    <phoneticPr fontId="1" type="noConversion"/>
  </si>
  <si>
    <t>CalKRW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</si>
</sst>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9">
    <numFmt numFmtId="41" formatCode="_-* #,##0_-;\-* #,##0_-;_-* &quot;-&quot;_-;_-@_-"/>
    <numFmt numFmtId="43" formatCode="_-* #,##0.00_-;\-* #,##0.00_-;_-* &quot;-&quot;??_-;_-@_-"/>
    <numFmt numFmtId="176" formatCode="0_ "/>
    <numFmt numFmtId="177" formatCode="0.0000_ "/>
    <numFmt numFmtId="178" formatCode="_-* #,##0.000000_-;\-* #,##0.000000_-;_-* &quot;-&quot;_-;_-@_-"/>
    <numFmt numFmtId="179" formatCode="0.000"/>
    <numFmt numFmtId="180" formatCode="_-* #,##0.0000_-;\-* #,##0.0000_-;_-* &quot;-&quot;_-;_-@_-"/>
    <numFmt numFmtId="181" formatCode="_-* #,##0.00000_-;\-* #,##0.00000_-;_-* &quot;-&quot;_-;_-@_-"/>
    <numFmt numFmtId="182" formatCode="yyyy\.mm\.dd"/>
    <numFmt numFmtId="183" formatCode="0.000%"/>
    <numFmt numFmtId="184" formatCode="0_);[Red]\(0\)"/>
    <numFmt numFmtId="185" formatCode="#,##0_ "/>
    <numFmt numFmtId="186" formatCode="0.00000000_ "/>
    <numFmt numFmtId="187" formatCode="#,##0.0000_ "/>
    <numFmt numFmtId="188" formatCode="#,##0.00000_ "/>
    <numFmt numFmtId="189" formatCode="_-* #,##0.0000_-;\-* #,##0.0000_-;_-* &quot;-&quot;??_-;_-@_-"/>
    <numFmt numFmtId="190" formatCode="_-* #,##0.00000000_-;\-* #,##0.00000000_-;_-* &quot;-&quot;_-;_-@_-"/>
    <numFmt numFmtId="191" formatCode="_-* #,##0_-;\-* #,##0_-;_-* &quot;-&quot;??_-;_-@_-"/>
    <numFmt numFmtId="192" formatCode="0.00000_);[Red]\(0.00000\)"/>
  </numFmts>
  <fonts count="35">
    <font>
      <sz val="10"/>
      <color theme="1"/>
      <name val="나눔바른펜"/>
      <family val="2"/>
      <charset val="129"/>
    </font>
    <font>
      <sz val="8"/>
      <name val="나눔바른펜"/>
      <family val="2"/>
      <charset val="129"/>
    </font>
    <font>
      <sz val="8"/>
      <name val="맑은 고딕"/>
      <family val="2"/>
      <charset val="129"/>
      <scheme val="minor"/>
    </font>
    <font>
      <sz val="9"/>
      <color theme="1"/>
      <name val="나눔바른펜"/>
      <family val="3"/>
      <charset val="129"/>
    </font>
    <font>
      <b/>
      <sz val="9"/>
      <color theme="1"/>
      <name val="나눔바른펜"/>
      <family val="3"/>
      <charset val="129"/>
    </font>
    <font>
      <sz val="9"/>
      <name val="나눔바른펜"/>
      <family val="3"/>
      <charset val="129"/>
    </font>
    <font>
      <b/>
      <sz val="9"/>
      <name val="나눔바른펜"/>
      <family val="3"/>
      <charset val="129"/>
    </font>
    <font>
      <sz val="11"/>
      <color theme="1"/>
      <name val="맑은 고딕"/>
      <family val="2"/>
      <charset val="129"/>
      <scheme val="minor"/>
    </font>
    <font>
      <b/>
      <sz val="11"/>
      <color rgb="FFFFFF00"/>
      <name val="나눔바른펜"/>
      <family val="3"/>
      <charset val="129"/>
    </font>
    <font>
      <sz val="11"/>
      <color rgb="FFFFFF00"/>
      <name val="나눔바른펜"/>
      <family val="3"/>
      <charset val="129"/>
    </font>
    <font>
      <b/>
      <sz val="9"/>
      <color theme="0" tint="-4.9989318521683403E-2"/>
      <name val="나눔바른펜"/>
      <family val="3"/>
      <charset val="129"/>
    </font>
    <font>
      <sz val="9"/>
      <color theme="0" tint="-4.9989318521683403E-2"/>
      <name val="나눔바른펜"/>
      <family val="3"/>
      <charset val="129"/>
    </font>
    <font>
      <b/>
      <sz val="9"/>
      <color rgb="FF000000"/>
      <name val="맑은 고딕"/>
      <family val="3"/>
      <charset val="129"/>
    </font>
    <font>
      <b/>
      <sz val="9"/>
      <color theme="0" tint="-4.9989318521683403E-2"/>
      <name val="맑은 고딕"/>
      <family val="3"/>
      <charset val="129"/>
    </font>
    <font>
      <sz val="10"/>
      <color theme="1"/>
      <name val="나눔바른펜"/>
      <family val="2"/>
      <charset val="129"/>
    </font>
    <font>
      <b/>
      <sz val="9"/>
      <color rgb="FFFF0000"/>
      <name val="나눔바른펜"/>
      <family val="3"/>
      <charset val="129"/>
    </font>
    <font>
      <sz val="9"/>
      <color rgb="FFFF0000"/>
      <name val="나눔바른펜"/>
      <family val="3"/>
      <charset val="129"/>
    </font>
    <font>
      <b/>
      <sz val="16"/>
      <color theme="1"/>
      <name val="나눔바른펜"/>
      <family val="3"/>
      <charset val="129"/>
    </font>
    <font>
      <sz val="8"/>
      <name val="돋움"/>
      <family val="3"/>
      <charset val="129"/>
    </font>
    <font>
      <sz val="10"/>
      <color theme="1"/>
      <name val="나눔바른펜"/>
      <family val="3"/>
      <charset val="129"/>
    </font>
    <font>
      <b/>
      <i/>
      <u/>
      <sz val="16"/>
      <color indexed="10"/>
      <name val="나눔바른펜"/>
      <family val="3"/>
      <charset val="129"/>
    </font>
    <font>
      <b/>
      <sz val="14"/>
      <name val="나눔바른펜"/>
      <family val="3"/>
      <charset val="129"/>
    </font>
    <font>
      <sz val="12"/>
      <name val="나눔바른펜"/>
      <family val="3"/>
      <charset val="129"/>
    </font>
    <font>
      <sz val="11"/>
      <name val="나눔바른펜"/>
      <family val="3"/>
      <charset val="129"/>
    </font>
    <font>
      <sz val="10"/>
      <name val="나눔바른펜"/>
      <family val="3"/>
      <charset val="129"/>
    </font>
    <font>
      <sz val="9"/>
      <color rgb="FF0070C0"/>
      <name val="나눔바른펜"/>
      <family val="3"/>
      <charset val="129"/>
    </font>
    <font>
      <b/>
      <sz val="9"/>
      <color rgb="FF0070C0"/>
      <name val="나눔바른펜"/>
      <family val="3"/>
      <charset val="129"/>
    </font>
    <font>
      <sz val="9"/>
      <color indexed="81"/>
      <name val="Tahoma"/>
      <family val="2"/>
    </font>
    <font>
      <b/>
      <u/>
      <sz val="16"/>
      <color theme="1"/>
      <name val="나눔바른펜"/>
      <family val="3"/>
      <charset val="129"/>
    </font>
    <font>
      <sz val="11"/>
      <color rgb="FF000000"/>
      <name val="나눔바른펜"/>
      <family val="3"/>
      <charset val="129"/>
    </font>
    <font>
      <b/>
      <sz val="11"/>
      <color rgb="FF000000"/>
      <name val="나눔바른펜"/>
      <family val="3"/>
      <charset val="129"/>
    </font>
    <font>
      <b/>
      <sz val="10"/>
      <color theme="0"/>
      <name val="나눔바른펜"/>
      <family val="3"/>
      <charset val="129"/>
    </font>
    <font>
      <b/>
      <sz val="9"/>
      <color theme="1"/>
      <name val="Arial Unicode MS"/>
      <family val="3"/>
      <charset val="129"/>
    </font>
    <font>
      <sz val="9"/>
      <color theme="1"/>
      <name val="맑은 고딕"/>
      <family val="3"/>
      <charset val="129"/>
    </font>
    <font>
      <sz val="10"/>
      <color rgb="FF0070C0"/>
      <name val="나눔바른펜"/>
      <family val="3"/>
      <charset val="129"/>
    </font>
  </fonts>
  <fills count="1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3" tint="0.89999084444715716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</borders>
  <cellStyleXfs count="4">
    <xf numFmtId="0" fontId="0" fillId="0" borderId="0">
      <alignment vertical="center"/>
    </xf>
    <xf numFmtId="0" fontId="7" fillId="0" borderId="0">
      <alignment vertical="center"/>
    </xf>
    <xf numFmtId="41" fontId="14" fillId="0" borderId="0" applyFont="0" applyFill="0" applyBorder="0" applyAlignment="0" applyProtection="0">
      <alignment vertical="center"/>
    </xf>
    <xf numFmtId="9" fontId="14" fillId="0" borderId="0" applyFont="0" applyFill="0" applyBorder="0" applyAlignment="0" applyProtection="0">
      <alignment vertical="center"/>
    </xf>
  </cellStyleXfs>
  <cellXfs count="238">
    <xf numFmtId="0" fontId="0" fillId="0" borderId="0" xfId="0">
      <alignment vertical="center"/>
    </xf>
    <xf numFmtId="0" fontId="3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4" fillId="0" borderId="0" xfId="0" applyFont="1">
      <alignment vertical="center"/>
    </xf>
    <xf numFmtId="0" fontId="3" fillId="0" borderId="0" xfId="0" applyFont="1" applyAlignment="1">
      <alignment horizontal="left" vertical="center"/>
    </xf>
    <xf numFmtId="0" fontId="3" fillId="0" borderId="1" xfId="0" applyFont="1" applyBorder="1" applyAlignment="1">
      <alignment horizontal="left" vertical="center"/>
    </xf>
    <xf numFmtId="0" fontId="3" fillId="2" borderId="1" xfId="0" applyFont="1" applyFill="1" applyBorder="1">
      <alignment vertical="center"/>
    </xf>
    <xf numFmtId="0" fontId="9" fillId="6" borderId="0" xfId="0" applyFont="1" applyFill="1">
      <alignment vertical="center"/>
    </xf>
    <xf numFmtId="0" fontId="9" fillId="0" borderId="0" xfId="0" applyFont="1">
      <alignment vertical="center"/>
    </xf>
    <xf numFmtId="0" fontId="10" fillId="6" borderId="0" xfId="0" applyFont="1" applyFill="1">
      <alignment vertical="center"/>
    </xf>
    <xf numFmtId="0" fontId="10" fillId="6" borderId="0" xfId="0" applyFont="1" applyFill="1" applyAlignment="1">
      <alignment horizontal="center" vertical="center"/>
    </xf>
    <xf numFmtId="0" fontId="11" fillId="6" borderId="0" xfId="0" applyFont="1" applyFill="1">
      <alignment vertical="center"/>
    </xf>
    <xf numFmtId="0" fontId="4" fillId="0" borderId="0" xfId="0" applyFont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3" fillId="0" borderId="1" xfId="0" quotePrefix="1" applyFont="1" applyBorder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3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4" fillId="2" borderId="1" xfId="0" applyFont="1" applyFill="1" applyBorder="1">
      <alignment vertical="center"/>
    </xf>
    <xf numFmtId="0" fontId="11" fillId="6" borderId="0" xfId="0" applyFont="1" applyFill="1" applyAlignment="1">
      <alignment horizontal="left" vertical="center"/>
    </xf>
    <xf numFmtId="0" fontId="3" fillId="3" borderId="1" xfId="0" applyFont="1" applyFill="1" applyBorder="1">
      <alignment vertical="center"/>
    </xf>
    <xf numFmtId="0" fontId="3" fillId="8" borderId="1" xfId="0" applyFont="1" applyFill="1" applyBorder="1">
      <alignment vertical="center"/>
    </xf>
    <xf numFmtId="14" fontId="3" fillId="0" borderId="1" xfId="0" quotePrefix="1" applyNumberFormat="1" applyFont="1" applyBorder="1" applyAlignment="1">
      <alignment horizontal="left" vertical="center"/>
    </xf>
    <xf numFmtId="0" fontId="3" fillId="5" borderId="1" xfId="0" applyFont="1" applyFill="1" applyBorder="1">
      <alignment vertical="center"/>
    </xf>
    <xf numFmtId="49" fontId="3" fillId="0" borderId="1" xfId="0" quotePrefix="1" applyNumberFormat="1" applyFont="1" applyBorder="1" applyAlignment="1">
      <alignment horizontal="left" vertical="center"/>
    </xf>
    <xf numFmtId="176" fontId="3" fillId="0" borderId="1" xfId="0" applyNumberFormat="1" applyFont="1" applyBorder="1">
      <alignment vertical="center"/>
    </xf>
    <xf numFmtId="177" fontId="3" fillId="0" borderId="1" xfId="0" applyNumberFormat="1" applyFont="1" applyBorder="1">
      <alignment vertical="center"/>
    </xf>
    <xf numFmtId="0" fontId="3" fillId="7" borderId="6" xfId="0" applyFont="1" applyFill="1" applyBorder="1">
      <alignment vertical="center"/>
    </xf>
    <xf numFmtId="0" fontId="4" fillId="7" borderId="5" xfId="0" applyFont="1" applyFill="1" applyBorder="1">
      <alignment vertical="center"/>
    </xf>
    <xf numFmtId="0" fontId="3" fillId="4" borderId="1" xfId="0" applyFont="1" applyFill="1" applyBorder="1">
      <alignment vertical="center"/>
    </xf>
    <xf numFmtId="0" fontId="5" fillId="0" borderId="1" xfId="0" applyFont="1" applyBorder="1">
      <alignment vertical="center"/>
    </xf>
    <xf numFmtId="49" fontId="3" fillId="0" borderId="1" xfId="0" applyNumberFormat="1" applyFont="1" applyBorder="1" applyAlignment="1">
      <alignment horizontal="left" vertical="center"/>
    </xf>
    <xf numFmtId="49" fontId="3" fillId="0" borderId="1" xfId="0" applyNumberFormat="1" applyFont="1" applyBorder="1">
      <alignment vertical="center"/>
    </xf>
    <xf numFmtId="2" fontId="3" fillId="0" borderId="1" xfId="0" quotePrefix="1" applyNumberFormat="1" applyFont="1" applyBorder="1" applyAlignment="1">
      <alignment horizontal="left" vertical="center"/>
    </xf>
    <xf numFmtId="0" fontId="10" fillId="6" borderId="0" xfId="0" applyFont="1" applyFill="1" applyAlignment="1">
      <alignment horizontal="left" vertical="center"/>
    </xf>
    <xf numFmtId="0" fontId="3" fillId="5" borderId="1" xfId="0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49" fontId="3" fillId="4" borderId="1" xfId="0" applyNumberFormat="1" applyFont="1" applyFill="1" applyBorder="1" applyAlignment="1">
      <alignment horizontal="left" vertical="center"/>
    </xf>
    <xf numFmtId="14" fontId="5" fillId="0" borderId="1" xfId="0" quotePrefix="1" applyNumberFormat="1" applyFont="1" applyBorder="1" applyAlignment="1">
      <alignment horizontal="left" vertical="center"/>
    </xf>
    <xf numFmtId="0" fontId="5" fillId="0" borderId="1" xfId="0" quotePrefix="1" applyFont="1" applyBorder="1" applyAlignment="1">
      <alignment horizontal="left" vertical="center"/>
    </xf>
    <xf numFmtId="2" fontId="5" fillId="0" borderId="1" xfId="0" quotePrefix="1" applyNumberFormat="1" applyFont="1" applyBorder="1" applyAlignment="1">
      <alignment horizontal="left" vertical="center"/>
    </xf>
    <xf numFmtId="0" fontId="6" fillId="0" borderId="1" xfId="0" applyFont="1" applyBorder="1">
      <alignment vertical="center"/>
    </xf>
    <xf numFmtId="3" fontId="6" fillId="0" borderId="1" xfId="0" quotePrefix="1" applyNumberFormat="1" applyFont="1" applyBorder="1" applyAlignment="1">
      <alignment horizontal="left" vertical="center"/>
    </xf>
    <xf numFmtId="0" fontId="6" fillId="0" borderId="1" xfId="0" quotePrefix="1" applyFont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3" fillId="2" borderId="1" xfId="0" applyFont="1" applyFill="1" applyBorder="1" applyAlignment="1">
      <alignment horizontal="center" vertical="center"/>
    </xf>
    <xf numFmtId="0" fontId="5" fillId="0" borderId="1" xfId="0" quotePrefix="1" applyFont="1" applyBorder="1" applyAlignment="1">
      <alignment horizontal="center" vertical="center"/>
    </xf>
    <xf numFmtId="49" fontId="5" fillId="0" borderId="1" xfId="0" applyNumberFormat="1" applyFont="1" applyBorder="1">
      <alignment vertical="center"/>
    </xf>
    <xf numFmtId="0" fontId="5" fillId="0" borderId="1" xfId="0" applyFont="1" applyBorder="1" applyAlignment="1">
      <alignment horizontal="center" vertical="center"/>
    </xf>
    <xf numFmtId="9" fontId="5" fillId="0" borderId="1" xfId="0" applyNumberFormat="1" applyFont="1" applyBorder="1">
      <alignment vertical="center"/>
    </xf>
    <xf numFmtId="9" fontId="5" fillId="0" borderId="1" xfId="0" applyNumberFormat="1" applyFont="1" applyBorder="1" applyAlignment="1">
      <alignment horizontal="left" vertical="center"/>
    </xf>
    <xf numFmtId="0" fontId="3" fillId="0" borderId="1" xfId="0" quotePrefix="1" applyFont="1" applyBorder="1" applyAlignment="1">
      <alignment horizontal="left" vertical="center"/>
    </xf>
    <xf numFmtId="0" fontId="4" fillId="7" borderId="6" xfId="0" applyFont="1" applyFill="1" applyBorder="1" applyAlignment="1">
      <alignment horizontal="left" vertical="center"/>
    </xf>
    <xf numFmtId="2" fontId="6" fillId="0" borderId="1" xfId="0" quotePrefix="1" applyNumberFormat="1" applyFont="1" applyBorder="1" applyAlignment="1">
      <alignment horizontal="left" vertical="center"/>
    </xf>
    <xf numFmtId="0" fontId="4" fillId="7" borderId="6" xfId="0" applyFont="1" applyFill="1" applyBorder="1">
      <alignment vertical="center"/>
    </xf>
    <xf numFmtId="0" fontId="4" fillId="7" borderId="7" xfId="0" applyFont="1" applyFill="1" applyBorder="1">
      <alignment vertical="center"/>
    </xf>
    <xf numFmtId="0" fontId="3" fillId="3" borderId="1" xfId="0" applyFont="1" applyFill="1" applyBorder="1" applyAlignment="1">
      <alignment horizontal="center" vertical="center"/>
    </xf>
    <xf numFmtId="0" fontId="4" fillId="2" borderId="6" xfId="0" applyFont="1" applyFill="1" applyBorder="1">
      <alignment vertical="center"/>
    </xf>
    <xf numFmtId="14" fontId="3" fillId="0" borderId="0" xfId="0" applyNumberFormat="1" applyFont="1" applyAlignment="1">
      <alignment horizontal="left" vertical="center"/>
    </xf>
    <xf numFmtId="41" fontId="3" fillId="0" borderId="0" xfId="2" applyFont="1" applyAlignment="1">
      <alignment horizontal="left" vertical="center"/>
    </xf>
    <xf numFmtId="0" fontId="3" fillId="2" borderId="6" xfId="0" applyFont="1" applyFill="1" applyBorder="1" applyAlignment="1">
      <alignment horizontal="left" vertical="center"/>
    </xf>
    <xf numFmtId="2" fontId="3" fillId="0" borderId="0" xfId="0" applyNumberFormat="1" applyFont="1" applyAlignment="1">
      <alignment horizontal="left" vertical="center"/>
    </xf>
    <xf numFmtId="9" fontId="3" fillId="0" borderId="0" xfId="3" applyFont="1" applyAlignment="1">
      <alignment horizontal="left" vertical="center"/>
    </xf>
    <xf numFmtId="0" fontId="3" fillId="0" borderId="9" xfId="0" applyFont="1" applyBorder="1">
      <alignment vertical="center"/>
    </xf>
    <xf numFmtId="0" fontId="3" fillId="0" borderId="8" xfId="0" applyFont="1" applyBorder="1">
      <alignment vertical="center"/>
    </xf>
    <xf numFmtId="0" fontId="4" fillId="2" borderId="2" xfId="0" applyFont="1" applyFill="1" applyBorder="1">
      <alignment vertical="center"/>
    </xf>
    <xf numFmtId="0" fontId="4" fillId="2" borderId="3" xfId="0" applyFont="1" applyFill="1" applyBorder="1">
      <alignment vertical="center"/>
    </xf>
    <xf numFmtId="41" fontId="4" fillId="2" borderId="4" xfId="0" applyNumberFormat="1" applyFont="1" applyFill="1" applyBorder="1">
      <alignment vertical="center"/>
    </xf>
    <xf numFmtId="0" fontId="4" fillId="0" borderId="9" xfId="0" applyFont="1" applyBorder="1">
      <alignment vertical="center"/>
    </xf>
    <xf numFmtId="0" fontId="4" fillId="0" borderId="8" xfId="0" applyFont="1" applyBorder="1">
      <alignment vertical="center"/>
    </xf>
    <xf numFmtId="14" fontId="4" fillId="2" borderId="1" xfId="0" applyNumberFormat="1" applyFont="1" applyFill="1" applyBorder="1">
      <alignment vertical="center"/>
    </xf>
    <xf numFmtId="14" fontId="4" fillId="2" borderId="6" xfId="0" applyNumberFormat="1" applyFont="1" applyFill="1" applyBorder="1">
      <alignment vertical="center"/>
    </xf>
    <xf numFmtId="41" fontId="3" fillId="0" borderId="8" xfId="2" applyFont="1" applyBorder="1">
      <alignment vertical="center"/>
    </xf>
    <xf numFmtId="0" fontId="3" fillId="0" borderId="8" xfId="0" applyFont="1" applyBorder="1" applyAlignment="1">
      <alignment horizontal="right" vertical="center"/>
    </xf>
    <xf numFmtId="41" fontId="4" fillId="2" borderId="3" xfId="0" applyNumberFormat="1" applyFont="1" applyFill="1" applyBorder="1">
      <alignment vertical="center"/>
    </xf>
    <xf numFmtId="41" fontId="3" fillId="0" borderId="0" xfId="2" applyFont="1" applyBorder="1">
      <alignment vertical="center"/>
    </xf>
    <xf numFmtId="41" fontId="4" fillId="2" borderId="3" xfId="2" applyFont="1" applyFill="1" applyBorder="1">
      <alignment vertical="center"/>
    </xf>
    <xf numFmtId="41" fontId="4" fillId="2" borderId="4" xfId="2" applyFont="1" applyFill="1" applyBorder="1">
      <alignment vertical="center"/>
    </xf>
    <xf numFmtId="180" fontId="3" fillId="0" borderId="9" xfId="2" applyNumberFormat="1" applyFont="1" applyBorder="1">
      <alignment vertical="center"/>
    </xf>
    <xf numFmtId="180" fontId="3" fillId="0" borderId="9" xfId="0" applyNumberFormat="1" applyFont="1" applyBorder="1">
      <alignment vertical="center"/>
    </xf>
    <xf numFmtId="180" fontId="3" fillId="0" borderId="0" xfId="2" applyNumberFormat="1" applyFont="1" applyBorder="1">
      <alignment vertical="center"/>
    </xf>
    <xf numFmtId="41" fontId="4" fillId="2" borderId="2" xfId="2" applyFont="1" applyFill="1" applyBorder="1">
      <alignment vertical="center"/>
    </xf>
    <xf numFmtId="41" fontId="3" fillId="0" borderId="9" xfId="2" applyFont="1" applyBorder="1">
      <alignment vertical="center"/>
    </xf>
    <xf numFmtId="43" fontId="3" fillId="0" borderId="0" xfId="0" applyNumberFormat="1" applyFont="1">
      <alignment vertical="center"/>
    </xf>
    <xf numFmtId="180" fontId="4" fillId="2" borderId="2" xfId="0" applyNumberFormat="1" applyFont="1" applyFill="1" applyBorder="1">
      <alignment vertical="center"/>
    </xf>
    <xf numFmtId="0" fontId="15" fillId="0" borderId="0" xfId="0" applyFont="1">
      <alignment vertical="center"/>
    </xf>
    <xf numFmtId="0" fontId="16" fillId="0" borderId="0" xfId="0" applyFont="1">
      <alignment vertical="center"/>
    </xf>
    <xf numFmtId="0" fontId="15" fillId="2" borderId="3" xfId="0" applyFont="1" applyFill="1" applyBorder="1">
      <alignment vertical="center"/>
    </xf>
    <xf numFmtId="41" fontId="15" fillId="2" borderId="3" xfId="2" applyFont="1" applyFill="1" applyBorder="1">
      <alignment vertical="center"/>
    </xf>
    <xf numFmtId="0" fontId="15" fillId="0" borderId="8" xfId="0" applyFont="1" applyBorder="1">
      <alignment vertical="center"/>
    </xf>
    <xf numFmtId="0" fontId="16" fillId="0" borderId="8" xfId="0" applyFont="1" applyBorder="1">
      <alignment vertical="center"/>
    </xf>
    <xf numFmtId="41" fontId="15" fillId="2" borderId="4" xfId="2" applyFont="1" applyFill="1" applyBorder="1">
      <alignment vertical="center"/>
    </xf>
    <xf numFmtId="0" fontId="3" fillId="2" borderId="6" xfId="0" applyFont="1" applyFill="1" applyBorder="1">
      <alignment vertical="center"/>
    </xf>
    <xf numFmtId="14" fontId="4" fillId="0" borderId="0" xfId="0" applyNumberFormat="1" applyFont="1" applyAlignment="1">
      <alignment horizontal="center" vertical="center"/>
    </xf>
    <xf numFmtId="0" fontId="17" fillId="0" borderId="0" xfId="0" applyFont="1">
      <alignment vertical="center"/>
    </xf>
    <xf numFmtId="41" fontId="4" fillId="0" borderId="0" xfId="2" applyFont="1">
      <alignment vertical="center"/>
    </xf>
    <xf numFmtId="180" fontId="4" fillId="0" borderId="0" xfId="2" applyNumberFormat="1" applyFont="1">
      <alignment vertical="center"/>
    </xf>
    <xf numFmtId="181" fontId="4" fillId="0" borderId="0" xfId="2" applyNumberFormat="1" applyFont="1">
      <alignment vertical="center"/>
    </xf>
    <xf numFmtId="0" fontId="3" fillId="0" borderId="0" xfId="0" applyFont="1" applyAlignment="1">
      <alignment horizontal="right" vertical="center"/>
    </xf>
    <xf numFmtId="41" fontId="3" fillId="0" borderId="0" xfId="2" applyFont="1" applyFill="1">
      <alignment vertical="center"/>
    </xf>
    <xf numFmtId="180" fontId="3" fillId="0" borderId="0" xfId="2" applyNumberFormat="1" applyFont="1" applyFill="1">
      <alignment vertical="center"/>
    </xf>
    <xf numFmtId="0" fontId="5" fillId="0" borderId="0" xfId="0" applyFont="1">
      <alignment vertical="center"/>
    </xf>
    <xf numFmtId="0" fontId="19" fillId="0" borderId="0" xfId="0" applyFont="1" applyAlignment="1"/>
    <xf numFmtId="0" fontId="20" fillId="0" borderId="0" xfId="0" applyFont="1" applyAlignment="1"/>
    <xf numFmtId="0" fontId="21" fillId="0" borderId="0" xfId="0" applyFont="1" applyAlignment="1"/>
    <xf numFmtId="0" fontId="22" fillId="0" borderId="0" xfId="0" applyFont="1" applyAlignment="1"/>
    <xf numFmtId="0" fontId="23" fillId="0" borderId="0" xfId="0" applyFont="1">
      <alignment vertical="center"/>
    </xf>
    <xf numFmtId="182" fontId="5" fillId="0" borderId="1" xfId="0" applyNumberFormat="1" applyFont="1" applyBorder="1" applyAlignment="1">
      <alignment horizontal="center" vertical="center"/>
    </xf>
    <xf numFmtId="183" fontId="5" fillId="0" borderId="1" xfId="3" applyNumberFormat="1" applyFont="1" applyBorder="1" applyAlignment="1">
      <alignment horizontal="center" vertical="center"/>
    </xf>
    <xf numFmtId="41" fontId="5" fillId="0" borderId="0" xfId="2" applyFont="1" applyAlignment="1">
      <alignment vertical="center"/>
    </xf>
    <xf numFmtId="14" fontId="5" fillId="0" borderId="0" xfId="0" applyNumberFormat="1" applyFont="1">
      <alignment vertical="center"/>
    </xf>
    <xf numFmtId="14" fontId="5" fillId="0" borderId="1" xfId="0" applyNumberFormat="1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182" fontId="5" fillId="0" borderId="0" xfId="0" applyNumberFormat="1" applyFont="1" applyAlignment="1">
      <alignment horizontal="center" vertical="center"/>
    </xf>
    <xf numFmtId="14" fontId="5" fillId="0" borderId="0" xfId="0" applyNumberFormat="1" applyFont="1" applyAlignment="1">
      <alignment horizontal="center" vertical="center"/>
    </xf>
    <xf numFmtId="41" fontId="5" fillId="0" borderId="1" xfId="2" applyFont="1" applyBorder="1" applyAlignment="1">
      <alignment horizontal="center" vertical="center"/>
    </xf>
    <xf numFmtId="184" fontId="5" fillId="0" borderId="1" xfId="0" applyNumberFormat="1" applyFont="1" applyBorder="1" applyAlignment="1">
      <alignment horizontal="center" vertical="center"/>
    </xf>
    <xf numFmtId="0" fontId="5" fillId="9" borderId="1" xfId="0" applyFont="1" applyFill="1" applyBorder="1" applyAlignment="1">
      <alignment horizontal="center" vertical="center"/>
    </xf>
    <xf numFmtId="41" fontId="5" fillId="9" borderId="1" xfId="2" applyFont="1" applyFill="1" applyBorder="1" applyAlignment="1">
      <alignment horizontal="center" vertical="center"/>
    </xf>
    <xf numFmtId="184" fontId="5" fillId="0" borderId="0" xfId="0" applyNumberFormat="1" applyFont="1" applyAlignment="1">
      <alignment horizontal="center" vertical="center"/>
    </xf>
    <xf numFmtId="41" fontId="5" fillId="0" borderId="0" xfId="2" applyFont="1" applyBorder="1" applyAlignment="1">
      <alignment horizontal="center" vertical="center"/>
    </xf>
    <xf numFmtId="0" fontId="5" fillId="0" borderId="0" xfId="0" quotePrefix="1" applyFont="1" applyAlignment="1">
      <alignment horizontal="center" vertical="center"/>
    </xf>
    <xf numFmtId="0" fontId="24" fillId="0" borderId="0" xfId="0" applyFont="1">
      <alignment vertical="center"/>
    </xf>
    <xf numFmtId="0" fontId="25" fillId="0" borderId="0" xfId="0" applyFont="1">
      <alignment vertical="center"/>
    </xf>
    <xf numFmtId="0" fontId="4" fillId="2" borderId="6" xfId="0" applyFont="1" applyFill="1" applyBorder="1" applyAlignment="1">
      <alignment horizontal="center" vertical="center"/>
    </xf>
    <xf numFmtId="10" fontId="4" fillId="0" borderId="0" xfId="3" applyNumberFormat="1" applyFont="1">
      <alignment vertical="center"/>
    </xf>
    <xf numFmtId="41" fontId="4" fillId="0" borderId="0" xfId="0" applyNumberFormat="1" applyFont="1">
      <alignment vertical="center"/>
    </xf>
    <xf numFmtId="41" fontId="4" fillId="0" borderId="8" xfId="2" applyFont="1" applyBorder="1">
      <alignment vertical="center"/>
    </xf>
    <xf numFmtId="0" fontId="26" fillId="0" borderId="0" xfId="0" applyFont="1">
      <alignment vertical="center"/>
    </xf>
    <xf numFmtId="0" fontId="26" fillId="10" borderId="1" xfId="0" applyFont="1" applyFill="1" applyBorder="1" applyAlignment="1">
      <alignment horizontal="center" vertical="center"/>
    </xf>
    <xf numFmtId="0" fontId="26" fillId="10" borderId="1" xfId="0" applyFont="1" applyFill="1" applyBorder="1">
      <alignment vertical="center"/>
    </xf>
    <xf numFmtId="0" fontId="4" fillId="4" borderId="0" xfId="0" applyFont="1" applyFill="1" applyAlignment="1">
      <alignment horizontal="left" vertical="center"/>
    </xf>
    <xf numFmtId="0" fontId="3" fillId="4" borderId="0" xfId="0" applyFont="1" applyFill="1" applyAlignment="1">
      <alignment horizontal="center" vertical="center"/>
    </xf>
    <xf numFmtId="0" fontId="26" fillId="2" borderId="3" xfId="0" applyFont="1" applyFill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4" fillId="4" borderId="2" xfId="0" applyFont="1" applyFill="1" applyBorder="1">
      <alignment vertical="center"/>
    </xf>
    <xf numFmtId="0" fontId="4" fillId="4" borderId="3" xfId="0" applyFont="1" applyFill="1" applyBorder="1">
      <alignment vertical="center"/>
    </xf>
    <xf numFmtId="41" fontId="4" fillId="4" borderId="4" xfId="0" applyNumberFormat="1" applyFont="1" applyFill="1" applyBorder="1">
      <alignment vertical="center"/>
    </xf>
    <xf numFmtId="0" fontId="26" fillId="4" borderId="3" xfId="0" applyFont="1" applyFill="1" applyBorder="1" applyAlignment="1">
      <alignment horizontal="center" vertical="center"/>
    </xf>
    <xf numFmtId="185" fontId="3" fillId="4" borderId="1" xfId="0" applyNumberFormat="1" applyFont="1" applyFill="1" applyBorder="1" applyAlignment="1">
      <alignment horizontal="left" vertical="center"/>
    </xf>
    <xf numFmtId="0" fontId="26" fillId="4" borderId="0" xfId="0" applyFont="1" applyFill="1" applyAlignment="1">
      <alignment horizontal="center" vertical="center"/>
    </xf>
    <xf numFmtId="10" fontId="4" fillId="2" borderId="6" xfId="3" applyNumberFormat="1" applyFont="1" applyFill="1" applyBorder="1">
      <alignment vertical="center"/>
    </xf>
    <xf numFmtId="41" fontId="4" fillId="2" borderId="6" xfId="2" applyFont="1" applyFill="1" applyBorder="1">
      <alignment vertical="center"/>
    </xf>
    <xf numFmtId="0" fontId="25" fillId="10" borderId="1" xfId="0" applyFont="1" applyFill="1" applyBorder="1">
      <alignment vertical="center"/>
    </xf>
    <xf numFmtId="0" fontId="4" fillId="4" borderId="9" xfId="0" applyFont="1" applyFill="1" applyBorder="1">
      <alignment vertical="center"/>
    </xf>
    <xf numFmtId="41" fontId="4" fillId="4" borderId="9" xfId="0" applyNumberFormat="1" applyFont="1" applyFill="1" applyBorder="1">
      <alignment vertical="center"/>
    </xf>
    <xf numFmtId="41" fontId="4" fillId="2" borderId="6" xfId="0" applyNumberFormat="1" applyFont="1" applyFill="1" applyBorder="1">
      <alignment vertical="center"/>
    </xf>
    <xf numFmtId="185" fontId="3" fillId="3" borderId="1" xfId="0" applyNumberFormat="1" applyFont="1" applyFill="1" applyBorder="1" applyAlignment="1">
      <alignment horizontal="right" vertical="center"/>
    </xf>
    <xf numFmtId="186" fontId="3" fillId="0" borderId="1" xfId="2" applyNumberFormat="1" applyFont="1" applyBorder="1" applyAlignment="1">
      <alignment horizontal="right" vertical="center"/>
    </xf>
    <xf numFmtId="185" fontId="3" fillId="0" borderId="1" xfId="0" applyNumberFormat="1" applyFont="1" applyBorder="1" applyAlignment="1">
      <alignment horizontal="right" vertical="center"/>
    </xf>
    <xf numFmtId="185" fontId="3" fillId="5" borderId="1" xfId="0" applyNumberFormat="1" applyFont="1" applyFill="1" applyBorder="1" applyAlignment="1">
      <alignment horizontal="right" vertical="center"/>
    </xf>
    <xf numFmtId="188" fontId="3" fillId="5" borderId="1" xfId="0" applyNumberFormat="1" applyFont="1" applyFill="1" applyBorder="1" applyAlignment="1">
      <alignment horizontal="right" vertical="center"/>
    </xf>
    <xf numFmtId="185" fontId="3" fillId="0" borderId="0" xfId="0" applyNumberFormat="1" applyFont="1" applyAlignment="1">
      <alignment horizontal="right" vertical="center"/>
    </xf>
    <xf numFmtId="185" fontId="3" fillId="0" borderId="0" xfId="2" applyNumberFormat="1" applyFont="1" applyAlignment="1">
      <alignment horizontal="right" vertical="center"/>
    </xf>
    <xf numFmtId="185" fontId="3" fillId="0" borderId="0" xfId="0" applyNumberFormat="1" applyFont="1">
      <alignment vertical="center"/>
    </xf>
    <xf numFmtId="185" fontId="3" fillId="2" borderId="6" xfId="0" applyNumberFormat="1" applyFont="1" applyFill="1" applyBorder="1">
      <alignment vertical="center"/>
    </xf>
    <xf numFmtId="185" fontId="3" fillId="0" borderId="9" xfId="0" applyNumberFormat="1" applyFont="1" applyBorder="1">
      <alignment vertical="center"/>
    </xf>
    <xf numFmtId="185" fontId="3" fillId="0" borderId="8" xfId="0" applyNumberFormat="1" applyFont="1" applyBorder="1">
      <alignment vertical="center"/>
    </xf>
    <xf numFmtId="185" fontId="4" fillId="0" borderId="0" xfId="0" applyNumberFormat="1" applyFont="1">
      <alignment vertical="center"/>
    </xf>
    <xf numFmtId="185" fontId="3" fillId="4" borderId="9" xfId="0" applyNumberFormat="1" applyFont="1" applyFill="1" applyBorder="1">
      <alignment vertical="center"/>
    </xf>
    <xf numFmtId="187" fontId="3" fillId="0" borderId="0" xfId="2" applyNumberFormat="1" applyFont="1" applyAlignment="1">
      <alignment horizontal="right" vertical="center"/>
    </xf>
    <xf numFmtId="180" fontId="4" fillId="2" borderId="3" xfId="2" applyNumberFormat="1" applyFont="1" applyFill="1" applyBorder="1">
      <alignment vertical="center"/>
    </xf>
    <xf numFmtId="189" fontId="4" fillId="2" borderId="3" xfId="0" applyNumberFormat="1" applyFont="1" applyFill="1" applyBorder="1">
      <alignment vertical="center"/>
    </xf>
    <xf numFmtId="180" fontId="15" fillId="2" borderId="4" xfId="2" applyNumberFormat="1" applyFont="1" applyFill="1" applyBorder="1">
      <alignment vertical="center"/>
    </xf>
    <xf numFmtId="190" fontId="4" fillId="2" borderId="4" xfId="2" applyNumberFormat="1" applyFont="1" applyFill="1" applyBorder="1" applyAlignment="1">
      <alignment horizontal="right" vertical="center"/>
    </xf>
    <xf numFmtId="191" fontId="4" fillId="2" borderId="3" xfId="0" applyNumberFormat="1" applyFont="1" applyFill="1" applyBorder="1">
      <alignment vertical="center"/>
    </xf>
    <xf numFmtId="191" fontId="4" fillId="2" borderId="4" xfId="0" applyNumberFormat="1" applyFont="1" applyFill="1" applyBorder="1">
      <alignment vertical="center"/>
    </xf>
    <xf numFmtId="185" fontId="3" fillId="0" borderId="1" xfId="0" applyNumberFormat="1" applyFont="1" applyBorder="1">
      <alignment vertical="center"/>
    </xf>
    <xf numFmtId="14" fontId="3" fillId="0" borderId="0" xfId="0" applyNumberFormat="1" applyFont="1">
      <alignment vertical="center"/>
    </xf>
    <xf numFmtId="3" fontId="3" fillId="0" borderId="0" xfId="0" applyNumberFormat="1" applyFont="1">
      <alignment vertical="center"/>
    </xf>
    <xf numFmtId="0" fontId="28" fillId="0" borderId="0" xfId="0" applyFont="1" applyAlignment="1">
      <alignment horizontal="left"/>
    </xf>
    <xf numFmtId="0" fontId="29" fillId="0" borderId="0" xfId="0" applyFont="1">
      <alignment vertical="center"/>
    </xf>
    <xf numFmtId="0" fontId="29" fillId="0" borderId="0" xfId="0" applyFont="1" applyAlignment="1">
      <alignment vertical="top"/>
    </xf>
    <xf numFmtId="0" fontId="30" fillId="0" borderId="0" xfId="0" applyFont="1">
      <alignment vertical="center"/>
    </xf>
    <xf numFmtId="0" fontId="31" fillId="6" borderId="0" xfId="0" applyFont="1" applyFill="1">
      <alignment vertical="center"/>
    </xf>
    <xf numFmtId="0" fontId="31" fillId="6" borderId="0" xfId="0" applyFont="1" applyFill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24" fillId="0" borderId="0" xfId="0" applyFont="1" applyAlignment="1">
      <alignment horizontal="left" vertical="center"/>
    </xf>
    <xf numFmtId="0" fontId="5" fillId="0" borderId="10" xfId="0" applyFont="1" applyBorder="1">
      <alignment vertical="center"/>
    </xf>
    <xf numFmtId="0" fontId="24" fillId="0" borderId="0" xfId="0" applyFont="1" applyAlignment="1">
      <alignment horizontal="right" vertical="center"/>
    </xf>
    <xf numFmtId="14" fontId="3" fillId="0" borderId="1" xfId="0" quotePrefix="1" applyNumberFormat="1" applyFont="1" applyBorder="1">
      <alignment vertical="center"/>
    </xf>
    <xf numFmtId="0" fontId="32" fillId="2" borderId="1" xfId="0" applyFont="1" applyFill="1" applyBorder="1">
      <alignment vertical="center"/>
    </xf>
    <xf numFmtId="14" fontId="3" fillId="0" borderId="1" xfId="0" applyNumberFormat="1" applyFont="1" applyBorder="1" applyAlignment="1">
      <alignment horizontal="left" vertical="center"/>
    </xf>
    <xf numFmtId="0" fontId="4" fillId="2" borderId="3" xfId="2" applyNumberFormat="1" applyFont="1" applyFill="1" applyBorder="1">
      <alignment vertical="center"/>
    </xf>
    <xf numFmtId="0" fontId="32" fillId="5" borderId="1" xfId="0" applyFont="1" applyFill="1" applyBorder="1">
      <alignment vertical="center"/>
    </xf>
    <xf numFmtId="14" fontId="3" fillId="5" borderId="1" xfId="0" quotePrefix="1" applyNumberFormat="1" applyFont="1" applyFill="1" applyBorder="1" applyAlignment="1">
      <alignment horizontal="left" vertical="center"/>
    </xf>
    <xf numFmtId="0" fontId="3" fillId="7" borderId="7" xfId="0" applyFont="1" applyFill="1" applyBorder="1">
      <alignment vertical="center"/>
    </xf>
    <xf numFmtId="178" fontId="5" fillId="0" borderId="1" xfId="2" quotePrefix="1" applyNumberFormat="1" applyFont="1" applyBorder="1" applyAlignment="1">
      <alignment horizontal="right" vertical="center"/>
    </xf>
    <xf numFmtId="41" fontId="5" fillId="0" borderId="1" xfId="2" quotePrefix="1" applyFont="1" applyBorder="1" applyAlignment="1">
      <alignment horizontal="right" vertical="center"/>
    </xf>
    <xf numFmtId="1" fontId="5" fillId="0" borderId="1" xfId="0" quotePrefix="1" applyNumberFormat="1" applyFont="1" applyBorder="1" applyAlignment="1">
      <alignment horizontal="right" vertical="center"/>
    </xf>
    <xf numFmtId="2" fontId="5" fillId="0" borderId="1" xfId="0" quotePrefix="1" applyNumberFormat="1" applyFont="1" applyBorder="1" applyAlignment="1">
      <alignment horizontal="right" vertical="center"/>
    </xf>
    <xf numFmtId="179" fontId="5" fillId="0" borderId="1" xfId="0" quotePrefix="1" applyNumberFormat="1" applyFont="1" applyBorder="1" applyAlignment="1">
      <alignment horizontal="right" vertical="center"/>
    </xf>
    <xf numFmtId="49" fontId="3" fillId="0" borderId="1" xfId="0" quotePrefix="1" applyNumberFormat="1" applyFont="1" applyBorder="1" applyAlignment="1">
      <alignment horizontal="right" vertical="center"/>
    </xf>
    <xf numFmtId="49" fontId="3" fillId="0" borderId="1" xfId="0" applyNumberFormat="1" applyFont="1" applyBorder="1" applyAlignment="1">
      <alignment horizontal="right" vertical="center"/>
    </xf>
    <xf numFmtId="184" fontId="3" fillId="0" borderId="1" xfId="0" quotePrefix="1" applyNumberFormat="1" applyFont="1" applyBorder="1" applyAlignment="1">
      <alignment horizontal="right" vertical="center"/>
    </xf>
    <xf numFmtId="14" fontId="3" fillId="0" borderId="1" xfId="0" quotePrefix="1" applyNumberFormat="1" applyFont="1" applyBorder="1" applyAlignment="1">
      <alignment horizontal="right" vertical="center"/>
    </xf>
    <xf numFmtId="192" fontId="3" fillId="0" borderId="1" xfId="0" quotePrefix="1" applyNumberFormat="1" applyFont="1" applyBorder="1" applyAlignment="1">
      <alignment horizontal="right" vertical="center"/>
    </xf>
    <xf numFmtId="176" fontId="33" fillId="0" borderId="1" xfId="0" applyNumberFormat="1" applyFont="1" applyBorder="1">
      <alignment vertical="center"/>
    </xf>
    <xf numFmtId="2" fontId="4" fillId="7" borderId="5" xfId="0" applyNumberFormat="1" applyFont="1" applyFill="1" applyBorder="1">
      <alignment vertical="center"/>
    </xf>
    <xf numFmtId="0" fontId="3" fillId="4" borderId="1" xfId="0" applyFont="1" applyFill="1" applyBorder="1" applyAlignment="1">
      <alignment horizontal="left" vertical="center"/>
    </xf>
    <xf numFmtId="176" fontId="3" fillId="4" borderId="1" xfId="0" applyNumberFormat="1" applyFont="1" applyFill="1" applyBorder="1">
      <alignment vertical="center"/>
    </xf>
    <xf numFmtId="177" fontId="3" fillId="4" borderId="1" xfId="0" applyNumberFormat="1" applyFont="1" applyFill="1" applyBorder="1">
      <alignment vertical="center"/>
    </xf>
    <xf numFmtId="14" fontId="3" fillId="4" borderId="1" xfId="0" quotePrefix="1" applyNumberFormat="1" applyFont="1" applyFill="1" applyBorder="1" applyAlignment="1">
      <alignment horizontal="left" vertical="center"/>
    </xf>
    <xf numFmtId="14" fontId="3" fillId="4" borderId="1" xfId="0" quotePrefix="1" applyNumberFormat="1" applyFont="1" applyFill="1" applyBorder="1">
      <alignment vertical="center"/>
    </xf>
    <xf numFmtId="0" fontId="4" fillId="4" borderId="6" xfId="0" applyFont="1" applyFill="1" applyBorder="1" applyAlignment="1">
      <alignment horizontal="left" vertical="center"/>
    </xf>
    <xf numFmtId="0" fontId="4" fillId="4" borderId="1" xfId="0" applyFont="1" applyFill="1" applyBorder="1">
      <alignment vertical="center"/>
    </xf>
    <xf numFmtId="185" fontId="3" fillId="4" borderId="1" xfId="0" applyNumberFormat="1" applyFont="1" applyFill="1" applyBorder="1">
      <alignment vertical="center"/>
    </xf>
    <xf numFmtId="49" fontId="3" fillId="4" borderId="1" xfId="0" applyNumberFormat="1" applyFont="1" applyFill="1" applyBorder="1">
      <alignment vertical="center"/>
    </xf>
    <xf numFmtId="0" fontId="4" fillId="4" borderId="6" xfId="0" applyFont="1" applyFill="1" applyBorder="1">
      <alignment vertical="center"/>
    </xf>
    <xf numFmtId="2" fontId="4" fillId="4" borderId="5" xfId="0" applyNumberFormat="1" applyFont="1" applyFill="1" applyBorder="1" applyAlignment="1">
      <alignment horizontal="left" vertical="center"/>
    </xf>
    <xf numFmtId="2" fontId="4" fillId="4" borderId="6" xfId="0" applyNumberFormat="1" applyFont="1" applyFill="1" applyBorder="1" applyAlignment="1">
      <alignment horizontal="left" vertical="center"/>
    </xf>
    <xf numFmtId="2" fontId="4" fillId="4" borderId="7" xfId="0" applyNumberFormat="1" applyFont="1" applyFill="1" applyBorder="1" applyAlignment="1">
      <alignment horizontal="left" vertical="center"/>
    </xf>
    <xf numFmtId="2" fontId="4" fillId="7" borderId="5" xfId="0" applyNumberFormat="1" applyFont="1" applyFill="1" applyBorder="1">
      <alignment vertical="center"/>
    </xf>
    <xf numFmtId="0" fontId="4" fillId="7" borderId="6" xfId="0" applyFont="1" applyFill="1" applyBorder="1">
      <alignment vertical="center"/>
    </xf>
    <xf numFmtId="0" fontId="4" fillId="7" borderId="7" xfId="0" applyFont="1" applyFill="1" applyBorder="1">
      <alignment vertical="center"/>
    </xf>
    <xf numFmtId="0" fontId="8" fillId="6" borderId="0" xfId="0" applyFont="1" applyFill="1" applyAlignment="1">
      <alignment horizontal="left" vertical="center"/>
    </xf>
    <xf numFmtId="0" fontId="4" fillId="7" borderId="5" xfId="0" applyFont="1" applyFill="1" applyBorder="1" applyAlignment="1">
      <alignment horizontal="left" vertical="center"/>
    </xf>
    <xf numFmtId="0" fontId="4" fillId="7" borderId="6" xfId="0" applyFont="1" applyFill="1" applyBorder="1" applyAlignment="1">
      <alignment horizontal="left" vertical="center"/>
    </xf>
    <xf numFmtId="0" fontId="4" fillId="7" borderId="7" xfId="0" applyFont="1" applyFill="1" applyBorder="1" applyAlignment="1">
      <alignment horizontal="left" vertical="center"/>
    </xf>
    <xf numFmtId="0" fontId="4" fillId="7" borderId="5" xfId="0" applyFont="1" applyFill="1" applyBorder="1" applyAlignment="1">
      <alignment horizontal="center" vertical="center"/>
    </xf>
    <xf numFmtId="0" fontId="4" fillId="7" borderId="7" xfId="0" applyFont="1" applyFill="1" applyBorder="1" applyAlignment="1">
      <alignment horizontal="center" vertical="center"/>
    </xf>
    <xf numFmtId="3" fontId="4" fillId="7" borderId="5" xfId="0" applyNumberFormat="1" applyFont="1" applyFill="1" applyBorder="1" applyAlignment="1">
      <alignment horizontal="center" vertical="center"/>
    </xf>
    <xf numFmtId="3" fontId="4" fillId="7" borderId="7" xfId="0" applyNumberFormat="1" applyFont="1" applyFill="1" applyBorder="1" applyAlignment="1">
      <alignment horizontal="center" vertical="center"/>
    </xf>
    <xf numFmtId="0" fontId="10" fillId="6" borderId="0" xfId="0" applyFont="1" applyFill="1">
      <alignment vertical="center"/>
    </xf>
    <xf numFmtId="0" fontId="4" fillId="4" borderId="5" xfId="0" applyFont="1" applyFill="1" applyBorder="1" applyAlignment="1">
      <alignment horizontal="center" vertical="center"/>
    </xf>
    <xf numFmtId="0" fontId="4" fillId="4" borderId="7" xfId="0" applyFont="1" applyFill="1" applyBorder="1" applyAlignment="1">
      <alignment horizontal="center" vertical="center"/>
    </xf>
    <xf numFmtId="3" fontId="4" fillId="4" borderId="5" xfId="0" quotePrefix="1" applyNumberFormat="1" applyFont="1" applyFill="1" applyBorder="1" applyAlignment="1">
      <alignment horizontal="center" vertical="center"/>
    </xf>
    <xf numFmtId="3" fontId="4" fillId="4" borderId="7" xfId="0" quotePrefix="1" applyNumberFormat="1" applyFont="1" applyFill="1" applyBorder="1" applyAlignment="1">
      <alignment horizontal="center" vertical="center"/>
    </xf>
    <xf numFmtId="0" fontId="10" fillId="6" borderId="0" xfId="0" applyFont="1" applyFill="1" applyAlignment="1">
      <alignment horizontal="left" vertical="center"/>
    </xf>
    <xf numFmtId="0" fontId="5" fillId="0" borderId="0" xfId="0" quotePrefix="1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29" fillId="0" borderId="0" xfId="0" applyFont="1" applyAlignment="1">
      <alignment horizontal="left" vertical="top" wrapText="1"/>
    </xf>
    <xf numFmtId="0" fontId="25" fillId="0" borderId="0" xfId="0" applyFont="1" applyAlignment="1">
      <alignment horizontal="left" vertical="center"/>
    </xf>
    <xf numFmtId="0" fontId="34" fillId="0" borderId="0" xfId="0" applyFont="1">
      <alignment vertical="center"/>
    </xf>
  </cellXfs>
  <cellStyles count="4">
    <cellStyle name="백분율" xfId="3" builtinId="5"/>
    <cellStyle name="쉼표 [0]" xfId="2" builtinId="6"/>
    <cellStyle name="표준" xfId="0" builtinId="0"/>
    <cellStyle name="표준 2" xfId="1" xr:uid="{BAE2891E-E58E-4F54-9F8D-9ACED42215CE}"/>
  </cellStyles>
  <dxfs count="92"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ill>
        <patternFill>
          <bgColor theme="7" tint="0.79998168889431442"/>
        </patternFill>
      </fill>
    </dxf>
    <dxf>
      <font>
        <b/>
        <i val="0"/>
      </font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2</xdr:row>
          <xdr:rowOff>9525</xdr:rowOff>
        </xdr:from>
        <xdr:to>
          <xdr:col>5</xdr:col>
          <xdr:colOff>1228725</xdr:colOff>
          <xdr:row>2</xdr:row>
          <xdr:rowOff>133350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1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9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10886</xdr:colOff>
      <xdr:row>18</xdr:row>
      <xdr:rowOff>104775</xdr:rowOff>
    </xdr:from>
    <xdr:to>
      <xdr:col>12</xdr:col>
      <xdr:colOff>421146</xdr:colOff>
      <xdr:row>40</xdr:row>
      <xdr:rowOff>149689</xdr:rowOff>
    </xdr:to>
    <xdr:pic>
      <xdr:nvPicPr>
        <xdr:cNvPr id="2" name="Picture 8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0049" y="4138613"/>
          <a:ext cx="6234795" cy="3695702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1</xdr:col>
      <xdr:colOff>304800</xdr:colOff>
      <xdr:row>51</xdr:row>
      <xdr:rowOff>9525</xdr:rowOff>
    </xdr:from>
    <xdr:to>
      <xdr:col>8</xdr:col>
      <xdr:colOff>123825</xdr:colOff>
      <xdr:row>54</xdr:row>
      <xdr:rowOff>138113</xdr:rowOff>
    </xdr:to>
    <xdr:grpSp>
      <xdr:nvGrpSpPr>
        <xdr:cNvPr id="3" name="Group 8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pSpPr>
          <a:grpSpLocks/>
        </xdr:cNvGrpSpPr>
      </xdr:nvGrpSpPr>
      <xdr:grpSpPr bwMode="auto">
        <a:xfrm>
          <a:off x="590550" y="10410825"/>
          <a:ext cx="3648075" cy="642938"/>
          <a:chOff x="32" y="5290"/>
          <a:chExt cx="753" cy="95"/>
        </a:xfrm>
      </xdr:grpSpPr>
      <xdr:sp macro="" textlink="">
        <xdr:nvSpPr>
          <xdr:cNvPr id="4" name="Rectangle 83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SpPr>
            <a:spLocks noChangeArrowheads="1"/>
          </xdr:cNvSpPr>
        </xdr:nvSpPr>
        <xdr:spPr bwMode="auto">
          <a:xfrm>
            <a:off x="33" y="5290"/>
            <a:ext cx="739" cy="9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5" name="Line 84">
            <a:extLst>
              <a:ext uri="{FF2B5EF4-FFF2-40B4-BE49-F238E27FC236}">
                <a16:creationId xmlns:a16="http://schemas.microsoft.com/office/drawing/2014/main" id="{00000000-0008-0000-0300-000005000000}"/>
              </a:ext>
            </a:extLst>
          </xdr:cNvPr>
          <xdr:cNvSpPr>
            <a:spLocks noChangeShapeType="1"/>
          </xdr:cNvSpPr>
        </xdr:nvSpPr>
        <xdr:spPr bwMode="auto">
          <a:xfrm>
            <a:off x="75" y="5339"/>
            <a:ext cx="646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6" name="Line 85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SpPr>
            <a:spLocks noChangeShapeType="1"/>
          </xdr:cNvSpPr>
        </xdr:nvSpPr>
        <xdr:spPr bwMode="auto">
          <a:xfrm>
            <a:off x="73" y="5327"/>
            <a:ext cx="0" cy="2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" name="Line 86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SpPr>
            <a:spLocks noChangeShapeType="1"/>
          </xdr:cNvSpPr>
        </xdr:nvSpPr>
        <xdr:spPr bwMode="auto">
          <a:xfrm>
            <a:off x="721" y="5328"/>
            <a:ext cx="0" cy="2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8" name="Line 87">
            <a:extLst>
              <a:ext uri="{FF2B5EF4-FFF2-40B4-BE49-F238E27FC236}">
                <a16:creationId xmlns:a16="http://schemas.microsoft.com/office/drawing/2014/main" id="{00000000-0008-0000-0300-000008000000}"/>
              </a:ext>
            </a:extLst>
          </xdr:cNvPr>
          <xdr:cNvSpPr>
            <a:spLocks noChangeShapeType="1"/>
          </xdr:cNvSpPr>
        </xdr:nvSpPr>
        <xdr:spPr bwMode="auto">
          <a:xfrm>
            <a:off x="175" y="5328"/>
            <a:ext cx="0" cy="2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9" name="Line 88">
            <a:extLst>
              <a:ext uri="{FF2B5EF4-FFF2-40B4-BE49-F238E27FC236}">
                <a16:creationId xmlns:a16="http://schemas.microsoft.com/office/drawing/2014/main" id="{00000000-0008-0000-0300-000009000000}"/>
              </a:ext>
            </a:extLst>
          </xdr:cNvPr>
          <xdr:cNvSpPr>
            <a:spLocks noChangeShapeType="1"/>
          </xdr:cNvSpPr>
        </xdr:nvSpPr>
        <xdr:spPr bwMode="auto">
          <a:xfrm>
            <a:off x="270" y="5328"/>
            <a:ext cx="0" cy="27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0" name="Line 89">
            <a:extLst>
              <a:ext uri="{FF2B5EF4-FFF2-40B4-BE49-F238E27FC236}">
                <a16:creationId xmlns:a16="http://schemas.microsoft.com/office/drawing/2014/main" id="{00000000-0008-0000-0300-00000A000000}"/>
              </a:ext>
            </a:extLst>
          </xdr:cNvPr>
          <xdr:cNvSpPr>
            <a:spLocks noChangeShapeType="1"/>
          </xdr:cNvSpPr>
        </xdr:nvSpPr>
        <xdr:spPr bwMode="auto">
          <a:xfrm>
            <a:off x="334" y="5328"/>
            <a:ext cx="0" cy="2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1" name="Line 90">
            <a:extLst>
              <a:ext uri="{FF2B5EF4-FFF2-40B4-BE49-F238E27FC236}">
                <a16:creationId xmlns:a16="http://schemas.microsoft.com/office/drawing/2014/main" id="{00000000-0008-0000-0300-00000B000000}"/>
              </a:ext>
            </a:extLst>
          </xdr:cNvPr>
          <xdr:cNvSpPr>
            <a:spLocks noChangeShapeType="1"/>
          </xdr:cNvSpPr>
        </xdr:nvSpPr>
        <xdr:spPr bwMode="auto">
          <a:xfrm>
            <a:off x="390" y="5328"/>
            <a:ext cx="0" cy="2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2" name="Line 91">
            <a:extLst>
              <a:ext uri="{FF2B5EF4-FFF2-40B4-BE49-F238E27FC236}">
                <a16:creationId xmlns:a16="http://schemas.microsoft.com/office/drawing/2014/main" id="{00000000-0008-0000-0300-00000C000000}"/>
              </a:ext>
            </a:extLst>
          </xdr:cNvPr>
          <xdr:cNvSpPr>
            <a:spLocks noChangeShapeType="1"/>
          </xdr:cNvSpPr>
        </xdr:nvSpPr>
        <xdr:spPr bwMode="auto">
          <a:xfrm>
            <a:off x="450" y="5328"/>
            <a:ext cx="0" cy="2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3" name="Line 92">
            <a:extLst>
              <a:ext uri="{FF2B5EF4-FFF2-40B4-BE49-F238E27FC236}">
                <a16:creationId xmlns:a16="http://schemas.microsoft.com/office/drawing/2014/main" id="{00000000-0008-0000-0300-00000D000000}"/>
              </a:ext>
            </a:extLst>
          </xdr:cNvPr>
          <xdr:cNvSpPr>
            <a:spLocks noChangeShapeType="1"/>
          </xdr:cNvSpPr>
        </xdr:nvSpPr>
        <xdr:spPr bwMode="auto">
          <a:xfrm>
            <a:off x="507" y="5328"/>
            <a:ext cx="0" cy="2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4" name="Line 93">
            <a:extLst>
              <a:ext uri="{FF2B5EF4-FFF2-40B4-BE49-F238E27FC236}">
                <a16:creationId xmlns:a16="http://schemas.microsoft.com/office/drawing/2014/main" id="{00000000-0008-0000-0300-00000E000000}"/>
              </a:ext>
            </a:extLst>
          </xdr:cNvPr>
          <xdr:cNvSpPr>
            <a:spLocks noChangeShapeType="1"/>
          </xdr:cNvSpPr>
        </xdr:nvSpPr>
        <xdr:spPr bwMode="auto">
          <a:xfrm>
            <a:off x="565" y="5328"/>
            <a:ext cx="0" cy="2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5" name="Line 94">
            <a:extLst>
              <a:ext uri="{FF2B5EF4-FFF2-40B4-BE49-F238E27FC236}">
                <a16:creationId xmlns:a16="http://schemas.microsoft.com/office/drawing/2014/main" id="{00000000-0008-0000-0300-00000F000000}"/>
              </a:ext>
            </a:extLst>
          </xdr:cNvPr>
          <xdr:cNvSpPr>
            <a:spLocks noChangeShapeType="1"/>
          </xdr:cNvSpPr>
        </xdr:nvSpPr>
        <xdr:spPr bwMode="auto">
          <a:xfrm>
            <a:off x="624" y="5328"/>
            <a:ext cx="0" cy="2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6" name="Rectangle 95">
            <a:extLst>
              <a:ext uri="{FF2B5EF4-FFF2-40B4-BE49-F238E27FC236}">
                <a16:creationId xmlns:a16="http://schemas.microsoft.com/office/drawing/2014/main" id="{00000000-0008-0000-0300-000010000000}"/>
              </a:ext>
            </a:extLst>
          </xdr:cNvPr>
          <xdr:cNvSpPr>
            <a:spLocks noChangeArrowheads="1"/>
          </xdr:cNvSpPr>
        </xdr:nvSpPr>
        <xdr:spPr bwMode="auto">
          <a:xfrm>
            <a:off x="688" y="5307"/>
            <a:ext cx="60" cy="1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10,200</a:t>
            </a:r>
          </a:p>
        </xdr:txBody>
      </xdr:sp>
      <xdr:sp macro="" textlink="">
        <xdr:nvSpPr>
          <xdr:cNvPr id="17" name="Rectangle 96">
            <a:extLst>
              <a:ext uri="{FF2B5EF4-FFF2-40B4-BE49-F238E27FC236}">
                <a16:creationId xmlns:a16="http://schemas.microsoft.com/office/drawing/2014/main" id="{00000000-0008-0000-0300-000011000000}"/>
              </a:ext>
            </a:extLst>
          </xdr:cNvPr>
          <xdr:cNvSpPr>
            <a:spLocks noChangeArrowheads="1"/>
          </xdr:cNvSpPr>
        </xdr:nvSpPr>
        <xdr:spPr bwMode="auto">
          <a:xfrm>
            <a:off x="603" y="5307"/>
            <a:ext cx="41" cy="1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</a:t>
            </a:r>
          </a:p>
        </xdr:txBody>
      </xdr:sp>
      <xdr:sp macro="" textlink="">
        <xdr:nvSpPr>
          <xdr:cNvPr id="18" name="Rectangle 97">
            <a:extLst>
              <a:ext uri="{FF2B5EF4-FFF2-40B4-BE49-F238E27FC236}">
                <a16:creationId xmlns:a16="http://schemas.microsoft.com/office/drawing/2014/main" id="{00000000-0008-0000-0300-000012000000}"/>
              </a:ext>
            </a:extLst>
          </xdr:cNvPr>
          <xdr:cNvSpPr>
            <a:spLocks noChangeArrowheads="1"/>
          </xdr:cNvSpPr>
        </xdr:nvSpPr>
        <xdr:spPr bwMode="auto">
          <a:xfrm>
            <a:off x="545" y="5307"/>
            <a:ext cx="41" cy="1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</a:t>
            </a:r>
          </a:p>
        </xdr:txBody>
      </xdr:sp>
      <xdr:sp macro="" textlink="">
        <xdr:nvSpPr>
          <xdr:cNvPr id="19" name="Rectangle 98">
            <a:extLst>
              <a:ext uri="{FF2B5EF4-FFF2-40B4-BE49-F238E27FC236}">
                <a16:creationId xmlns:a16="http://schemas.microsoft.com/office/drawing/2014/main" id="{00000000-0008-0000-0300-000013000000}"/>
              </a:ext>
            </a:extLst>
          </xdr:cNvPr>
          <xdr:cNvSpPr>
            <a:spLocks noChangeArrowheads="1"/>
          </xdr:cNvSpPr>
        </xdr:nvSpPr>
        <xdr:spPr bwMode="auto">
          <a:xfrm>
            <a:off x="487" y="5307"/>
            <a:ext cx="41" cy="1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</a:t>
            </a:r>
          </a:p>
        </xdr:txBody>
      </xdr:sp>
      <xdr:sp macro="" textlink="">
        <xdr:nvSpPr>
          <xdr:cNvPr id="20" name="Rectangle 99">
            <a:extLst>
              <a:ext uri="{FF2B5EF4-FFF2-40B4-BE49-F238E27FC236}">
                <a16:creationId xmlns:a16="http://schemas.microsoft.com/office/drawing/2014/main" id="{00000000-0008-0000-0300-000014000000}"/>
              </a:ext>
            </a:extLst>
          </xdr:cNvPr>
          <xdr:cNvSpPr>
            <a:spLocks noChangeArrowheads="1"/>
          </xdr:cNvSpPr>
        </xdr:nvSpPr>
        <xdr:spPr bwMode="auto">
          <a:xfrm>
            <a:off x="430" y="5307"/>
            <a:ext cx="41" cy="1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</a:t>
            </a:r>
          </a:p>
        </xdr:txBody>
      </xdr:sp>
      <xdr:sp macro="" textlink="">
        <xdr:nvSpPr>
          <xdr:cNvPr id="21" name="Rectangle 100">
            <a:extLst>
              <a:ext uri="{FF2B5EF4-FFF2-40B4-BE49-F238E27FC236}">
                <a16:creationId xmlns:a16="http://schemas.microsoft.com/office/drawing/2014/main" id="{00000000-0008-0000-0300-000015000000}"/>
              </a:ext>
            </a:extLst>
          </xdr:cNvPr>
          <xdr:cNvSpPr>
            <a:spLocks noChangeArrowheads="1"/>
          </xdr:cNvSpPr>
        </xdr:nvSpPr>
        <xdr:spPr bwMode="auto">
          <a:xfrm>
            <a:off x="371" y="5307"/>
            <a:ext cx="42" cy="1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</a:t>
            </a:r>
          </a:p>
        </xdr:txBody>
      </xdr:sp>
      <xdr:sp macro="" textlink="">
        <xdr:nvSpPr>
          <xdr:cNvPr id="22" name="Rectangle 101">
            <a:extLst>
              <a:ext uri="{FF2B5EF4-FFF2-40B4-BE49-F238E27FC236}">
                <a16:creationId xmlns:a16="http://schemas.microsoft.com/office/drawing/2014/main" id="{00000000-0008-0000-0300-000016000000}"/>
              </a:ext>
            </a:extLst>
          </xdr:cNvPr>
          <xdr:cNvSpPr>
            <a:spLocks noChangeArrowheads="1"/>
          </xdr:cNvSpPr>
        </xdr:nvSpPr>
        <xdr:spPr bwMode="auto">
          <a:xfrm>
            <a:off x="315" y="5307"/>
            <a:ext cx="42" cy="1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</a:t>
            </a:r>
          </a:p>
        </xdr:txBody>
      </xdr:sp>
      <xdr:sp macro="" textlink="">
        <xdr:nvSpPr>
          <xdr:cNvPr id="23" name="Rectangle 102">
            <a:extLst>
              <a:ext uri="{FF2B5EF4-FFF2-40B4-BE49-F238E27FC236}">
                <a16:creationId xmlns:a16="http://schemas.microsoft.com/office/drawing/2014/main" id="{00000000-0008-0000-0300-000017000000}"/>
              </a:ext>
            </a:extLst>
          </xdr:cNvPr>
          <xdr:cNvSpPr>
            <a:spLocks noChangeArrowheads="1"/>
          </xdr:cNvSpPr>
        </xdr:nvSpPr>
        <xdr:spPr bwMode="auto">
          <a:xfrm>
            <a:off x="250" y="5307"/>
            <a:ext cx="40" cy="1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</a:t>
            </a:r>
          </a:p>
        </xdr:txBody>
      </xdr:sp>
      <xdr:sp macro="" textlink="">
        <xdr:nvSpPr>
          <xdr:cNvPr id="24" name="Rectangle 103">
            <a:extLst>
              <a:ext uri="{FF2B5EF4-FFF2-40B4-BE49-F238E27FC236}">
                <a16:creationId xmlns:a16="http://schemas.microsoft.com/office/drawing/2014/main" id="{00000000-0008-0000-0300-000018000000}"/>
              </a:ext>
            </a:extLst>
          </xdr:cNvPr>
          <xdr:cNvSpPr>
            <a:spLocks noChangeArrowheads="1"/>
          </xdr:cNvSpPr>
        </xdr:nvSpPr>
        <xdr:spPr bwMode="auto">
          <a:xfrm>
            <a:off x="32" y="5359"/>
            <a:ext cx="95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99.8.9(발행일)</a:t>
            </a:r>
          </a:p>
        </xdr:txBody>
      </xdr:sp>
      <xdr:sp macro="" textlink="">
        <xdr:nvSpPr>
          <xdr:cNvPr id="25" name="Rectangle 104">
            <a:extLst>
              <a:ext uri="{FF2B5EF4-FFF2-40B4-BE49-F238E27FC236}">
                <a16:creationId xmlns:a16="http://schemas.microsoft.com/office/drawing/2014/main" id="{00000000-0008-0000-0300-000019000000}"/>
              </a:ext>
            </a:extLst>
          </xdr:cNvPr>
          <xdr:cNvSpPr>
            <a:spLocks noChangeArrowheads="1"/>
          </xdr:cNvSpPr>
        </xdr:nvSpPr>
        <xdr:spPr bwMode="auto">
          <a:xfrm>
            <a:off x="125" y="5359"/>
            <a:ext cx="117" cy="21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2000.10.4(매매일)</a:t>
            </a:r>
          </a:p>
        </xdr:txBody>
      </xdr:sp>
      <xdr:sp macro="" textlink="">
        <xdr:nvSpPr>
          <xdr:cNvPr id="26" name="Rectangle 105">
            <a:extLst>
              <a:ext uri="{FF2B5EF4-FFF2-40B4-BE49-F238E27FC236}">
                <a16:creationId xmlns:a16="http://schemas.microsoft.com/office/drawing/2014/main" id="{00000000-0008-0000-0300-00001A000000}"/>
              </a:ext>
            </a:extLst>
          </xdr:cNvPr>
          <xdr:cNvSpPr>
            <a:spLocks noChangeArrowheads="1"/>
          </xdr:cNvSpPr>
        </xdr:nvSpPr>
        <xdr:spPr bwMode="auto">
          <a:xfrm>
            <a:off x="661" y="5359"/>
            <a:ext cx="124" cy="22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2002.8.9(만기일)</a:t>
            </a:r>
          </a:p>
        </xdr:txBody>
      </xdr:sp>
      <xdr:sp macro="" textlink="">
        <xdr:nvSpPr>
          <xdr:cNvPr id="27" name="Rectangle 106">
            <a:extLst>
              <a:ext uri="{FF2B5EF4-FFF2-40B4-BE49-F238E27FC236}">
                <a16:creationId xmlns:a16="http://schemas.microsoft.com/office/drawing/2014/main" id="{00000000-0008-0000-0300-00001B000000}"/>
              </a:ext>
            </a:extLst>
          </xdr:cNvPr>
          <xdr:cNvSpPr>
            <a:spLocks noChangeArrowheads="1"/>
          </xdr:cNvSpPr>
        </xdr:nvSpPr>
        <xdr:spPr bwMode="auto">
          <a:xfrm>
            <a:off x="238" y="5359"/>
            <a:ext cx="61" cy="1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2000.11.9</a:t>
            </a:r>
          </a:p>
        </xdr:txBody>
      </xdr:sp>
      <xdr:sp macro="" textlink="">
        <xdr:nvSpPr>
          <xdr:cNvPr id="28" name="Rectangle 107">
            <a:extLst>
              <a:ext uri="{FF2B5EF4-FFF2-40B4-BE49-F238E27FC236}">
                <a16:creationId xmlns:a16="http://schemas.microsoft.com/office/drawing/2014/main" id="{00000000-0008-0000-0300-00001C000000}"/>
              </a:ext>
            </a:extLst>
          </xdr:cNvPr>
          <xdr:cNvSpPr>
            <a:spLocks noChangeArrowheads="1"/>
          </xdr:cNvSpPr>
        </xdr:nvSpPr>
        <xdr:spPr bwMode="auto">
          <a:xfrm>
            <a:off x="303" y="5359"/>
            <a:ext cx="61" cy="1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18288" rIns="27432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2001.2.9</a:t>
            </a:r>
          </a:p>
        </xdr:txBody>
      </xdr:sp>
      <xdr:sp macro="" textlink="">
        <xdr:nvSpPr>
          <xdr:cNvPr id="29" name="Rectangle 108">
            <a:extLst>
              <a:ext uri="{FF2B5EF4-FFF2-40B4-BE49-F238E27FC236}">
                <a16:creationId xmlns:a16="http://schemas.microsoft.com/office/drawing/2014/main" id="{00000000-0008-0000-0300-00001D000000}"/>
              </a:ext>
            </a:extLst>
          </xdr:cNvPr>
          <xdr:cNvSpPr>
            <a:spLocks noChangeArrowheads="1"/>
          </xdr:cNvSpPr>
        </xdr:nvSpPr>
        <xdr:spPr bwMode="auto">
          <a:xfrm>
            <a:off x="359" y="5359"/>
            <a:ext cx="61" cy="1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18288" rIns="27432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2001.5.9</a:t>
            </a:r>
          </a:p>
        </xdr:txBody>
      </xdr:sp>
      <xdr:sp macro="" textlink="">
        <xdr:nvSpPr>
          <xdr:cNvPr id="30" name="Rectangle 109">
            <a:extLst>
              <a:ext uri="{FF2B5EF4-FFF2-40B4-BE49-F238E27FC236}">
                <a16:creationId xmlns:a16="http://schemas.microsoft.com/office/drawing/2014/main" id="{00000000-0008-0000-0300-00001E000000}"/>
              </a:ext>
            </a:extLst>
          </xdr:cNvPr>
          <xdr:cNvSpPr>
            <a:spLocks noChangeArrowheads="1"/>
          </xdr:cNvSpPr>
        </xdr:nvSpPr>
        <xdr:spPr bwMode="auto">
          <a:xfrm>
            <a:off x="420" y="5359"/>
            <a:ext cx="61" cy="1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18288" rIns="27432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2001.8.9</a:t>
            </a:r>
          </a:p>
        </xdr:txBody>
      </xdr:sp>
      <xdr:sp macro="" textlink="">
        <xdr:nvSpPr>
          <xdr:cNvPr id="31" name="Rectangle 110">
            <a:extLst>
              <a:ext uri="{FF2B5EF4-FFF2-40B4-BE49-F238E27FC236}">
                <a16:creationId xmlns:a16="http://schemas.microsoft.com/office/drawing/2014/main" id="{00000000-0008-0000-0300-00001F000000}"/>
              </a:ext>
            </a:extLst>
          </xdr:cNvPr>
          <xdr:cNvSpPr>
            <a:spLocks noChangeArrowheads="1"/>
          </xdr:cNvSpPr>
        </xdr:nvSpPr>
        <xdr:spPr bwMode="auto">
          <a:xfrm>
            <a:off x="479" y="5359"/>
            <a:ext cx="61" cy="1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18288" rIns="27432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2001.11.9</a:t>
            </a:r>
          </a:p>
        </xdr:txBody>
      </xdr:sp>
      <xdr:sp macro="" textlink="">
        <xdr:nvSpPr>
          <xdr:cNvPr id="32" name="Rectangle 111">
            <a:extLst>
              <a:ext uri="{FF2B5EF4-FFF2-40B4-BE49-F238E27FC236}">
                <a16:creationId xmlns:a16="http://schemas.microsoft.com/office/drawing/2014/main" id="{00000000-0008-0000-0300-000020000000}"/>
              </a:ext>
            </a:extLst>
          </xdr:cNvPr>
          <xdr:cNvSpPr>
            <a:spLocks noChangeArrowheads="1"/>
          </xdr:cNvSpPr>
        </xdr:nvSpPr>
        <xdr:spPr bwMode="auto">
          <a:xfrm>
            <a:off x="541" y="5359"/>
            <a:ext cx="61" cy="1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18288" rIns="27432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2002.2.9</a:t>
            </a:r>
          </a:p>
        </xdr:txBody>
      </xdr:sp>
      <xdr:sp macro="" textlink="">
        <xdr:nvSpPr>
          <xdr:cNvPr id="33" name="Rectangle 112">
            <a:extLst>
              <a:ext uri="{FF2B5EF4-FFF2-40B4-BE49-F238E27FC236}">
                <a16:creationId xmlns:a16="http://schemas.microsoft.com/office/drawing/2014/main" id="{00000000-0008-0000-0300-000021000000}"/>
              </a:ext>
            </a:extLst>
          </xdr:cNvPr>
          <xdr:cNvSpPr>
            <a:spLocks noChangeArrowheads="1"/>
          </xdr:cNvSpPr>
        </xdr:nvSpPr>
        <xdr:spPr bwMode="auto">
          <a:xfrm>
            <a:off x="598" y="5359"/>
            <a:ext cx="61" cy="1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18288" rIns="27432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2002.5.9</a:t>
            </a:r>
          </a:p>
        </xdr:txBody>
      </xdr:sp>
      <xdr:sp macro="" textlink="">
        <xdr:nvSpPr>
          <xdr:cNvPr id="34" name="Line 113">
            <a:extLst>
              <a:ext uri="{FF2B5EF4-FFF2-40B4-BE49-F238E27FC236}">
                <a16:creationId xmlns:a16="http://schemas.microsoft.com/office/drawing/2014/main" id="{00000000-0008-0000-0300-000022000000}"/>
              </a:ext>
            </a:extLst>
          </xdr:cNvPr>
          <xdr:cNvSpPr>
            <a:spLocks noChangeShapeType="1"/>
          </xdr:cNvSpPr>
        </xdr:nvSpPr>
        <xdr:spPr bwMode="auto">
          <a:xfrm>
            <a:off x="127" y="5319"/>
            <a:ext cx="0" cy="36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 type="triangle" w="med" len="med"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5" name="Rectangle 114">
            <a:extLst>
              <a:ext uri="{FF2B5EF4-FFF2-40B4-BE49-F238E27FC236}">
                <a16:creationId xmlns:a16="http://schemas.microsoft.com/office/drawing/2014/main" id="{00000000-0008-0000-0300-000023000000}"/>
              </a:ext>
            </a:extLst>
          </xdr:cNvPr>
          <xdr:cNvSpPr>
            <a:spLocks noChangeArrowheads="1"/>
          </xdr:cNvSpPr>
        </xdr:nvSpPr>
        <xdr:spPr bwMode="auto">
          <a:xfrm>
            <a:off x="66" y="5303"/>
            <a:ext cx="132" cy="1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18288" rIns="27432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2000.8.9(전이표일)</a:t>
            </a: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586142-7F45-4E63-9B1B-0CF91072515A}">
  <sheetPr codeName="Sheet12"/>
  <dimension ref="B2:BR69"/>
  <sheetViews>
    <sheetView workbookViewId="0">
      <selection activeCell="D11" sqref="D11"/>
    </sheetView>
  </sheetViews>
  <sheetFormatPr defaultColWidth="8.6640625" defaultRowHeight="13.15" customHeight="1"/>
  <cols>
    <col min="1" max="1" width="3.1640625" style="1" customWidth="1"/>
    <col min="2" max="2" width="2.33203125" style="1" customWidth="1"/>
    <col min="3" max="3" width="5.33203125" style="2" customWidth="1"/>
    <col min="4" max="4" width="32.1640625" style="1" customWidth="1"/>
    <col min="5" max="5" width="25.6640625" style="1" customWidth="1"/>
    <col min="6" max="6" width="25.6640625" style="4" customWidth="1"/>
    <col min="7" max="7" width="4.33203125" style="1" customWidth="1"/>
    <col min="8" max="8" width="4.6640625" style="1" customWidth="1"/>
    <col min="9" max="9" width="2.33203125" style="1" customWidth="1"/>
    <col min="10" max="70" width="10.83203125" style="1" customWidth="1"/>
    <col min="71" max="16384" width="8.6640625" style="1"/>
  </cols>
  <sheetData>
    <row r="2" spans="2:30" s="8" customFormat="1" ht="18" customHeight="1">
      <c r="B2" s="219" t="s">
        <v>44</v>
      </c>
      <c r="C2" s="219"/>
      <c r="D2" s="219"/>
      <c r="E2" s="219"/>
      <c r="F2" s="219"/>
      <c r="G2" s="7"/>
      <c r="H2" s="232" t="s">
        <v>648</v>
      </c>
      <c r="I2" s="232"/>
      <c r="J2" s="232"/>
      <c r="K2" s="232"/>
      <c r="L2" s="232"/>
      <c r="M2" s="232"/>
      <c r="N2" s="232"/>
      <c r="O2" s="232"/>
      <c r="P2" s="232"/>
      <c r="Q2" s="232"/>
      <c r="R2" s="232"/>
      <c r="S2" s="232"/>
      <c r="T2" s="232"/>
      <c r="U2" s="232"/>
      <c r="V2" s="232"/>
      <c r="W2" s="232"/>
      <c r="X2" s="232"/>
      <c r="Y2" s="232"/>
      <c r="Z2" s="232"/>
      <c r="AA2" s="232"/>
      <c r="AB2" s="232"/>
      <c r="AC2" s="232"/>
      <c r="AD2" s="232"/>
    </row>
    <row r="4" spans="2:30" ht="13.15" customHeight="1">
      <c r="B4" s="227" t="s">
        <v>4</v>
      </c>
      <c r="C4" s="227"/>
      <c r="D4" s="227"/>
      <c r="E4" s="227"/>
      <c r="F4" s="227"/>
      <c r="H4" s="232" t="s">
        <v>5</v>
      </c>
      <c r="I4" s="232"/>
      <c r="J4" s="232"/>
      <c r="K4" s="232"/>
      <c r="L4" s="232"/>
      <c r="M4" s="232"/>
      <c r="N4" s="232"/>
      <c r="O4" s="232"/>
      <c r="P4" s="232"/>
      <c r="Q4" s="232"/>
      <c r="R4" s="232"/>
      <c r="S4" s="232"/>
      <c r="T4" s="232"/>
      <c r="U4" s="232"/>
      <c r="W4" s="227" t="s">
        <v>655</v>
      </c>
      <c r="X4" s="227"/>
      <c r="Y4" s="227"/>
      <c r="Z4" s="227"/>
      <c r="AA4" s="227"/>
      <c r="AB4" s="227"/>
      <c r="AC4" s="227"/>
      <c r="AD4" s="227"/>
    </row>
    <row r="5" spans="2:30" s="3" customFormat="1" ht="13.15" customHeight="1">
      <c r="C5" s="220" t="s">
        <v>71</v>
      </c>
      <c r="D5" s="221"/>
      <c r="E5" s="221"/>
      <c r="F5" s="222"/>
      <c r="J5" s="223" t="str">
        <f>F19</f>
        <v>IRKRW-IRS</v>
      </c>
      <c r="K5" s="224"/>
      <c r="M5" s="225" t="str">
        <f>F21</f>
        <v>IRKRW-Treasury-CSR</v>
      </c>
      <c r="N5" s="226"/>
      <c r="P5" s="228" t="str">
        <f>IF(X14="F", X13, "")</f>
        <v/>
      </c>
      <c r="Q5" s="229"/>
      <c r="S5" s="228" t="str">
        <f>IF(AA14="F", AA13, "")</f>
        <v/>
      </c>
      <c r="T5" s="229"/>
      <c r="W5" s="230"/>
      <c r="X5" s="231"/>
      <c r="Z5" s="230"/>
      <c r="AA5" s="231"/>
    </row>
    <row r="6" spans="2:30" s="12" customFormat="1" ht="13.15" customHeight="1">
      <c r="C6" s="13" t="s">
        <v>3</v>
      </c>
      <c r="D6" s="14" t="s">
        <v>8</v>
      </c>
      <c r="E6" s="14" t="s">
        <v>85</v>
      </c>
      <c r="F6" s="14" t="s">
        <v>2</v>
      </c>
      <c r="G6" s="12" t="s">
        <v>9</v>
      </c>
      <c r="I6" s="3"/>
      <c r="J6" s="5" t="s">
        <v>104</v>
      </c>
      <c r="K6" s="17" t="s">
        <v>459</v>
      </c>
      <c r="L6" s="48"/>
      <c r="M6" s="5" t="s">
        <v>104</v>
      </c>
      <c r="N6" s="17"/>
      <c r="P6" s="203" t="s">
        <v>104</v>
      </c>
      <c r="Q6" s="33"/>
      <c r="S6" s="203" t="s">
        <v>104</v>
      </c>
      <c r="T6" s="33"/>
      <c r="W6" s="33" t="s">
        <v>649</v>
      </c>
      <c r="X6" s="33"/>
      <c r="Z6" s="33" t="s">
        <v>649</v>
      </c>
      <c r="AA6" s="33"/>
    </row>
    <row r="7" spans="2:30" ht="13.15" customHeight="1">
      <c r="C7" s="16">
        <v>1</v>
      </c>
      <c r="D7" s="34" t="s">
        <v>45</v>
      </c>
      <c r="E7" s="34" t="s">
        <v>637</v>
      </c>
      <c r="F7" s="42" t="s">
        <v>617</v>
      </c>
      <c r="G7" s="1" t="s">
        <v>9</v>
      </c>
      <c r="J7" s="5" t="s">
        <v>105</v>
      </c>
      <c r="K7" s="17" t="s">
        <v>460</v>
      </c>
      <c r="L7" s="4"/>
      <c r="M7" s="5" t="s">
        <v>105</v>
      </c>
      <c r="N7" s="17"/>
      <c r="P7" s="203" t="s">
        <v>105</v>
      </c>
      <c r="Q7" s="33"/>
      <c r="S7" s="203" t="s">
        <v>105</v>
      </c>
      <c r="T7" s="33"/>
      <c r="W7" s="33" t="s">
        <v>650</v>
      </c>
      <c r="X7" s="33"/>
      <c r="Z7" s="33" t="s">
        <v>650</v>
      </c>
      <c r="AA7" s="33"/>
    </row>
    <row r="8" spans="2:30" ht="13.15" customHeight="1">
      <c r="C8" s="16">
        <v>2</v>
      </c>
      <c r="D8" s="34" t="s">
        <v>24</v>
      </c>
      <c r="E8" s="34" t="s">
        <v>26</v>
      </c>
      <c r="F8" s="42" t="s">
        <v>619</v>
      </c>
      <c r="G8" s="1" t="s">
        <v>9</v>
      </c>
      <c r="J8" s="5" t="s">
        <v>107</v>
      </c>
      <c r="K8" s="17" t="s">
        <v>305</v>
      </c>
      <c r="L8" s="4"/>
      <c r="M8" s="5" t="s">
        <v>107</v>
      </c>
      <c r="N8" s="17"/>
      <c r="P8" s="203" t="s">
        <v>107</v>
      </c>
      <c r="Q8" s="33"/>
      <c r="S8" s="203" t="s">
        <v>107</v>
      </c>
      <c r="T8" s="33"/>
      <c r="W8" s="33" t="s">
        <v>651</v>
      </c>
      <c r="X8" s="33"/>
      <c r="Z8" s="33" t="s">
        <v>651</v>
      </c>
      <c r="AA8" s="33"/>
    </row>
    <row r="9" spans="2:30" ht="13.15" customHeight="1">
      <c r="C9" s="16">
        <v>3</v>
      </c>
      <c r="D9" s="34" t="s">
        <v>23</v>
      </c>
      <c r="E9" s="34" t="s">
        <v>0</v>
      </c>
      <c r="F9" s="42" t="s">
        <v>621</v>
      </c>
      <c r="G9" s="1" t="s">
        <v>9</v>
      </c>
      <c r="J9" s="5" t="s">
        <v>108</v>
      </c>
      <c r="K9" s="17" t="s">
        <v>461</v>
      </c>
      <c r="L9" s="4"/>
      <c r="M9" s="5" t="s">
        <v>108</v>
      </c>
      <c r="N9" s="17"/>
      <c r="P9" s="203" t="s">
        <v>108</v>
      </c>
      <c r="Q9" s="33"/>
      <c r="S9" s="203" t="s">
        <v>108</v>
      </c>
      <c r="T9" s="33"/>
      <c r="W9" s="33" t="s">
        <v>110</v>
      </c>
      <c r="X9" s="33"/>
      <c r="Z9" s="33" t="s">
        <v>110</v>
      </c>
      <c r="AA9" s="33"/>
    </row>
    <row r="10" spans="2:30" ht="13.15" customHeight="1">
      <c r="B10" s="3"/>
      <c r="C10" s="16">
        <v>4</v>
      </c>
      <c r="D10" s="34" t="s">
        <v>25</v>
      </c>
      <c r="E10" s="34" t="s">
        <v>60</v>
      </c>
      <c r="F10" s="192" t="s">
        <v>261</v>
      </c>
      <c r="G10" s="1" t="s">
        <v>9</v>
      </c>
      <c r="P10" s="2"/>
      <c r="Q10" s="2"/>
      <c r="W10" s="33" t="s">
        <v>109</v>
      </c>
      <c r="X10" s="33"/>
      <c r="Z10" s="33" t="s">
        <v>109</v>
      </c>
      <c r="AA10" s="33"/>
    </row>
    <row r="11" spans="2:30" ht="13.15" customHeight="1">
      <c r="C11" s="16">
        <v>5</v>
      </c>
      <c r="D11" s="34" t="s">
        <v>789</v>
      </c>
      <c r="E11" s="34" t="s">
        <v>28</v>
      </c>
      <c r="F11" s="194">
        <v>1.5</v>
      </c>
      <c r="G11" s="1" t="s">
        <v>9</v>
      </c>
      <c r="H11" s="15" t="s">
        <v>10</v>
      </c>
      <c r="I11" s="12"/>
      <c r="J11" s="13" t="s">
        <v>11</v>
      </c>
      <c r="K11" s="13" t="s">
        <v>12</v>
      </c>
      <c r="M11" s="13" t="s">
        <v>11</v>
      </c>
      <c r="N11" s="13" t="s">
        <v>12</v>
      </c>
      <c r="P11" s="13" t="s">
        <v>11</v>
      </c>
      <c r="Q11" s="13" t="s">
        <v>12</v>
      </c>
      <c r="S11" s="13" t="s">
        <v>11</v>
      </c>
      <c r="T11" s="13" t="s">
        <v>12</v>
      </c>
      <c r="W11" s="33" t="s">
        <v>652</v>
      </c>
      <c r="X11" s="203"/>
      <c r="Z11" s="33" t="s">
        <v>652</v>
      </c>
      <c r="AA11" s="203"/>
    </row>
    <row r="12" spans="2:30" ht="13.15" customHeight="1">
      <c r="C12" s="16">
        <v>6</v>
      </c>
      <c r="D12" s="34" t="s">
        <v>83</v>
      </c>
      <c r="E12" s="34" t="s">
        <v>103</v>
      </c>
      <c r="F12" s="44" t="s">
        <v>455</v>
      </c>
      <c r="G12" s="1" t="s">
        <v>9</v>
      </c>
      <c r="H12" s="18">
        <v>1</v>
      </c>
      <c r="I12" s="2"/>
      <c r="J12" s="29">
        <v>90</v>
      </c>
      <c r="K12" s="30">
        <v>3.3700000000000001E-2</v>
      </c>
      <c r="M12" s="29">
        <v>180</v>
      </c>
      <c r="N12" s="30">
        <v>0</v>
      </c>
      <c r="P12" s="204"/>
      <c r="Q12" s="205"/>
      <c r="S12" s="204"/>
      <c r="T12" s="205"/>
      <c r="W12" s="203" t="s">
        <v>104</v>
      </c>
      <c r="X12" s="33"/>
      <c r="Z12" s="203" t="s">
        <v>104</v>
      </c>
      <c r="AA12" s="33"/>
    </row>
    <row r="13" spans="2:30" ht="13.15" customHeight="1">
      <c r="C13" s="16">
        <v>7</v>
      </c>
      <c r="D13" s="34" t="s">
        <v>110</v>
      </c>
      <c r="E13" s="34" t="s">
        <v>100</v>
      </c>
      <c r="F13" s="44" t="s">
        <v>790</v>
      </c>
      <c r="G13" s="1" t="s">
        <v>9</v>
      </c>
      <c r="H13" s="18">
        <v>2</v>
      </c>
      <c r="I13" s="2"/>
      <c r="J13" s="29">
        <v>180</v>
      </c>
      <c r="K13" s="30">
        <v>3.1699999999999999E-2</v>
      </c>
      <c r="M13" s="29">
        <v>360</v>
      </c>
      <c r="N13" s="30">
        <v>0</v>
      </c>
      <c r="P13" s="204"/>
      <c r="Q13" s="205"/>
      <c r="S13" s="204"/>
      <c r="T13" s="205"/>
      <c r="W13" s="33" t="s">
        <v>653</v>
      </c>
      <c r="X13" s="33"/>
      <c r="Z13" s="33" t="s">
        <v>653</v>
      </c>
      <c r="AA13" s="33"/>
    </row>
    <row r="14" spans="2:30" ht="13.15" customHeight="1">
      <c r="C14" s="16">
        <v>8</v>
      </c>
      <c r="D14" s="44" t="s">
        <v>46</v>
      </c>
      <c r="E14" s="44" t="s">
        <v>96</v>
      </c>
      <c r="F14" s="44" t="s">
        <v>456</v>
      </c>
      <c r="G14" s="1" t="s">
        <v>9</v>
      </c>
      <c r="H14" s="18">
        <v>3</v>
      </c>
      <c r="I14" s="2"/>
      <c r="J14" s="29">
        <v>360</v>
      </c>
      <c r="K14" s="30">
        <v>2.8500000000000001E-2</v>
      </c>
      <c r="M14" s="29">
        <v>1080</v>
      </c>
      <c r="N14" s="30">
        <v>0</v>
      </c>
      <c r="P14" s="204"/>
      <c r="Q14" s="205"/>
      <c r="S14" s="204"/>
      <c r="T14" s="205"/>
      <c r="W14" s="33" t="s">
        <v>654</v>
      </c>
      <c r="X14" s="33"/>
      <c r="Z14" s="33" t="s">
        <v>654</v>
      </c>
      <c r="AA14" s="33"/>
    </row>
    <row r="15" spans="2:30" ht="13.15" customHeight="1">
      <c r="C15" s="16">
        <v>9</v>
      </c>
      <c r="D15" s="34" t="s">
        <v>111</v>
      </c>
      <c r="E15" s="44" t="s">
        <v>98</v>
      </c>
      <c r="F15" s="44" t="s">
        <v>457</v>
      </c>
      <c r="G15" s="1" t="s">
        <v>9</v>
      </c>
      <c r="H15" s="18">
        <v>4</v>
      </c>
      <c r="I15" s="2"/>
      <c r="J15" s="29">
        <v>720</v>
      </c>
      <c r="K15" s="30">
        <v>2.7199999999999998E-2</v>
      </c>
      <c r="M15" s="29">
        <v>1800</v>
      </c>
      <c r="N15" s="30">
        <v>5.0000000000000001E-4</v>
      </c>
      <c r="P15" s="204"/>
      <c r="Q15" s="205"/>
      <c r="S15" s="204"/>
      <c r="T15" s="205"/>
    </row>
    <row r="16" spans="2:30" ht="13.15" customHeight="1">
      <c r="C16" s="16">
        <v>10</v>
      </c>
      <c r="D16" s="34" t="s">
        <v>109</v>
      </c>
      <c r="E16" s="44" t="s">
        <v>99</v>
      </c>
      <c r="F16" s="44" t="s">
        <v>458</v>
      </c>
      <c r="G16" s="1" t="s">
        <v>9</v>
      </c>
      <c r="H16" s="18">
        <v>5</v>
      </c>
      <c r="I16" s="2"/>
      <c r="J16" s="29">
        <v>1080</v>
      </c>
      <c r="K16" s="30">
        <v>2.69E-2</v>
      </c>
      <c r="M16" s="29">
        <v>3600</v>
      </c>
      <c r="N16" s="30">
        <v>1E-3</v>
      </c>
      <c r="P16" s="204"/>
      <c r="Q16" s="205"/>
      <c r="S16" s="204"/>
      <c r="T16" s="205"/>
    </row>
    <row r="17" spans="2:70" ht="13.15" customHeight="1">
      <c r="B17" s="3"/>
      <c r="C17" s="16">
        <v>11</v>
      </c>
      <c r="D17" s="34" t="s">
        <v>101</v>
      </c>
      <c r="E17" s="34" t="s">
        <v>102</v>
      </c>
      <c r="F17" s="193" t="s">
        <v>150</v>
      </c>
      <c r="G17" s="1" t="s">
        <v>9</v>
      </c>
      <c r="H17" s="18">
        <v>6</v>
      </c>
      <c r="I17" s="2"/>
      <c r="J17" s="29">
        <v>1800</v>
      </c>
      <c r="K17" s="30">
        <v>2.7099999999999999E-2</v>
      </c>
      <c r="M17" s="29"/>
      <c r="N17" s="30"/>
      <c r="P17" s="204"/>
      <c r="Q17" s="205"/>
      <c r="S17" s="204"/>
      <c r="T17" s="205"/>
    </row>
    <row r="18" spans="2:70" ht="13.15" customHeight="1">
      <c r="C18" s="16">
        <v>12</v>
      </c>
      <c r="D18" s="45" t="s">
        <v>70</v>
      </c>
      <c r="E18" s="45" t="s">
        <v>647</v>
      </c>
      <c r="F18" s="57" t="s">
        <v>73</v>
      </c>
      <c r="G18" s="1" t="s">
        <v>9</v>
      </c>
      <c r="H18" s="18">
        <v>7</v>
      </c>
      <c r="I18" s="2"/>
      <c r="J18" s="29">
        <v>3600</v>
      </c>
      <c r="K18" s="30">
        <v>2.7799999999999998E-2</v>
      </c>
      <c r="M18" s="201"/>
      <c r="N18" s="30"/>
      <c r="P18" s="204"/>
      <c r="Q18" s="205"/>
      <c r="S18" s="204"/>
      <c r="T18" s="205"/>
    </row>
    <row r="19" spans="2:70" ht="13.15" customHeight="1">
      <c r="C19" s="16">
        <v>13</v>
      </c>
      <c r="D19" s="45" t="s">
        <v>68</v>
      </c>
      <c r="E19" s="45" t="s">
        <v>658</v>
      </c>
      <c r="F19" s="47" t="s">
        <v>72</v>
      </c>
      <c r="G19" s="1" t="s">
        <v>9</v>
      </c>
      <c r="H19" s="18">
        <v>8</v>
      </c>
      <c r="I19" s="2"/>
      <c r="J19" s="29">
        <v>5400</v>
      </c>
      <c r="K19" s="30">
        <v>2.7199999999999998E-2</v>
      </c>
      <c r="M19" s="29"/>
      <c r="N19" s="30"/>
      <c r="P19" s="204"/>
      <c r="Q19" s="205"/>
      <c r="S19" s="204"/>
      <c r="T19" s="205"/>
    </row>
    <row r="20" spans="2:70" ht="13.15" customHeight="1">
      <c r="B20" s="3"/>
      <c r="C20" s="16">
        <v>14</v>
      </c>
      <c r="D20" s="34" t="s">
        <v>788</v>
      </c>
      <c r="E20" s="34" t="s">
        <v>80</v>
      </c>
      <c r="F20" s="191">
        <v>0.13889799999999999</v>
      </c>
      <c r="G20" s="1" t="s">
        <v>9</v>
      </c>
      <c r="H20" s="18">
        <v>9</v>
      </c>
      <c r="I20" s="2"/>
      <c r="J20" s="29">
        <v>7200</v>
      </c>
      <c r="K20" s="30">
        <v>2.5399999999999999E-2</v>
      </c>
      <c r="M20" s="29"/>
      <c r="N20" s="30"/>
      <c r="P20" s="204"/>
      <c r="Q20" s="205"/>
      <c r="S20" s="204"/>
      <c r="T20" s="205"/>
    </row>
    <row r="21" spans="2:70" ht="13.15" customHeight="1">
      <c r="C21" s="16">
        <v>15</v>
      </c>
      <c r="D21" s="45" t="s">
        <v>69</v>
      </c>
      <c r="E21" s="45" t="s">
        <v>659</v>
      </c>
      <c r="F21" s="46" t="s">
        <v>95</v>
      </c>
      <c r="G21" s="1" t="s">
        <v>9</v>
      </c>
      <c r="H21" s="21">
        <v>10</v>
      </c>
      <c r="I21" s="2"/>
      <c r="J21" s="29">
        <v>10800</v>
      </c>
      <c r="K21" s="30">
        <v>2.2200000000000001E-2</v>
      </c>
      <c r="M21" s="29"/>
      <c r="N21" s="30"/>
      <c r="P21" s="204"/>
      <c r="Q21" s="205"/>
      <c r="S21" s="204"/>
      <c r="T21" s="205"/>
    </row>
    <row r="22" spans="2:70" ht="13.15" customHeight="1">
      <c r="C22" s="16">
        <v>16</v>
      </c>
      <c r="D22" s="34" t="s">
        <v>29</v>
      </c>
      <c r="E22" s="34" t="s">
        <v>62</v>
      </c>
      <c r="F22" s="192" t="s">
        <v>262</v>
      </c>
      <c r="G22" s="1" t="s">
        <v>9</v>
      </c>
    </row>
    <row r="23" spans="2:70" ht="13.15" customHeight="1">
      <c r="C23" s="16">
        <v>17</v>
      </c>
      <c r="D23" s="17" t="s">
        <v>122</v>
      </c>
      <c r="E23" s="17" t="s">
        <v>124</v>
      </c>
      <c r="F23" s="55" t="s">
        <v>123</v>
      </c>
      <c r="G23" s="1" t="s">
        <v>9</v>
      </c>
    </row>
    <row r="24" spans="2:70" ht="13.15" customHeight="1">
      <c r="C24" s="19">
        <v>18</v>
      </c>
      <c r="D24" s="17" t="s">
        <v>399</v>
      </c>
      <c r="E24" s="17" t="s">
        <v>400</v>
      </c>
      <c r="F24" s="17" t="s">
        <v>401</v>
      </c>
      <c r="G24" s="1" t="s">
        <v>9</v>
      </c>
    </row>
    <row r="25" spans="2:70" ht="13.15" customHeight="1">
      <c r="C25" s="1"/>
      <c r="F25" s="1"/>
      <c r="G25" s="1" t="s">
        <v>9</v>
      </c>
      <c r="H25" s="227" t="s">
        <v>13</v>
      </c>
      <c r="I25" s="227"/>
      <c r="J25" s="227"/>
      <c r="K25" s="227"/>
      <c r="L25" s="227"/>
      <c r="M25" s="227"/>
      <c r="N25" s="227"/>
      <c r="O25" s="227"/>
      <c r="P25" s="227"/>
      <c r="Q25" s="227"/>
      <c r="R25" s="227"/>
      <c r="S25" s="227"/>
      <c r="T25" s="227"/>
      <c r="U25" s="227"/>
      <c r="V25" s="227"/>
      <c r="W25" s="227"/>
      <c r="X25" s="227"/>
      <c r="Y25" s="227"/>
      <c r="Z25" s="227"/>
      <c r="AA25" s="227"/>
      <c r="AB25" s="227"/>
      <c r="AC25" s="227"/>
      <c r="AD25" s="227"/>
      <c r="AE25" s="227"/>
      <c r="AF25" s="227"/>
      <c r="AG25" s="227"/>
      <c r="AH25" s="227"/>
      <c r="AI25" s="227"/>
      <c r="AJ25" s="227"/>
      <c r="AK25" s="227"/>
      <c r="AL25" s="227"/>
      <c r="AM25" s="227"/>
      <c r="AN25" s="227"/>
      <c r="AO25" s="227"/>
      <c r="AP25" s="227"/>
      <c r="AQ25" s="227"/>
      <c r="AR25" s="227"/>
      <c r="AS25" s="227"/>
      <c r="AT25" s="227"/>
      <c r="AU25" s="227"/>
      <c r="AV25" s="227"/>
      <c r="AW25" s="227"/>
      <c r="AX25" s="227"/>
      <c r="AY25" s="227"/>
      <c r="AZ25" s="227"/>
      <c r="BA25" s="227"/>
      <c r="BB25" s="227"/>
      <c r="BC25" s="227"/>
      <c r="BD25" s="227"/>
      <c r="BE25" s="227"/>
      <c r="BF25" s="227"/>
      <c r="BG25" s="227"/>
      <c r="BH25" s="227"/>
      <c r="BI25" s="227"/>
      <c r="BJ25" s="227"/>
      <c r="BK25" s="227"/>
      <c r="BL25" s="227"/>
      <c r="BM25" s="227"/>
      <c r="BN25" s="227"/>
      <c r="BO25" s="227"/>
      <c r="BP25" s="227"/>
      <c r="BQ25" s="227"/>
      <c r="BR25" s="227"/>
    </row>
    <row r="26" spans="2:70" ht="13.15" customHeight="1">
      <c r="C26" s="1"/>
      <c r="F26" s="1"/>
      <c r="J26" s="216" t="str">
        <f>F18</f>
        <v>SCH_001</v>
      </c>
      <c r="K26" s="217"/>
      <c r="L26" s="217"/>
      <c r="M26" s="217"/>
      <c r="N26" s="217"/>
      <c r="O26" s="217"/>
      <c r="P26" s="217"/>
      <c r="Q26" s="217"/>
      <c r="R26" s="217"/>
      <c r="S26" s="217"/>
      <c r="T26" s="217"/>
      <c r="U26" s="217"/>
      <c r="V26" s="217"/>
      <c r="W26" s="217"/>
      <c r="X26" s="217"/>
      <c r="Y26" s="217"/>
      <c r="Z26" s="217"/>
      <c r="AA26" s="217"/>
      <c r="AB26" s="217"/>
      <c r="AC26" s="217"/>
      <c r="AD26" s="217"/>
      <c r="AE26" s="217"/>
      <c r="AF26" s="217"/>
      <c r="AG26" s="217"/>
      <c r="AH26" s="217"/>
      <c r="AI26" s="217"/>
      <c r="AJ26" s="217"/>
      <c r="AK26" s="217"/>
      <c r="AL26" s="217"/>
      <c r="AM26" s="217"/>
      <c r="AN26" s="217"/>
      <c r="AO26" s="217"/>
      <c r="AP26" s="217"/>
      <c r="AQ26" s="217"/>
      <c r="AR26" s="217"/>
      <c r="AS26" s="217"/>
      <c r="AT26" s="217"/>
      <c r="AU26" s="217"/>
      <c r="AV26" s="217"/>
      <c r="AW26" s="217"/>
      <c r="AX26" s="217"/>
      <c r="AY26" s="217"/>
      <c r="AZ26" s="217"/>
      <c r="BA26" s="217"/>
      <c r="BB26" s="217"/>
      <c r="BC26" s="217"/>
      <c r="BD26" s="217"/>
      <c r="BE26" s="217"/>
      <c r="BF26" s="217"/>
      <c r="BG26" s="217"/>
      <c r="BH26" s="217"/>
      <c r="BI26" s="217"/>
      <c r="BJ26" s="217"/>
      <c r="BK26" s="217"/>
      <c r="BL26" s="217"/>
      <c r="BM26" s="217"/>
      <c r="BN26" s="217"/>
      <c r="BO26" s="217"/>
      <c r="BP26" s="217"/>
      <c r="BQ26" s="217"/>
      <c r="BR26" s="218"/>
    </row>
    <row r="27" spans="2:70" ht="13.15" customHeight="1">
      <c r="C27" s="1"/>
      <c r="F27" s="1"/>
      <c r="G27" s="1" t="s">
        <v>9</v>
      </c>
      <c r="H27" s="15" t="s">
        <v>10</v>
      </c>
      <c r="J27" s="13" t="s">
        <v>10</v>
      </c>
      <c r="K27" s="49">
        <v>1</v>
      </c>
      <c r="L27" s="49">
        <v>2</v>
      </c>
      <c r="M27" s="49">
        <v>3</v>
      </c>
      <c r="N27" s="49">
        <v>4</v>
      </c>
      <c r="O27" s="49">
        <v>5</v>
      </c>
      <c r="P27" s="49">
        <v>6</v>
      </c>
      <c r="Q27" s="49">
        <v>7</v>
      </c>
      <c r="R27" s="49">
        <v>8</v>
      </c>
      <c r="S27" s="40">
        <v>9</v>
      </c>
      <c r="T27" s="40">
        <v>10</v>
      </c>
      <c r="U27" s="40">
        <v>11</v>
      </c>
      <c r="V27" s="40">
        <v>12</v>
      </c>
      <c r="W27" s="40">
        <v>13</v>
      </c>
      <c r="X27" s="40">
        <v>14</v>
      </c>
      <c r="Y27" s="40">
        <v>15</v>
      </c>
      <c r="Z27" s="40">
        <v>16</v>
      </c>
      <c r="AA27" s="40">
        <v>17</v>
      </c>
      <c r="AB27" s="40">
        <v>18</v>
      </c>
      <c r="AC27" s="40">
        <v>19</v>
      </c>
      <c r="AD27" s="40">
        <v>20</v>
      </c>
      <c r="AE27" s="40">
        <v>21</v>
      </c>
      <c r="AF27" s="40">
        <v>22</v>
      </c>
      <c r="AG27" s="40">
        <v>23</v>
      </c>
      <c r="AH27" s="40">
        <v>24</v>
      </c>
      <c r="AI27" s="40">
        <v>25</v>
      </c>
      <c r="AJ27" s="40">
        <v>26</v>
      </c>
      <c r="AK27" s="40">
        <v>27</v>
      </c>
      <c r="AL27" s="40">
        <v>28</v>
      </c>
      <c r="AM27" s="40">
        <v>29</v>
      </c>
      <c r="AN27" s="40">
        <v>30</v>
      </c>
      <c r="AO27" s="40">
        <v>31</v>
      </c>
      <c r="AP27" s="40">
        <v>32</v>
      </c>
      <c r="AQ27" s="40">
        <v>33</v>
      </c>
      <c r="AR27" s="40">
        <v>34</v>
      </c>
      <c r="AS27" s="40">
        <v>35</v>
      </c>
      <c r="AT27" s="40">
        <v>36</v>
      </c>
      <c r="AU27" s="40">
        <v>37</v>
      </c>
      <c r="AV27" s="40">
        <v>38</v>
      </c>
      <c r="AW27" s="40">
        <v>39</v>
      </c>
      <c r="AX27" s="40">
        <v>40</v>
      </c>
      <c r="AY27" s="40">
        <v>41</v>
      </c>
      <c r="AZ27" s="40">
        <v>42</v>
      </c>
      <c r="BA27" s="40">
        <v>43</v>
      </c>
      <c r="BB27" s="40">
        <v>44</v>
      </c>
      <c r="BC27" s="40">
        <v>45</v>
      </c>
      <c r="BD27" s="40">
        <v>46</v>
      </c>
      <c r="BE27" s="40">
        <v>47</v>
      </c>
      <c r="BF27" s="40">
        <v>48</v>
      </c>
      <c r="BG27" s="40">
        <v>49</v>
      </c>
      <c r="BH27" s="40">
        <v>50</v>
      </c>
      <c r="BI27" s="40">
        <v>51</v>
      </c>
      <c r="BJ27" s="40">
        <v>52</v>
      </c>
      <c r="BK27" s="40">
        <v>53</v>
      </c>
      <c r="BL27" s="40">
        <v>54</v>
      </c>
      <c r="BM27" s="40">
        <v>55</v>
      </c>
      <c r="BN27" s="40">
        <v>56</v>
      </c>
      <c r="BO27" s="40">
        <v>57</v>
      </c>
      <c r="BP27" s="40">
        <v>58</v>
      </c>
      <c r="BQ27" s="40">
        <v>59</v>
      </c>
      <c r="BR27" s="40">
        <v>60</v>
      </c>
    </row>
    <row r="28" spans="2:70" ht="13.15" customHeight="1">
      <c r="C28" s="1"/>
      <c r="F28" s="1"/>
      <c r="G28" s="1" t="s">
        <v>9</v>
      </c>
      <c r="H28" s="18">
        <v>1</v>
      </c>
      <c r="J28" s="13" t="s">
        <v>65</v>
      </c>
      <c r="K28" s="26" t="s">
        <v>622</v>
      </c>
      <c r="L28" s="184" t="s">
        <v>623</v>
      </c>
      <c r="M28" s="184" t="s">
        <v>624</v>
      </c>
      <c r="N28" s="184" t="s">
        <v>625</v>
      </c>
      <c r="O28" s="184" t="s">
        <v>626</v>
      </c>
      <c r="P28" s="184" t="s">
        <v>627</v>
      </c>
      <c r="Q28" s="184" t="s">
        <v>628</v>
      </c>
      <c r="R28" s="184" t="s">
        <v>629</v>
      </c>
      <c r="S28" s="184" t="s">
        <v>630</v>
      </c>
      <c r="T28" s="184" t="s">
        <v>631</v>
      </c>
      <c r="U28" s="184" t="s">
        <v>632</v>
      </c>
      <c r="V28" s="184" t="s">
        <v>621</v>
      </c>
      <c r="W28" s="29"/>
      <c r="X28" s="29"/>
      <c r="Y28" s="29"/>
      <c r="Z28" s="29"/>
      <c r="AA28" s="29"/>
      <c r="AB28" s="29"/>
      <c r="AC28" s="29"/>
      <c r="AD28" s="29"/>
      <c r="AE28" s="29"/>
      <c r="AF28" s="29"/>
      <c r="AG28" s="29"/>
      <c r="AH28" s="29"/>
      <c r="AI28" s="29"/>
      <c r="AJ28" s="29"/>
      <c r="AK28" s="29"/>
      <c r="AL28" s="29"/>
      <c r="AM28" s="29"/>
      <c r="AN28" s="29"/>
      <c r="AO28" s="29"/>
      <c r="AP28" s="29"/>
      <c r="AQ28" s="29"/>
      <c r="AR28" s="29"/>
      <c r="AS28" s="29"/>
      <c r="AT28" s="29"/>
      <c r="AU28" s="29"/>
      <c r="AV28" s="29"/>
      <c r="AW28" s="29"/>
      <c r="AX28" s="29"/>
      <c r="AY28" s="29"/>
      <c r="AZ28" s="29"/>
      <c r="BA28" s="29"/>
      <c r="BB28" s="29"/>
      <c r="BC28" s="29"/>
      <c r="BD28" s="29"/>
      <c r="BE28" s="29"/>
      <c r="BF28" s="29"/>
      <c r="BG28" s="29"/>
      <c r="BH28" s="29"/>
      <c r="BI28" s="29"/>
      <c r="BJ28" s="29"/>
      <c r="BK28" s="29"/>
      <c r="BL28" s="29"/>
      <c r="BM28" s="29"/>
      <c r="BN28" s="29"/>
      <c r="BO28" s="29"/>
      <c r="BP28" s="29"/>
      <c r="BQ28" s="29"/>
      <c r="BR28" s="29"/>
    </row>
    <row r="29" spans="2:70" ht="13.15" customHeight="1">
      <c r="C29" s="1"/>
      <c r="F29" s="1"/>
      <c r="G29" s="1" t="s">
        <v>9</v>
      </c>
      <c r="H29" s="18">
        <v>2</v>
      </c>
      <c r="J29" s="13" t="s">
        <v>66</v>
      </c>
      <c r="K29" s="26" t="s">
        <v>633</v>
      </c>
      <c r="L29" s="184" t="s">
        <v>622</v>
      </c>
      <c r="M29" s="184" t="s">
        <v>623</v>
      </c>
      <c r="N29" s="184" t="s">
        <v>624</v>
      </c>
      <c r="O29" s="184" t="s">
        <v>625</v>
      </c>
      <c r="P29" s="184" t="s">
        <v>626</v>
      </c>
      <c r="Q29" s="184" t="s">
        <v>627</v>
      </c>
      <c r="R29" s="184" t="s">
        <v>628</v>
      </c>
      <c r="S29" s="184" t="s">
        <v>629</v>
      </c>
      <c r="T29" s="184" t="s">
        <v>630</v>
      </c>
      <c r="U29" s="184" t="s">
        <v>631</v>
      </c>
      <c r="V29" s="184" t="s">
        <v>632</v>
      </c>
      <c r="W29" s="29"/>
      <c r="X29" s="29"/>
      <c r="Y29" s="29"/>
      <c r="Z29" s="29"/>
      <c r="AA29" s="29"/>
      <c r="AB29" s="29"/>
      <c r="AC29" s="29"/>
      <c r="AD29" s="29"/>
      <c r="AE29" s="29"/>
      <c r="AF29" s="29"/>
      <c r="AG29" s="29"/>
      <c r="AH29" s="29"/>
      <c r="AI29" s="29"/>
      <c r="AJ29" s="29"/>
      <c r="AK29" s="29"/>
      <c r="AL29" s="29"/>
      <c r="AM29" s="29"/>
      <c r="AN29" s="29"/>
      <c r="AO29" s="29"/>
      <c r="AP29" s="29"/>
      <c r="AQ29" s="29"/>
      <c r="AR29" s="29"/>
      <c r="AS29" s="29"/>
      <c r="AT29" s="29"/>
      <c r="AU29" s="29"/>
      <c r="AV29" s="29"/>
      <c r="AW29" s="29"/>
      <c r="AX29" s="29"/>
      <c r="AY29" s="29"/>
      <c r="AZ29" s="29"/>
      <c r="BA29" s="29"/>
      <c r="BB29" s="29"/>
      <c r="BC29" s="29"/>
      <c r="BD29" s="29"/>
      <c r="BE29" s="29"/>
      <c r="BF29" s="29"/>
      <c r="BG29" s="29"/>
      <c r="BH29" s="29"/>
      <c r="BI29" s="29"/>
      <c r="BJ29" s="29"/>
      <c r="BK29" s="29"/>
      <c r="BL29" s="29"/>
      <c r="BM29" s="29"/>
      <c r="BN29" s="29"/>
      <c r="BO29" s="29"/>
      <c r="BP29" s="29"/>
      <c r="BQ29" s="29"/>
      <c r="BR29" s="29"/>
    </row>
    <row r="30" spans="2:70" ht="13.15" customHeight="1">
      <c r="C30" s="1"/>
      <c r="F30" s="1"/>
      <c r="H30" s="21">
        <v>3</v>
      </c>
      <c r="J30" s="13" t="s">
        <v>67</v>
      </c>
      <c r="K30" s="26" t="s">
        <v>622</v>
      </c>
      <c r="L30" s="184" t="s">
        <v>623</v>
      </c>
      <c r="M30" s="184" t="s">
        <v>624</v>
      </c>
      <c r="N30" s="184" t="s">
        <v>625</v>
      </c>
      <c r="O30" s="184" t="s">
        <v>626</v>
      </c>
      <c r="P30" s="184" t="s">
        <v>627</v>
      </c>
      <c r="Q30" s="184" t="s">
        <v>628</v>
      </c>
      <c r="R30" s="184" t="s">
        <v>629</v>
      </c>
      <c r="S30" s="184" t="s">
        <v>630</v>
      </c>
      <c r="T30" s="184" t="s">
        <v>631</v>
      </c>
      <c r="U30" s="184" t="s">
        <v>632</v>
      </c>
      <c r="V30" s="184" t="s">
        <v>621</v>
      </c>
      <c r="W30" s="29"/>
      <c r="X30" s="29"/>
      <c r="Y30" s="29"/>
      <c r="Z30" s="29"/>
      <c r="AA30" s="29"/>
      <c r="AB30" s="29"/>
      <c r="AC30" s="29"/>
      <c r="AD30" s="29"/>
      <c r="AE30" s="29"/>
      <c r="AF30" s="29"/>
      <c r="AG30" s="29"/>
      <c r="AH30" s="29"/>
      <c r="AI30" s="29"/>
      <c r="AJ30" s="29"/>
      <c r="AK30" s="29"/>
      <c r="AL30" s="29"/>
      <c r="AM30" s="29"/>
      <c r="AN30" s="29"/>
      <c r="AO30" s="29"/>
      <c r="AP30" s="29"/>
      <c r="AQ30" s="29"/>
      <c r="AR30" s="29"/>
      <c r="AS30" s="29"/>
      <c r="AT30" s="29"/>
      <c r="AU30" s="29"/>
      <c r="AV30" s="29"/>
      <c r="AW30" s="29"/>
      <c r="AX30" s="29"/>
      <c r="AY30" s="29"/>
      <c r="AZ30" s="29"/>
      <c r="BA30" s="29"/>
      <c r="BB30" s="29"/>
      <c r="BC30" s="29"/>
      <c r="BD30" s="29"/>
      <c r="BE30" s="29"/>
      <c r="BF30" s="29"/>
      <c r="BG30" s="29"/>
      <c r="BH30" s="29"/>
      <c r="BI30" s="29"/>
      <c r="BJ30" s="29"/>
      <c r="BK30" s="29"/>
      <c r="BL30" s="29"/>
      <c r="BM30" s="29"/>
      <c r="BN30" s="29"/>
      <c r="BO30" s="29"/>
      <c r="BP30" s="29"/>
      <c r="BQ30" s="29"/>
      <c r="BR30" s="29"/>
    </row>
    <row r="31" spans="2:70" ht="13.15" customHeight="1">
      <c r="C31" s="1"/>
      <c r="F31" s="1"/>
    </row>
    <row r="32" spans="2:70" ht="13.15" customHeight="1">
      <c r="C32" s="1"/>
      <c r="F32" s="1"/>
      <c r="J32" s="213"/>
      <c r="K32" s="214"/>
      <c r="L32" s="214"/>
      <c r="M32" s="214"/>
      <c r="N32" s="214"/>
      <c r="O32" s="214"/>
      <c r="P32" s="214"/>
      <c r="Q32" s="214"/>
      <c r="R32" s="214"/>
      <c r="S32" s="214"/>
      <c r="T32" s="214"/>
      <c r="U32" s="214"/>
      <c r="V32" s="214"/>
      <c r="W32" s="214"/>
      <c r="X32" s="214"/>
      <c r="Y32" s="214"/>
      <c r="Z32" s="214"/>
      <c r="AA32" s="214"/>
      <c r="AB32" s="214"/>
      <c r="AC32" s="214"/>
      <c r="AD32" s="214"/>
      <c r="AE32" s="214"/>
      <c r="AF32" s="214"/>
      <c r="AG32" s="214"/>
      <c r="AH32" s="214"/>
      <c r="AI32" s="214"/>
      <c r="AJ32" s="214"/>
      <c r="AK32" s="214"/>
      <c r="AL32" s="214"/>
      <c r="AM32" s="214"/>
      <c r="AN32" s="214"/>
      <c r="AO32" s="214"/>
      <c r="AP32" s="214"/>
      <c r="AQ32" s="214"/>
      <c r="AR32" s="214"/>
      <c r="AS32" s="214"/>
      <c r="AT32" s="214"/>
      <c r="AU32" s="214"/>
      <c r="AV32" s="214"/>
      <c r="AW32" s="214"/>
      <c r="AX32" s="214"/>
      <c r="AY32" s="214"/>
      <c r="AZ32" s="214"/>
      <c r="BA32" s="214"/>
      <c r="BB32" s="214"/>
      <c r="BC32" s="214"/>
      <c r="BD32" s="214"/>
      <c r="BE32" s="214"/>
      <c r="BF32" s="214"/>
      <c r="BG32" s="214"/>
      <c r="BH32" s="214"/>
      <c r="BI32" s="214"/>
      <c r="BJ32" s="214"/>
      <c r="BK32" s="214"/>
      <c r="BL32" s="214"/>
      <c r="BM32" s="214"/>
      <c r="BN32" s="214"/>
      <c r="BO32" s="214"/>
      <c r="BP32" s="214"/>
      <c r="BQ32" s="214"/>
      <c r="BR32" s="215"/>
    </row>
    <row r="33" spans="3:70" ht="13.15" customHeight="1">
      <c r="C33" s="1"/>
      <c r="F33" s="1"/>
      <c r="H33" s="15" t="s">
        <v>10</v>
      </c>
      <c r="J33" s="13" t="s">
        <v>10</v>
      </c>
      <c r="K33" s="49">
        <v>1</v>
      </c>
      <c r="L33" s="49">
        <v>2</v>
      </c>
      <c r="M33" s="49">
        <v>3</v>
      </c>
      <c r="N33" s="49">
        <v>4</v>
      </c>
      <c r="O33" s="49">
        <v>5</v>
      </c>
      <c r="P33" s="49">
        <v>6</v>
      </c>
      <c r="Q33" s="49">
        <v>7</v>
      </c>
      <c r="R33" s="49">
        <v>8</v>
      </c>
      <c r="S33" s="40">
        <v>9</v>
      </c>
      <c r="T33" s="40">
        <v>10</v>
      </c>
      <c r="U33" s="40">
        <v>11</v>
      </c>
      <c r="V33" s="40">
        <v>12</v>
      </c>
      <c r="W33" s="40">
        <v>13</v>
      </c>
      <c r="X33" s="40">
        <v>14</v>
      </c>
      <c r="Y33" s="40">
        <v>15</v>
      </c>
      <c r="Z33" s="40">
        <v>16</v>
      </c>
      <c r="AA33" s="40">
        <v>17</v>
      </c>
      <c r="AB33" s="40">
        <v>18</v>
      </c>
      <c r="AC33" s="40">
        <v>19</v>
      </c>
      <c r="AD33" s="40">
        <v>20</v>
      </c>
      <c r="AE33" s="40">
        <v>21</v>
      </c>
      <c r="AF33" s="40">
        <v>22</v>
      </c>
      <c r="AG33" s="40">
        <v>23</v>
      </c>
      <c r="AH33" s="40">
        <v>24</v>
      </c>
      <c r="AI33" s="40">
        <v>25</v>
      </c>
      <c r="AJ33" s="40">
        <v>26</v>
      </c>
      <c r="AK33" s="40">
        <v>27</v>
      </c>
      <c r="AL33" s="40">
        <v>28</v>
      </c>
      <c r="AM33" s="40">
        <v>29</v>
      </c>
      <c r="AN33" s="40">
        <v>30</v>
      </c>
      <c r="AO33" s="40">
        <v>31</v>
      </c>
      <c r="AP33" s="40">
        <v>32</v>
      </c>
      <c r="AQ33" s="40">
        <v>33</v>
      </c>
      <c r="AR33" s="40">
        <v>34</v>
      </c>
      <c r="AS33" s="40">
        <v>35</v>
      </c>
      <c r="AT33" s="40">
        <v>36</v>
      </c>
      <c r="AU33" s="40">
        <v>37</v>
      </c>
      <c r="AV33" s="40">
        <v>38</v>
      </c>
      <c r="AW33" s="40">
        <v>39</v>
      </c>
      <c r="AX33" s="40">
        <v>40</v>
      </c>
      <c r="AY33" s="40">
        <v>41</v>
      </c>
      <c r="AZ33" s="40">
        <v>42</v>
      </c>
      <c r="BA33" s="40">
        <v>43</v>
      </c>
      <c r="BB33" s="40">
        <v>44</v>
      </c>
      <c r="BC33" s="40">
        <v>45</v>
      </c>
      <c r="BD33" s="40">
        <v>46</v>
      </c>
      <c r="BE33" s="40">
        <v>47</v>
      </c>
      <c r="BF33" s="40">
        <v>48</v>
      </c>
      <c r="BG33" s="40">
        <v>49</v>
      </c>
      <c r="BH33" s="40">
        <v>50</v>
      </c>
      <c r="BI33" s="40">
        <v>51</v>
      </c>
      <c r="BJ33" s="40">
        <v>52</v>
      </c>
      <c r="BK33" s="40">
        <v>53</v>
      </c>
      <c r="BL33" s="40">
        <v>54</v>
      </c>
      <c r="BM33" s="40">
        <v>55</v>
      </c>
      <c r="BN33" s="40">
        <v>56</v>
      </c>
      <c r="BO33" s="40">
        <v>57</v>
      </c>
      <c r="BP33" s="40">
        <v>58</v>
      </c>
      <c r="BQ33" s="40">
        <v>59</v>
      </c>
      <c r="BR33" s="40">
        <v>60</v>
      </c>
    </row>
    <row r="34" spans="3:70" ht="13.15" customHeight="1">
      <c r="C34" s="1"/>
      <c r="F34" s="1"/>
      <c r="H34" s="18">
        <v>1</v>
      </c>
      <c r="J34" s="13" t="s">
        <v>65</v>
      </c>
      <c r="K34" s="206"/>
      <c r="L34" s="207"/>
      <c r="M34" s="207"/>
      <c r="N34" s="207"/>
      <c r="O34" s="207"/>
      <c r="P34" s="207"/>
      <c r="Q34" s="207"/>
      <c r="R34" s="207"/>
      <c r="S34" s="207"/>
      <c r="T34" s="207"/>
      <c r="U34" s="207"/>
      <c r="V34" s="207"/>
      <c r="W34" s="204"/>
      <c r="X34" s="204"/>
      <c r="Y34" s="204"/>
      <c r="Z34" s="204"/>
      <c r="AA34" s="204"/>
      <c r="AB34" s="204"/>
      <c r="AC34" s="204"/>
      <c r="AD34" s="204"/>
      <c r="AE34" s="204"/>
      <c r="AF34" s="204"/>
      <c r="AG34" s="204"/>
      <c r="AH34" s="204"/>
      <c r="AI34" s="204"/>
      <c r="AJ34" s="204"/>
      <c r="AK34" s="204"/>
      <c r="AL34" s="204"/>
      <c r="AM34" s="204"/>
      <c r="AN34" s="204"/>
      <c r="AO34" s="204"/>
      <c r="AP34" s="204"/>
      <c r="AQ34" s="204"/>
      <c r="AR34" s="204"/>
      <c r="AS34" s="204"/>
      <c r="AT34" s="204"/>
      <c r="AU34" s="204"/>
      <c r="AV34" s="204"/>
      <c r="AW34" s="204"/>
      <c r="AX34" s="204"/>
      <c r="AY34" s="204"/>
      <c r="AZ34" s="204"/>
      <c r="BA34" s="204"/>
      <c r="BB34" s="204"/>
      <c r="BC34" s="204"/>
      <c r="BD34" s="204"/>
      <c r="BE34" s="204"/>
      <c r="BF34" s="204"/>
      <c r="BG34" s="204"/>
      <c r="BH34" s="204"/>
      <c r="BI34" s="204"/>
      <c r="BJ34" s="204"/>
      <c r="BK34" s="204"/>
      <c r="BL34" s="204"/>
      <c r="BM34" s="204"/>
      <c r="BN34" s="204"/>
      <c r="BO34" s="204"/>
      <c r="BP34" s="204"/>
      <c r="BQ34" s="204"/>
      <c r="BR34" s="204"/>
    </row>
    <row r="35" spans="3:70" ht="13.15" customHeight="1">
      <c r="C35" s="1"/>
      <c r="F35" s="1"/>
      <c r="H35" s="18">
        <v>2</v>
      </c>
      <c r="J35" s="13" t="s">
        <v>66</v>
      </c>
      <c r="K35" s="206"/>
      <c r="L35" s="207"/>
      <c r="M35" s="207"/>
      <c r="N35" s="207"/>
      <c r="O35" s="207"/>
      <c r="P35" s="207"/>
      <c r="Q35" s="207"/>
      <c r="R35" s="207"/>
      <c r="S35" s="207"/>
      <c r="T35" s="207"/>
      <c r="U35" s="207"/>
      <c r="V35" s="207"/>
      <c r="W35" s="204"/>
      <c r="X35" s="204"/>
      <c r="Y35" s="204"/>
      <c r="Z35" s="204"/>
      <c r="AA35" s="204"/>
      <c r="AB35" s="204"/>
      <c r="AC35" s="204"/>
      <c r="AD35" s="204"/>
      <c r="AE35" s="204"/>
      <c r="AF35" s="204"/>
      <c r="AG35" s="204"/>
      <c r="AH35" s="204"/>
      <c r="AI35" s="204"/>
      <c r="AJ35" s="204"/>
      <c r="AK35" s="204"/>
      <c r="AL35" s="204"/>
      <c r="AM35" s="204"/>
      <c r="AN35" s="204"/>
      <c r="AO35" s="204"/>
      <c r="AP35" s="204"/>
      <c r="AQ35" s="204"/>
      <c r="AR35" s="204"/>
      <c r="AS35" s="204"/>
      <c r="AT35" s="204"/>
      <c r="AU35" s="204"/>
      <c r="AV35" s="204"/>
      <c r="AW35" s="204"/>
      <c r="AX35" s="204"/>
      <c r="AY35" s="204"/>
      <c r="AZ35" s="204"/>
      <c r="BA35" s="204"/>
      <c r="BB35" s="204"/>
      <c r="BC35" s="204"/>
      <c r="BD35" s="204"/>
      <c r="BE35" s="204"/>
      <c r="BF35" s="204"/>
      <c r="BG35" s="204"/>
      <c r="BH35" s="204"/>
      <c r="BI35" s="204"/>
      <c r="BJ35" s="204"/>
      <c r="BK35" s="204"/>
      <c r="BL35" s="204"/>
      <c r="BM35" s="204"/>
      <c r="BN35" s="204"/>
      <c r="BO35" s="204"/>
      <c r="BP35" s="204"/>
      <c r="BQ35" s="204"/>
      <c r="BR35" s="204"/>
    </row>
    <row r="36" spans="3:70" ht="13.15" customHeight="1">
      <c r="C36" s="1"/>
      <c r="H36" s="21">
        <v>3</v>
      </c>
      <c r="J36" s="13" t="s">
        <v>67</v>
      </c>
      <c r="K36" s="206"/>
      <c r="L36" s="207"/>
      <c r="M36" s="207"/>
      <c r="N36" s="207"/>
      <c r="O36" s="207"/>
      <c r="P36" s="207"/>
      <c r="Q36" s="207"/>
      <c r="R36" s="207"/>
      <c r="S36" s="207"/>
      <c r="T36" s="207"/>
      <c r="U36" s="207"/>
      <c r="V36" s="207"/>
      <c r="W36" s="204"/>
      <c r="X36" s="204"/>
      <c r="Y36" s="204"/>
      <c r="Z36" s="204"/>
      <c r="AA36" s="204"/>
      <c r="AB36" s="204"/>
      <c r="AC36" s="204"/>
      <c r="AD36" s="204"/>
      <c r="AE36" s="204"/>
      <c r="AF36" s="204"/>
      <c r="AG36" s="204"/>
      <c r="AH36" s="204"/>
      <c r="AI36" s="204"/>
      <c r="AJ36" s="204"/>
      <c r="AK36" s="204"/>
      <c r="AL36" s="204"/>
      <c r="AM36" s="204"/>
      <c r="AN36" s="204"/>
      <c r="AO36" s="204"/>
      <c r="AP36" s="204"/>
      <c r="AQ36" s="204"/>
      <c r="AR36" s="204"/>
      <c r="AS36" s="204"/>
      <c r="AT36" s="204"/>
      <c r="AU36" s="204"/>
      <c r="AV36" s="204"/>
      <c r="AW36" s="204"/>
      <c r="AX36" s="204"/>
      <c r="AY36" s="204"/>
      <c r="AZ36" s="204"/>
      <c r="BA36" s="204"/>
      <c r="BB36" s="204"/>
      <c r="BC36" s="204"/>
      <c r="BD36" s="204"/>
      <c r="BE36" s="204"/>
      <c r="BF36" s="204"/>
      <c r="BG36" s="204"/>
      <c r="BH36" s="204"/>
      <c r="BI36" s="204"/>
      <c r="BJ36" s="204"/>
      <c r="BK36" s="204"/>
      <c r="BL36" s="204"/>
      <c r="BM36" s="204"/>
      <c r="BN36" s="204"/>
      <c r="BO36" s="204"/>
      <c r="BP36" s="204"/>
      <c r="BQ36" s="204"/>
      <c r="BR36" s="204"/>
    </row>
    <row r="37" spans="3:70" ht="13.15" customHeight="1">
      <c r="C37" s="1"/>
      <c r="F37" s="1"/>
    </row>
    <row r="38" spans="3:70" ht="13.15" customHeight="1">
      <c r="C38" s="1"/>
      <c r="F38" s="1"/>
    </row>
    <row r="39" spans="3:70" ht="13.15" customHeight="1">
      <c r="C39" s="1"/>
      <c r="F39" s="1"/>
    </row>
    <row r="40" spans="3:70" ht="13.15" customHeight="1">
      <c r="C40" s="1"/>
      <c r="F40" s="1"/>
    </row>
    <row r="41" spans="3:70" ht="13.15" customHeight="1">
      <c r="C41" s="1"/>
      <c r="F41" s="1"/>
    </row>
    <row r="42" spans="3:70" ht="13.15" customHeight="1">
      <c r="C42" s="1"/>
      <c r="F42" s="1"/>
    </row>
    <row r="43" spans="3:70" ht="13.15" customHeight="1">
      <c r="C43" s="1"/>
      <c r="F43" s="1"/>
    </row>
    <row r="44" spans="3:70" ht="13.15" customHeight="1">
      <c r="C44" s="1"/>
      <c r="F44" s="1"/>
    </row>
    <row r="45" spans="3:70" ht="13.15" customHeight="1">
      <c r="C45" s="1"/>
      <c r="F45" s="1"/>
    </row>
    <row r="46" spans="3:70" ht="13.15" customHeight="1">
      <c r="C46" s="1"/>
      <c r="F46" s="1"/>
    </row>
    <row r="47" spans="3:70" ht="13.15" customHeight="1">
      <c r="C47" s="1"/>
      <c r="F47" s="1"/>
    </row>
    <row r="48" spans="3:70" ht="13.15" customHeight="1">
      <c r="C48" s="1"/>
      <c r="F48" s="1"/>
    </row>
    <row r="49" spans="3:6" ht="13.15" customHeight="1">
      <c r="C49" s="1"/>
      <c r="F49" s="1"/>
    </row>
    <row r="50" spans="3:6" ht="13.15" customHeight="1">
      <c r="C50" s="1"/>
      <c r="F50" s="1"/>
    </row>
    <row r="51" spans="3:6" ht="13.15" customHeight="1">
      <c r="C51" s="1"/>
      <c r="F51" s="1"/>
    </row>
    <row r="52" spans="3:6" ht="13.15" customHeight="1">
      <c r="C52" s="1"/>
      <c r="F52" s="1"/>
    </row>
    <row r="53" spans="3:6" ht="13.15" customHeight="1">
      <c r="C53" s="1"/>
      <c r="F53" s="1"/>
    </row>
    <row r="54" spans="3:6" ht="13.15" customHeight="1">
      <c r="C54" s="1"/>
      <c r="F54" s="1"/>
    </row>
    <row r="58" spans="3:6" ht="13.15" customHeight="1">
      <c r="F58" s="1"/>
    </row>
    <row r="68" spans="5:5" ht="13.15" customHeight="1">
      <c r="E68" s="3"/>
    </row>
    <row r="69" spans="5:5" ht="13.15" customHeight="1">
      <c r="E69" s="3"/>
    </row>
  </sheetData>
  <mergeCells count="15">
    <mergeCell ref="J32:BR32"/>
    <mergeCell ref="J26:BR26"/>
    <mergeCell ref="B2:F2"/>
    <mergeCell ref="C5:F5"/>
    <mergeCell ref="J5:K5"/>
    <mergeCell ref="M5:N5"/>
    <mergeCell ref="H25:BR25"/>
    <mergeCell ref="B4:F4"/>
    <mergeCell ref="P5:Q5"/>
    <mergeCell ref="S5:T5"/>
    <mergeCell ref="W5:X5"/>
    <mergeCell ref="Z5:AA5"/>
    <mergeCell ref="H4:U4"/>
    <mergeCell ref="W4:AD4"/>
    <mergeCell ref="H2:AD2"/>
  </mergeCells>
  <phoneticPr fontId="1" type="noConversion"/>
  <conditionalFormatting sqref="D45">
    <cfRule type="expression" dxfId="91" priority="39">
      <formula>$C45&lt;&gt;$C44</formula>
    </cfRule>
  </conditionalFormatting>
  <conditionalFormatting sqref="D45">
    <cfRule type="expression" dxfId="90" priority="40">
      <formula>$S51="Y"</formula>
    </cfRule>
  </conditionalFormatting>
  <conditionalFormatting sqref="E45">
    <cfRule type="expression" dxfId="89" priority="37">
      <formula>$C45&lt;&gt;$C44</formula>
    </cfRule>
  </conditionalFormatting>
  <conditionalFormatting sqref="E45">
    <cfRule type="expression" dxfId="88" priority="38">
      <formula>$S51="Y"</formula>
    </cfRule>
  </conditionalFormatting>
  <conditionalFormatting sqref="F11 F17:F18">
    <cfRule type="expression" dxfId="87" priority="24">
      <formula>$K11="GROUP"</formula>
    </cfRule>
  </conditionalFormatting>
  <conditionalFormatting sqref="F12">
    <cfRule type="expression" dxfId="86" priority="23">
      <formula>$K12="GROUP"</formula>
    </cfRule>
  </conditionalFormatting>
  <conditionalFormatting sqref="F13">
    <cfRule type="expression" dxfId="85" priority="22">
      <formula>$K13="GROUP"</formula>
    </cfRule>
  </conditionalFormatting>
  <conditionalFormatting sqref="F14">
    <cfRule type="expression" dxfId="84" priority="21">
      <formula>$K14="GROUP"</formula>
    </cfRule>
  </conditionalFormatting>
  <conditionalFormatting sqref="F15">
    <cfRule type="expression" dxfId="83" priority="20">
      <formula>$K15="GROUP"</formula>
    </cfRule>
  </conditionalFormatting>
  <conditionalFormatting sqref="F16">
    <cfRule type="expression" dxfId="82" priority="19">
      <formula>$K16="GROUP"</formula>
    </cfRule>
  </conditionalFormatting>
  <conditionalFormatting sqref="K6">
    <cfRule type="expression" dxfId="81" priority="18">
      <formula>$K6="GROUP"</formula>
    </cfRule>
  </conditionalFormatting>
  <conditionalFormatting sqref="K7">
    <cfRule type="expression" dxfId="80" priority="17">
      <formula>$K7="GROUP"</formula>
    </cfRule>
  </conditionalFormatting>
  <conditionalFormatting sqref="K8">
    <cfRule type="expression" dxfId="79" priority="16">
      <formula>$K8="GROUP"</formula>
    </cfRule>
  </conditionalFormatting>
  <conditionalFormatting sqref="K9">
    <cfRule type="expression" dxfId="78" priority="15">
      <formula>$K9="GROUP"</formula>
    </cfRule>
  </conditionalFormatting>
  <conditionalFormatting sqref="N6">
    <cfRule type="expression" dxfId="77" priority="14">
      <formula>$K6="GROUP"</formula>
    </cfRule>
  </conditionalFormatting>
  <conditionalFormatting sqref="N7">
    <cfRule type="expression" dxfId="76" priority="13">
      <formula>$K7="GROUP"</formula>
    </cfRule>
  </conditionalFormatting>
  <conditionalFormatting sqref="N8">
    <cfRule type="expression" dxfId="75" priority="12">
      <formula>$K8="GROUP"</formula>
    </cfRule>
  </conditionalFormatting>
  <conditionalFormatting sqref="N9">
    <cfRule type="expression" dxfId="74" priority="11">
      <formula>$K9="GROUP"</formula>
    </cfRule>
  </conditionalFormatting>
  <conditionalFormatting sqref="Q6">
    <cfRule type="expression" dxfId="73" priority="10">
      <formula>$K6="GROUP"</formula>
    </cfRule>
  </conditionalFormatting>
  <conditionalFormatting sqref="Q7">
    <cfRule type="expression" dxfId="72" priority="9">
      <formula>$K7="GROUP"</formula>
    </cfRule>
  </conditionalFormatting>
  <conditionalFormatting sqref="Q8">
    <cfRule type="expression" dxfId="71" priority="8">
      <formula>$K8="GROUP"</formula>
    </cfRule>
  </conditionalFormatting>
  <conditionalFormatting sqref="Q9">
    <cfRule type="expression" dxfId="70" priority="7">
      <formula>$K9="GROUP"</formula>
    </cfRule>
  </conditionalFormatting>
  <conditionalFormatting sqref="X12">
    <cfRule type="expression" dxfId="69" priority="6">
      <formula>$K12="GROUP"</formula>
    </cfRule>
  </conditionalFormatting>
  <conditionalFormatting sqref="T6">
    <cfRule type="expression" dxfId="68" priority="5">
      <formula>$K6="GROUP"</formula>
    </cfRule>
  </conditionalFormatting>
  <conditionalFormatting sqref="T7">
    <cfRule type="expression" dxfId="67" priority="4">
      <formula>$K7="GROUP"</formula>
    </cfRule>
  </conditionalFormatting>
  <conditionalFormatting sqref="T8">
    <cfRule type="expression" dxfId="66" priority="3">
      <formula>$K8="GROUP"</formula>
    </cfRule>
  </conditionalFormatting>
  <conditionalFormatting sqref="T9">
    <cfRule type="expression" dxfId="65" priority="2">
      <formula>$K9="GROUP"</formula>
    </cfRule>
  </conditionalFormatting>
  <conditionalFormatting sqref="AA12">
    <cfRule type="expression" dxfId="64" priority="1">
      <formula>$K12="GROUP"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D02A61-EF39-45CB-B96C-7D2937CD697D}">
  <sheetPr codeName="Sheet15"/>
  <dimension ref="A2:DZ105"/>
  <sheetViews>
    <sheetView tabSelected="1" workbookViewId="0">
      <selection activeCell="B2" sqref="B2:F2"/>
    </sheetView>
  </sheetViews>
  <sheetFormatPr defaultColWidth="8.6640625" defaultRowHeight="12.75"/>
  <cols>
    <col min="1" max="1" width="3.1640625" style="1" customWidth="1"/>
    <col min="2" max="2" width="2.33203125" style="1" customWidth="1"/>
    <col min="3" max="3" width="5.33203125" style="2" customWidth="1"/>
    <col min="4" max="4" width="23" style="1" customWidth="1"/>
    <col min="5" max="5" width="30.83203125" style="4" customWidth="1"/>
    <col min="6" max="6" width="23.83203125" style="4" customWidth="1"/>
    <col min="7" max="7" width="6" style="1" bestFit="1" customWidth="1"/>
    <col min="8" max="9" width="4.6640625" style="1" customWidth="1"/>
    <col min="10" max="130" width="13.33203125" style="1" customWidth="1"/>
    <col min="131" max="16384" width="8.6640625" style="1"/>
  </cols>
  <sheetData>
    <row r="2" spans="1:26" s="8" customFormat="1" ht="15.75">
      <c r="A2" s="1"/>
      <c r="B2" s="219" t="s">
        <v>86</v>
      </c>
      <c r="C2" s="219"/>
      <c r="D2" s="219"/>
      <c r="E2" s="219"/>
      <c r="F2" s="219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</row>
    <row r="4" spans="1:26" ht="15.75">
      <c r="B4" s="9" t="s">
        <v>94</v>
      </c>
      <c r="C4" s="10"/>
      <c r="D4" s="11"/>
      <c r="E4" s="23"/>
      <c r="F4" s="23"/>
      <c r="H4" s="9" t="s">
        <v>14</v>
      </c>
      <c r="I4" s="9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7"/>
      <c r="V4" s="7"/>
      <c r="W4" s="7"/>
      <c r="X4" s="7"/>
      <c r="Y4" s="7"/>
    </row>
    <row r="5" spans="1:26">
      <c r="C5" s="221" t="str">
        <f>Trade!C5</f>
        <v>FRB000001</v>
      </c>
      <c r="D5" s="221"/>
      <c r="E5" s="221"/>
      <c r="F5" s="222"/>
      <c r="J5" s="221" t="str">
        <f>"CSR/"&amp; Trade!F21</f>
        <v>CSR/IRKRW-Treasury-CSR</v>
      </c>
      <c r="K5" s="221"/>
      <c r="M5" s="221" t="str">
        <f>"GIRR/" &amp; Trade!F19</f>
        <v>GIRR/IRKRW-IRS</v>
      </c>
      <c r="N5" s="221"/>
      <c r="P5" s="208"/>
      <c r="Q5" s="212"/>
      <c r="S5" s="221" t="str">
        <f>IF(F37&lt;&gt;"KRW", "FX"&amp;F37, "")</f>
        <v>FXUSD</v>
      </c>
      <c r="T5" s="221"/>
    </row>
    <row r="6" spans="1:26" s="12" customFormat="1">
      <c r="A6" s="1"/>
      <c r="C6" s="13" t="s">
        <v>7</v>
      </c>
      <c r="D6" s="14" t="s">
        <v>8</v>
      </c>
      <c r="E6" s="14" t="s">
        <v>15</v>
      </c>
      <c r="F6" s="14" t="s">
        <v>12</v>
      </c>
      <c r="G6" s="12" t="s">
        <v>9</v>
      </c>
      <c r="H6" s="15" t="s">
        <v>10</v>
      </c>
      <c r="J6" s="13" t="s">
        <v>16</v>
      </c>
      <c r="K6" s="13" t="s">
        <v>12</v>
      </c>
      <c r="M6" s="13" t="s">
        <v>16</v>
      </c>
      <c r="N6" s="13" t="s">
        <v>12</v>
      </c>
      <c r="P6" s="13" t="s">
        <v>16</v>
      </c>
      <c r="Q6" s="13" t="s">
        <v>12</v>
      </c>
      <c r="R6" s="1"/>
      <c r="S6" s="49" t="s">
        <v>414</v>
      </c>
      <c r="T6" s="49" t="s">
        <v>2</v>
      </c>
      <c r="U6" s="1"/>
      <c r="V6" s="1"/>
      <c r="W6" s="1"/>
      <c r="X6" s="1"/>
      <c r="Y6" s="1"/>
      <c r="Z6" s="1"/>
    </row>
    <row r="7" spans="1:26">
      <c r="C7" s="49">
        <v>1</v>
      </c>
      <c r="D7" s="17" t="s">
        <v>17</v>
      </c>
      <c r="E7" s="19" t="s">
        <v>89</v>
      </c>
      <c r="F7" s="153">
        <v>5535542219.77843</v>
      </c>
      <c r="G7" s="1" t="s">
        <v>9</v>
      </c>
      <c r="H7" s="18">
        <v>1</v>
      </c>
      <c r="I7" s="2"/>
      <c r="J7" s="36">
        <v>0.5</v>
      </c>
      <c r="K7" s="171">
        <v>-24214639.60647583</v>
      </c>
      <c r="M7" s="36">
        <v>0.25</v>
      </c>
      <c r="N7" s="29">
        <v>-4285230.3504943848</v>
      </c>
      <c r="P7" s="211"/>
      <c r="Q7" s="204"/>
      <c r="S7" s="5">
        <v>0</v>
      </c>
      <c r="T7" s="17">
        <f>IF(S5&lt;&gt;"",F7,"")</f>
        <v>5535542219.77843</v>
      </c>
    </row>
    <row r="8" spans="1:26">
      <c r="C8" s="49">
        <v>2</v>
      </c>
      <c r="D8" s="27" t="s">
        <v>14</v>
      </c>
      <c r="E8" s="39" t="s">
        <v>89</v>
      </c>
      <c r="F8" s="154">
        <v>-31502036234.044998</v>
      </c>
      <c r="G8" s="1" t="s">
        <v>9</v>
      </c>
      <c r="H8" s="18">
        <v>2</v>
      </c>
      <c r="I8" s="2"/>
      <c r="J8" s="36">
        <v>1</v>
      </c>
      <c r="K8" s="171">
        <v>-151722504.99725342</v>
      </c>
      <c r="M8" s="36">
        <v>0.5</v>
      </c>
      <c r="N8" s="29">
        <v>-19929556.732177734</v>
      </c>
      <c r="P8" s="211"/>
      <c r="Q8" s="204"/>
    </row>
    <row r="9" spans="1:26">
      <c r="C9" s="49">
        <v>3</v>
      </c>
      <c r="D9" s="33" t="s">
        <v>18</v>
      </c>
      <c r="E9" s="40" t="s">
        <v>90</v>
      </c>
      <c r="F9" s="143"/>
      <c r="G9" s="1" t="s">
        <v>9</v>
      </c>
      <c r="H9" s="18">
        <v>3</v>
      </c>
      <c r="I9" s="2"/>
      <c r="J9" s="36">
        <v>3</v>
      </c>
      <c r="K9" s="171">
        <v>-474461473.45542908</v>
      </c>
      <c r="M9" s="36">
        <v>1</v>
      </c>
      <c r="N9" s="29">
        <v>-76031363.534927368</v>
      </c>
      <c r="P9" s="211"/>
      <c r="Q9" s="204"/>
    </row>
    <row r="10" spans="1:26">
      <c r="B10" s="3"/>
      <c r="C10" s="49">
        <v>4</v>
      </c>
      <c r="D10" s="27" t="s">
        <v>19</v>
      </c>
      <c r="E10" s="39" t="s">
        <v>89</v>
      </c>
      <c r="F10" s="154">
        <v>184460713291.168</v>
      </c>
      <c r="G10" s="1" t="s">
        <v>9</v>
      </c>
      <c r="H10" s="18">
        <v>4</v>
      </c>
      <c r="I10" s="2"/>
      <c r="J10" s="36">
        <v>5</v>
      </c>
      <c r="K10" s="171">
        <v>-24525009726.819992</v>
      </c>
      <c r="M10" s="36">
        <v>2</v>
      </c>
      <c r="N10" s="29">
        <v>-158404648.75221252</v>
      </c>
      <c r="P10" s="211"/>
      <c r="Q10" s="204"/>
    </row>
    <row r="11" spans="1:26">
      <c r="C11" s="49">
        <v>5</v>
      </c>
      <c r="D11" s="27" t="s">
        <v>30</v>
      </c>
      <c r="E11" s="39" t="s">
        <v>89</v>
      </c>
      <c r="F11" s="155">
        <v>5.6926616650735999</v>
      </c>
      <c r="G11" s="1" t="s">
        <v>9</v>
      </c>
      <c r="H11" s="18">
        <v>5</v>
      </c>
      <c r="I11" s="2"/>
      <c r="J11" s="36">
        <v>10</v>
      </c>
      <c r="K11" s="171">
        <v>-6329655269.8040009</v>
      </c>
      <c r="M11" s="36">
        <v>3</v>
      </c>
      <c r="N11" s="29">
        <v>-391747015.81001282</v>
      </c>
      <c r="P11" s="211"/>
      <c r="Q11" s="204"/>
    </row>
    <row r="12" spans="1:26">
      <c r="C12" s="49">
        <v>6</v>
      </c>
      <c r="D12" s="27" t="s">
        <v>88</v>
      </c>
      <c r="E12" s="39" t="s">
        <v>89</v>
      </c>
      <c r="F12" s="155">
        <v>35.128992231632999</v>
      </c>
      <c r="G12" s="1" t="s">
        <v>9</v>
      </c>
      <c r="H12" s="18">
        <v>6</v>
      </c>
      <c r="I12" s="2"/>
      <c r="M12" s="36">
        <v>5</v>
      </c>
      <c r="N12" s="29">
        <v>-24525009726.819992</v>
      </c>
      <c r="P12" s="211"/>
      <c r="Q12" s="204"/>
    </row>
    <row r="13" spans="1:26">
      <c r="C13" s="49">
        <v>7</v>
      </c>
      <c r="D13" s="27" t="s">
        <v>31</v>
      </c>
      <c r="E13" s="39" t="s">
        <v>89</v>
      </c>
      <c r="F13" s="154">
        <v>-3150203.6234045001</v>
      </c>
      <c r="G13" s="1" t="s">
        <v>9</v>
      </c>
      <c r="H13" s="18">
        <v>6</v>
      </c>
      <c r="I13" s="2"/>
      <c r="M13" s="36">
        <v>10</v>
      </c>
      <c r="N13" s="29">
        <v>-6329655269.8040009</v>
      </c>
      <c r="P13" s="211"/>
      <c r="Q13" s="204"/>
    </row>
    <row r="14" spans="1:26">
      <c r="C14" s="49">
        <v>8</v>
      </c>
      <c r="D14" s="17" t="s">
        <v>21</v>
      </c>
      <c r="E14" s="19" t="s">
        <v>89</v>
      </c>
      <c r="F14" s="35" t="s">
        <v>638</v>
      </c>
      <c r="G14" s="1" t="s">
        <v>9</v>
      </c>
      <c r="H14" s="18">
        <v>7</v>
      </c>
      <c r="I14" s="2"/>
      <c r="M14" s="36"/>
      <c r="N14" s="29"/>
      <c r="P14" s="211"/>
      <c r="Q14" s="204"/>
    </row>
    <row r="15" spans="1:26">
      <c r="C15" s="49">
        <v>9</v>
      </c>
      <c r="D15" s="17" t="s">
        <v>32</v>
      </c>
      <c r="E15" s="19" t="s">
        <v>89</v>
      </c>
      <c r="F15" s="35" t="s">
        <v>639</v>
      </c>
      <c r="G15" s="1" t="s">
        <v>9</v>
      </c>
      <c r="H15" s="18">
        <v>8</v>
      </c>
      <c r="I15" s="2"/>
      <c r="M15" s="36"/>
      <c r="N15" s="29"/>
      <c r="P15" s="211"/>
      <c r="Q15" s="204"/>
    </row>
    <row r="16" spans="1:26">
      <c r="C16" s="49">
        <v>10</v>
      </c>
      <c r="D16" s="33" t="s">
        <v>22</v>
      </c>
      <c r="E16" s="40" t="s">
        <v>90</v>
      </c>
      <c r="F16" s="41"/>
      <c r="G16" s="1" t="s">
        <v>9</v>
      </c>
      <c r="H16" s="18">
        <v>9</v>
      </c>
      <c r="I16" s="2"/>
      <c r="M16" s="36"/>
      <c r="N16" s="29"/>
      <c r="P16" s="211"/>
      <c r="Q16" s="204"/>
    </row>
    <row r="17" spans="2:130">
      <c r="C17" s="49">
        <v>11</v>
      </c>
      <c r="D17" s="33" t="s">
        <v>33</v>
      </c>
      <c r="E17" s="40" t="s">
        <v>90</v>
      </c>
      <c r="F17" s="41"/>
      <c r="G17" s="1" t="s">
        <v>9</v>
      </c>
      <c r="H17" s="18">
        <v>10</v>
      </c>
      <c r="I17" s="2"/>
      <c r="M17" s="36"/>
      <c r="N17" s="29"/>
      <c r="P17" s="211"/>
      <c r="Q17" s="204"/>
    </row>
    <row r="18" spans="2:130">
      <c r="B18" s="3"/>
      <c r="C18" s="49">
        <v>12</v>
      </c>
      <c r="D18" s="33" t="s">
        <v>34</v>
      </c>
      <c r="E18" s="40" t="s">
        <v>90</v>
      </c>
      <c r="F18" s="41"/>
      <c r="G18" s="1" t="s">
        <v>9</v>
      </c>
      <c r="H18" s="21">
        <v>11</v>
      </c>
      <c r="I18" s="2"/>
      <c r="M18" s="36"/>
      <c r="N18" s="29"/>
      <c r="P18" s="211"/>
      <c r="Q18" s="204"/>
    </row>
    <row r="19" spans="2:130">
      <c r="C19" s="49">
        <v>13</v>
      </c>
      <c r="D19" s="33" t="s">
        <v>35</v>
      </c>
      <c r="E19" s="40" t="s">
        <v>90</v>
      </c>
      <c r="F19" s="41"/>
      <c r="G19" s="1" t="s">
        <v>9</v>
      </c>
    </row>
    <row r="20" spans="2:130">
      <c r="C20" s="49">
        <v>14</v>
      </c>
      <c r="D20" s="33" t="s">
        <v>36</v>
      </c>
      <c r="E20" s="40" t="s">
        <v>90</v>
      </c>
      <c r="F20" s="41"/>
      <c r="G20" s="1" t="s">
        <v>9</v>
      </c>
    </row>
    <row r="21" spans="2:130">
      <c r="B21" s="3"/>
      <c r="C21" s="49">
        <v>15</v>
      </c>
      <c r="D21" s="33" t="s">
        <v>37</v>
      </c>
      <c r="E21" s="40" t="s">
        <v>90</v>
      </c>
      <c r="F21" s="41"/>
      <c r="G21" s="1" t="s">
        <v>9</v>
      </c>
      <c r="H21" s="9" t="s">
        <v>20</v>
      </c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11"/>
      <c r="V21" s="11"/>
      <c r="W21" s="11"/>
      <c r="X21" s="11"/>
      <c r="Y21" s="11"/>
    </row>
    <row r="22" spans="2:130">
      <c r="C22" s="49">
        <v>16</v>
      </c>
      <c r="D22" s="33" t="s">
        <v>38</v>
      </c>
      <c r="E22" s="40" t="s">
        <v>90</v>
      </c>
      <c r="F22" s="41"/>
      <c r="G22" s="1" t="s">
        <v>9</v>
      </c>
      <c r="J22" s="56" t="str">
        <f>"CSR/" &amp; Trade!F21</f>
        <v>CSR/IRKRW-Treasury-CSR</v>
      </c>
      <c r="K22" s="56"/>
      <c r="M22" s="56" t="str">
        <f>"GIRR/" &amp; Trade!F19</f>
        <v>GIRR/IRKRW-IRS</v>
      </c>
      <c r="N22" s="56"/>
      <c r="P22" s="208"/>
      <c r="Q22" s="208"/>
    </row>
    <row r="23" spans="2:130">
      <c r="C23" s="49">
        <v>17</v>
      </c>
      <c r="D23" s="17" t="s">
        <v>39</v>
      </c>
      <c r="E23" s="19" t="s">
        <v>89</v>
      </c>
      <c r="F23" s="35" t="s">
        <v>640</v>
      </c>
      <c r="G23" s="1" t="s">
        <v>9</v>
      </c>
      <c r="H23" s="15" t="s">
        <v>10</v>
      </c>
      <c r="J23" s="22" t="s">
        <v>91</v>
      </c>
      <c r="K23" s="22" t="s">
        <v>12</v>
      </c>
      <c r="M23" s="22" t="s">
        <v>91</v>
      </c>
      <c r="N23" s="22" t="s">
        <v>12</v>
      </c>
      <c r="P23" s="209" t="s">
        <v>91</v>
      </c>
      <c r="Q23" s="209" t="s">
        <v>12</v>
      </c>
    </row>
    <row r="24" spans="2:130">
      <c r="C24" s="49">
        <v>18</v>
      </c>
      <c r="D24" s="17" t="s">
        <v>115</v>
      </c>
      <c r="E24" s="19" t="s">
        <v>89</v>
      </c>
      <c r="F24" s="35" t="s">
        <v>641</v>
      </c>
      <c r="G24" s="1" t="s">
        <v>9</v>
      </c>
      <c r="H24" s="18">
        <v>1</v>
      </c>
      <c r="J24" s="6" t="s">
        <v>92</v>
      </c>
      <c r="K24" s="171">
        <v>-1366076485.10391</v>
      </c>
      <c r="M24" s="6" t="s">
        <v>92</v>
      </c>
      <c r="N24" s="171">
        <v>-509905935.66953182</v>
      </c>
      <c r="P24" s="33" t="s">
        <v>92</v>
      </c>
      <c r="Q24" s="210"/>
    </row>
    <row r="25" spans="2:130">
      <c r="C25" s="49">
        <v>19</v>
      </c>
      <c r="D25" s="33" t="s">
        <v>40</v>
      </c>
      <c r="E25" s="40" t="s">
        <v>89</v>
      </c>
      <c r="F25" s="41"/>
      <c r="G25" s="1" t="s">
        <v>9</v>
      </c>
      <c r="H25" s="21">
        <v>2</v>
      </c>
      <c r="J25" s="6" t="s">
        <v>93</v>
      </c>
      <c r="K25" s="171">
        <v>1830592484.9111242</v>
      </c>
      <c r="M25" s="6" t="s">
        <v>93</v>
      </c>
      <c r="N25" s="171">
        <v>563259921.29488373</v>
      </c>
      <c r="P25" s="33" t="s">
        <v>93</v>
      </c>
      <c r="Q25" s="210"/>
    </row>
    <row r="26" spans="2:130">
      <c r="C26" s="49">
        <v>20</v>
      </c>
      <c r="D26" s="33" t="s">
        <v>41</v>
      </c>
      <c r="E26" s="40" t="s">
        <v>89</v>
      </c>
      <c r="F26" s="41"/>
      <c r="G26" s="1" t="s">
        <v>9</v>
      </c>
    </row>
    <row r="27" spans="2:130">
      <c r="C27" s="49">
        <v>21</v>
      </c>
      <c r="D27" s="33" t="s">
        <v>42</v>
      </c>
      <c r="E27" s="40" t="s">
        <v>89</v>
      </c>
      <c r="F27" s="41"/>
      <c r="G27" s="1" t="s">
        <v>9</v>
      </c>
    </row>
    <row r="28" spans="2:130">
      <c r="C28" s="49">
        <v>22</v>
      </c>
      <c r="D28" s="17" t="s">
        <v>1</v>
      </c>
      <c r="E28" s="19" t="s">
        <v>89</v>
      </c>
      <c r="F28" s="35" t="s">
        <v>642</v>
      </c>
      <c r="G28" s="1" t="s">
        <v>9</v>
      </c>
      <c r="H28" s="3" t="s">
        <v>615</v>
      </c>
    </row>
    <row r="29" spans="2:130">
      <c r="C29" s="49">
        <v>23</v>
      </c>
      <c r="D29" s="24" t="s">
        <v>43</v>
      </c>
      <c r="E29" s="60" t="s">
        <v>89</v>
      </c>
      <c r="F29" s="151"/>
      <c r="G29" s="1" t="s">
        <v>9</v>
      </c>
      <c r="H29" s="3" t="s">
        <v>402</v>
      </c>
      <c r="J29" s="3"/>
      <c r="K29" s="3"/>
      <c r="L29" s="3"/>
      <c r="M29" s="3"/>
      <c r="N29" s="3"/>
      <c r="O29" s="3"/>
      <c r="P29" s="3"/>
    </row>
    <row r="30" spans="2:130">
      <c r="C30" s="49">
        <v>24</v>
      </c>
      <c r="D30" s="5" t="s">
        <v>80</v>
      </c>
      <c r="E30" s="19" t="s">
        <v>89</v>
      </c>
      <c r="F30" s="152">
        <v>1.39860003015839E-3</v>
      </c>
      <c r="G30" s="1" t="s">
        <v>9</v>
      </c>
    </row>
    <row r="31" spans="2:130">
      <c r="D31" s="2"/>
      <c r="E31" s="2"/>
      <c r="F31" s="2"/>
    </row>
    <row r="32" spans="2:130">
      <c r="B32" s="38" t="s">
        <v>118</v>
      </c>
      <c r="C32" s="38"/>
      <c r="D32" s="38"/>
      <c r="E32" s="38"/>
      <c r="F32" s="38"/>
      <c r="G32" s="1" t="s">
        <v>9</v>
      </c>
      <c r="H32" s="9" t="s">
        <v>87</v>
      </c>
      <c r="I32" s="9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11"/>
      <c r="AL32" s="11"/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  <c r="BC32" s="11"/>
      <c r="BD32" s="11"/>
      <c r="BE32" s="11"/>
      <c r="BF32" s="11"/>
      <c r="BG32" s="11"/>
      <c r="BH32" s="11"/>
      <c r="BI32" s="11"/>
      <c r="BJ32" s="11"/>
      <c r="BK32" s="11"/>
      <c r="BL32" s="11"/>
      <c r="BM32" s="11"/>
      <c r="BN32" s="11"/>
      <c r="BO32" s="11"/>
      <c r="BP32" s="11"/>
      <c r="BQ32" s="11"/>
      <c r="BR32" s="11"/>
      <c r="BS32" s="11"/>
      <c r="BT32" s="11"/>
      <c r="BU32" s="11"/>
      <c r="BV32" s="11"/>
      <c r="BW32" s="11"/>
      <c r="BX32" s="11"/>
      <c r="BY32" s="11"/>
      <c r="BZ32" s="11"/>
      <c r="CA32" s="11"/>
      <c r="CB32" s="11"/>
      <c r="CC32" s="11"/>
      <c r="CD32" s="11"/>
      <c r="CE32" s="11"/>
      <c r="CF32" s="11"/>
      <c r="CG32" s="11"/>
      <c r="CH32" s="11"/>
      <c r="CI32" s="11"/>
      <c r="CJ32" s="11"/>
      <c r="CK32" s="11"/>
      <c r="CL32" s="11"/>
      <c r="CM32" s="11"/>
      <c r="CN32" s="11"/>
      <c r="CO32" s="11"/>
      <c r="CP32" s="11"/>
      <c r="CQ32" s="11"/>
      <c r="CR32" s="11"/>
      <c r="CS32" s="11"/>
      <c r="CT32" s="11"/>
      <c r="CU32" s="11"/>
      <c r="CV32" s="11"/>
      <c r="CW32" s="11"/>
      <c r="CX32" s="11"/>
      <c r="CY32" s="11"/>
      <c r="CZ32" s="11"/>
      <c r="DA32" s="11"/>
      <c r="DB32" s="11"/>
      <c r="DC32" s="11"/>
      <c r="DD32" s="11"/>
      <c r="DE32" s="11"/>
      <c r="DF32" s="11"/>
      <c r="DG32" s="11"/>
      <c r="DH32" s="11"/>
      <c r="DI32" s="11"/>
      <c r="DJ32" s="11"/>
      <c r="DK32" s="11"/>
      <c r="DL32" s="11"/>
      <c r="DM32" s="11"/>
      <c r="DN32" s="11"/>
      <c r="DO32" s="11"/>
      <c r="DP32" s="11"/>
      <c r="DQ32" s="11"/>
      <c r="DR32" s="11"/>
      <c r="DS32" s="11"/>
      <c r="DT32" s="11"/>
      <c r="DU32" s="11"/>
      <c r="DV32" s="11"/>
      <c r="DW32" s="11"/>
      <c r="DX32" s="11"/>
      <c r="DY32" s="11"/>
      <c r="DZ32" s="11"/>
    </row>
    <row r="33" spans="1:130">
      <c r="C33" s="13" t="s">
        <v>3</v>
      </c>
      <c r="D33" s="14" t="s">
        <v>8</v>
      </c>
      <c r="E33" s="14" t="s">
        <v>85</v>
      </c>
      <c r="F33" s="14" t="s">
        <v>2</v>
      </c>
      <c r="G33" s="1" t="s">
        <v>9</v>
      </c>
      <c r="J33" s="202" t="str">
        <f>Trade!F18</f>
        <v>SCH_001</v>
      </c>
      <c r="K33" s="31"/>
      <c r="L33" s="31"/>
      <c r="M33" s="31"/>
      <c r="N33" s="31"/>
      <c r="O33" s="31"/>
      <c r="P33" s="31"/>
      <c r="Q33" s="31"/>
      <c r="R33" s="31"/>
      <c r="S33" s="31"/>
      <c r="T33" s="31"/>
      <c r="U33" s="31"/>
      <c r="V33" s="31"/>
      <c r="W33" s="31"/>
      <c r="X33" s="31"/>
      <c r="Y33" s="31"/>
      <c r="Z33" s="31"/>
      <c r="AA33" s="31"/>
      <c r="AB33" s="31"/>
      <c r="AC33" s="31"/>
      <c r="AD33" s="31"/>
      <c r="AE33" s="31"/>
      <c r="AF33" s="31"/>
      <c r="AG33" s="31"/>
      <c r="AH33" s="31"/>
      <c r="AI33" s="31"/>
      <c r="AJ33" s="31"/>
      <c r="AK33" s="31"/>
      <c r="AL33" s="31"/>
      <c r="AM33" s="31"/>
      <c r="AN33" s="31"/>
      <c r="AO33" s="31"/>
      <c r="AP33" s="31"/>
      <c r="AQ33" s="31"/>
      <c r="AR33" s="31"/>
      <c r="AS33" s="31"/>
      <c r="AT33" s="31"/>
      <c r="AU33" s="31"/>
      <c r="AV33" s="31"/>
      <c r="AW33" s="31"/>
      <c r="AX33" s="31"/>
      <c r="AY33" s="31"/>
      <c r="AZ33" s="31"/>
      <c r="BA33" s="31"/>
      <c r="BB33" s="31"/>
      <c r="BC33" s="31"/>
      <c r="BD33" s="31"/>
      <c r="BE33" s="31"/>
      <c r="BF33" s="31"/>
      <c r="BG33" s="31"/>
      <c r="BH33" s="31"/>
      <c r="BI33" s="31"/>
      <c r="BJ33" s="31"/>
      <c r="BK33" s="31"/>
      <c r="BL33" s="31"/>
      <c r="BM33" s="31"/>
      <c r="BN33" s="31"/>
      <c r="BO33" s="31"/>
      <c r="BP33" s="31"/>
      <c r="BQ33" s="31"/>
      <c r="BR33" s="31"/>
      <c r="BS33" s="31"/>
      <c r="BT33" s="31"/>
      <c r="BU33" s="31"/>
      <c r="BV33" s="31"/>
      <c r="BW33" s="31"/>
      <c r="BX33" s="31"/>
      <c r="BY33" s="31"/>
      <c r="BZ33" s="31"/>
      <c r="CA33" s="31"/>
      <c r="CB33" s="31"/>
      <c r="CC33" s="31"/>
      <c r="CD33" s="31"/>
      <c r="CE33" s="31"/>
      <c r="CF33" s="31"/>
      <c r="CG33" s="31"/>
      <c r="CH33" s="31"/>
      <c r="CI33" s="31"/>
      <c r="CJ33" s="31"/>
      <c r="CK33" s="31"/>
      <c r="CL33" s="31"/>
      <c r="CM33" s="31"/>
      <c r="CN33" s="31"/>
      <c r="CO33" s="31"/>
      <c r="CP33" s="31"/>
      <c r="CQ33" s="31"/>
      <c r="CR33" s="31"/>
      <c r="CS33" s="31"/>
      <c r="CT33" s="31"/>
      <c r="CU33" s="31"/>
      <c r="CV33" s="31"/>
      <c r="CW33" s="31"/>
      <c r="CX33" s="31"/>
      <c r="CY33" s="31"/>
      <c r="CZ33" s="31"/>
      <c r="DA33" s="31"/>
      <c r="DB33" s="31"/>
      <c r="DC33" s="31"/>
      <c r="DD33" s="31"/>
      <c r="DE33" s="31"/>
      <c r="DF33" s="31"/>
      <c r="DG33" s="31"/>
      <c r="DH33" s="31"/>
      <c r="DI33" s="31"/>
      <c r="DJ33" s="31"/>
      <c r="DK33" s="31"/>
      <c r="DL33" s="31"/>
      <c r="DM33" s="31"/>
      <c r="DN33" s="31"/>
      <c r="DO33" s="31"/>
      <c r="DP33" s="31"/>
      <c r="DQ33" s="31"/>
      <c r="DR33" s="31"/>
      <c r="DS33" s="31"/>
      <c r="DT33" s="31"/>
      <c r="DU33" s="31"/>
      <c r="DV33" s="31"/>
      <c r="DW33" s="31"/>
      <c r="DX33" s="31"/>
      <c r="DY33" s="31"/>
      <c r="DZ33" s="190"/>
    </row>
    <row r="34" spans="1:130">
      <c r="C34" s="50">
        <v>1</v>
      </c>
      <c r="D34" s="34" t="s">
        <v>120</v>
      </c>
      <c r="E34" s="34" t="s">
        <v>656</v>
      </c>
      <c r="F34" s="195">
        <v>1.7000000000000001E-2</v>
      </c>
      <c r="H34" s="15" t="s">
        <v>10</v>
      </c>
      <c r="J34" s="22" t="s">
        <v>10</v>
      </c>
      <c r="K34" s="6">
        <v>1</v>
      </c>
      <c r="L34" s="6">
        <v>2</v>
      </c>
      <c r="M34" s="6">
        <v>3</v>
      </c>
      <c r="N34" s="6">
        <v>4</v>
      </c>
      <c r="O34" s="6">
        <v>5</v>
      </c>
      <c r="P34" s="6">
        <v>6</v>
      </c>
      <c r="Q34" s="6">
        <v>7</v>
      </c>
      <c r="R34" s="6">
        <v>8</v>
      </c>
      <c r="S34" s="33">
        <v>9</v>
      </c>
      <c r="T34" s="33">
        <v>10</v>
      </c>
      <c r="U34" s="33">
        <v>11</v>
      </c>
      <c r="V34" s="33">
        <v>12</v>
      </c>
      <c r="W34" s="33">
        <v>13</v>
      </c>
      <c r="X34" s="33">
        <v>14</v>
      </c>
      <c r="Y34" s="33">
        <v>15</v>
      </c>
      <c r="Z34" s="33">
        <v>16</v>
      </c>
      <c r="AA34" s="33">
        <v>17</v>
      </c>
      <c r="AB34" s="33">
        <v>18</v>
      </c>
      <c r="AC34" s="33">
        <v>19</v>
      </c>
      <c r="AD34" s="33">
        <v>20</v>
      </c>
      <c r="AE34" s="33">
        <v>21</v>
      </c>
      <c r="AF34" s="33">
        <v>22</v>
      </c>
      <c r="AG34" s="33">
        <v>23</v>
      </c>
      <c r="AH34" s="33">
        <v>24</v>
      </c>
      <c r="AI34" s="33">
        <v>25</v>
      </c>
      <c r="AJ34" s="33">
        <v>26</v>
      </c>
      <c r="AK34" s="33">
        <v>27</v>
      </c>
      <c r="AL34" s="33">
        <v>28</v>
      </c>
      <c r="AM34" s="33">
        <v>29</v>
      </c>
      <c r="AN34" s="33">
        <v>30</v>
      </c>
      <c r="AO34" s="33">
        <v>31</v>
      </c>
      <c r="AP34" s="33">
        <v>32</v>
      </c>
      <c r="AQ34" s="33">
        <v>33</v>
      </c>
      <c r="AR34" s="33">
        <v>34</v>
      </c>
      <c r="AS34" s="33">
        <v>35</v>
      </c>
      <c r="AT34" s="33">
        <v>36</v>
      </c>
      <c r="AU34" s="33">
        <v>37</v>
      </c>
      <c r="AV34" s="33">
        <v>38</v>
      </c>
      <c r="AW34" s="33">
        <v>39</v>
      </c>
      <c r="AX34" s="33">
        <v>40</v>
      </c>
      <c r="AY34" s="33">
        <v>41</v>
      </c>
      <c r="AZ34" s="33">
        <v>42</v>
      </c>
      <c r="BA34" s="33">
        <v>43</v>
      </c>
      <c r="BB34" s="33">
        <v>44</v>
      </c>
      <c r="BC34" s="33">
        <v>45</v>
      </c>
      <c r="BD34" s="33">
        <v>46</v>
      </c>
      <c r="BE34" s="33">
        <v>47</v>
      </c>
      <c r="BF34" s="33">
        <v>48</v>
      </c>
      <c r="BG34" s="33">
        <v>49</v>
      </c>
      <c r="BH34" s="33">
        <v>50</v>
      </c>
      <c r="BI34" s="33">
        <v>51</v>
      </c>
      <c r="BJ34" s="33">
        <v>52</v>
      </c>
      <c r="BK34" s="33">
        <v>53</v>
      </c>
      <c r="BL34" s="33">
        <v>54</v>
      </c>
      <c r="BM34" s="33">
        <v>55</v>
      </c>
      <c r="BN34" s="33">
        <v>56</v>
      </c>
      <c r="BO34" s="33">
        <v>57</v>
      </c>
      <c r="BP34" s="33">
        <v>58</v>
      </c>
      <c r="BQ34" s="33">
        <v>59</v>
      </c>
      <c r="BR34" s="33">
        <v>60</v>
      </c>
      <c r="BS34" s="33">
        <v>61</v>
      </c>
      <c r="BT34" s="33">
        <v>62</v>
      </c>
      <c r="BU34" s="33">
        <v>63</v>
      </c>
      <c r="BV34" s="33">
        <v>64</v>
      </c>
      <c r="BW34" s="33">
        <v>65</v>
      </c>
      <c r="BX34" s="33">
        <v>66</v>
      </c>
      <c r="BY34" s="33">
        <v>67</v>
      </c>
      <c r="BZ34" s="33">
        <v>68</v>
      </c>
      <c r="CA34" s="33">
        <v>69</v>
      </c>
      <c r="CB34" s="33">
        <v>70</v>
      </c>
      <c r="CC34" s="33">
        <v>71</v>
      </c>
      <c r="CD34" s="33">
        <v>72</v>
      </c>
      <c r="CE34" s="33">
        <v>73</v>
      </c>
      <c r="CF34" s="33">
        <v>74</v>
      </c>
      <c r="CG34" s="33">
        <v>75</v>
      </c>
      <c r="CH34" s="33">
        <v>76</v>
      </c>
      <c r="CI34" s="33">
        <v>77</v>
      </c>
      <c r="CJ34" s="33">
        <v>78</v>
      </c>
      <c r="CK34" s="33">
        <v>79</v>
      </c>
      <c r="CL34" s="33">
        <v>80</v>
      </c>
      <c r="CM34" s="33">
        <v>81</v>
      </c>
      <c r="CN34" s="33">
        <v>82</v>
      </c>
      <c r="CO34" s="33">
        <v>83</v>
      </c>
      <c r="CP34" s="33">
        <v>84</v>
      </c>
      <c r="CQ34" s="33">
        <v>85</v>
      </c>
      <c r="CR34" s="33">
        <v>86</v>
      </c>
      <c r="CS34" s="33">
        <v>87</v>
      </c>
      <c r="CT34" s="33">
        <v>88</v>
      </c>
      <c r="CU34" s="33">
        <v>89</v>
      </c>
      <c r="CV34" s="33">
        <v>90</v>
      </c>
      <c r="CW34" s="33">
        <v>91</v>
      </c>
      <c r="CX34" s="33">
        <v>92</v>
      </c>
      <c r="CY34" s="33">
        <v>93</v>
      </c>
      <c r="CZ34" s="33">
        <v>94</v>
      </c>
      <c r="DA34" s="33">
        <v>95</v>
      </c>
      <c r="DB34" s="33">
        <v>96</v>
      </c>
      <c r="DC34" s="33">
        <v>97</v>
      </c>
      <c r="DD34" s="33">
        <v>98</v>
      </c>
      <c r="DE34" s="33">
        <v>99</v>
      </c>
      <c r="DF34" s="33">
        <v>100</v>
      </c>
      <c r="DG34" s="33">
        <v>101</v>
      </c>
      <c r="DH34" s="33">
        <v>102</v>
      </c>
      <c r="DI34" s="33">
        <v>103</v>
      </c>
      <c r="DJ34" s="33">
        <v>104</v>
      </c>
      <c r="DK34" s="33">
        <v>105</v>
      </c>
      <c r="DL34" s="33">
        <v>106</v>
      </c>
      <c r="DM34" s="33">
        <v>107</v>
      </c>
      <c r="DN34" s="33">
        <v>108</v>
      </c>
      <c r="DO34" s="33">
        <v>109</v>
      </c>
      <c r="DP34" s="33">
        <v>110</v>
      </c>
      <c r="DQ34" s="33">
        <v>111</v>
      </c>
      <c r="DR34" s="33">
        <v>112</v>
      </c>
      <c r="DS34" s="33">
        <v>113</v>
      </c>
      <c r="DT34" s="33">
        <v>114</v>
      </c>
      <c r="DU34" s="33">
        <v>115</v>
      </c>
      <c r="DV34" s="33">
        <v>116</v>
      </c>
      <c r="DW34" s="33">
        <v>117</v>
      </c>
      <c r="DX34" s="33">
        <v>118</v>
      </c>
      <c r="DY34" s="33">
        <v>119</v>
      </c>
      <c r="DZ34" s="33">
        <v>120</v>
      </c>
    </row>
    <row r="35" spans="1:130">
      <c r="C35" s="52">
        <v>2</v>
      </c>
      <c r="D35" s="34" t="s">
        <v>259</v>
      </c>
      <c r="E35" s="34" t="s">
        <v>657</v>
      </c>
      <c r="F35" s="195">
        <v>0.05</v>
      </c>
      <c r="H35" s="18">
        <v>1</v>
      </c>
      <c r="J35" s="185" t="s">
        <v>643</v>
      </c>
      <c r="K35" s="26">
        <v>45636</v>
      </c>
      <c r="L35" s="186">
        <v>45818</v>
      </c>
      <c r="M35" s="186">
        <v>46001</v>
      </c>
      <c r="N35" s="186">
        <v>46183</v>
      </c>
      <c r="O35" s="186">
        <v>46366</v>
      </c>
      <c r="P35" s="186">
        <v>46548</v>
      </c>
      <c r="Q35" s="186">
        <v>46731</v>
      </c>
      <c r="R35" s="186">
        <v>46916</v>
      </c>
      <c r="S35" s="186">
        <v>47098</v>
      </c>
      <c r="T35" s="186">
        <v>47280</v>
      </c>
      <c r="U35" s="186">
        <v>47462</v>
      </c>
      <c r="V35" s="186">
        <v>47644</v>
      </c>
      <c r="W35" s="26"/>
      <c r="X35" s="26"/>
      <c r="Y35" s="26"/>
      <c r="Z35" s="26"/>
      <c r="AA35" s="26"/>
      <c r="AB35" s="26"/>
      <c r="AC35" s="26"/>
      <c r="AD35" s="26"/>
      <c r="AE35" s="26"/>
      <c r="AF35" s="26"/>
      <c r="AG35" s="26"/>
      <c r="AH35" s="26"/>
      <c r="AI35" s="26"/>
      <c r="AJ35" s="26"/>
      <c r="AK35" s="26"/>
      <c r="AL35" s="26"/>
      <c r="AM35" s="26"/>
      <c r="AN35" s="26"/>
      <c r="AO35" s="26"/>
      <c r="AP35" s="26"/>
      <c r="AQ35" s="26"/>
      <c r="AR35" s="26"/>
      <c r="AS35" s="26"/>
      <c r="AT35" s="26"/>
      <c r="AU35" s="26"/>
      <c r="AV35" s="26"/>
      <c r="AW35" s="26"/>
      <c r="AX35" s="26"/>
      <c r="AY35" s="26"/>
      <c r="AZ35" s="26"/>
      <c r="BA35" s="26"/>
      <c r="BB35" s="26"/>
      <c r="BC35" s="26"/>
      <c r="BD35" s="26"/>
      <c r="BE35" s="26"/>
      <c r="BF35" s="26"/>
      <c r="BG35" s="26"/>
      <c r="BH35" s="26"/>
      <c r="BI35" s="26"/>
      <c r="BJ35" s="26"/>
      <c r="BK35" s="26"/>
      <c r="BL35" s="26"/>
      <c r="BM35" s="26"/>
      <c r="BN35" s="26"/>
      <c r="BO35" s="26"/>
      <c r="BP35" s="26"/>
      <c r="BQ35" s="26"/>
      <c r="BR35" s="26"/>
      <c r="BS35" s="26"/>
      <c r="BT35" s="26"/>
      <c r="BU35" s="26"/>
      <c r="BV35" s="26"/>
      <c r="BW35" s="26"/>
      <c r="BX35" s="26"/>
      <c r="BY35" s="26"/>
      <c r="BZ35" s="26"/>
      <c r="CA35" s="26"/>
      <c r="CB35" s="26"/>
      <c r="CC35" s="26"/>
      <c r="CD35" s="26"/>
      <c r="CE35" s="26"/>
      <c r="CF35" s="26"/>
      <c r="CG35" s="26"/>
      <c r="CH35" s="26"/>
      <c r="CI35" s="26"/>
      <c r="CJ35" s="26"/>
      <c r="CK35" s="26"/>
      <c r="CL35" s="26"/>
      <c r="CM35" s="26"/>
      <c r="CN35" s="26"/>
      <c r="CO35" s="26"/>
      <c r="CP35" s="26"/>
      <c r="CQ35" s="26"/>
      <c r="CR35" s="26"/>
      <c r="CS35" s="26"/>
      <c r="CT35" s="26"/>
      <c r="CU35" s="26"/>
      <c r="CV35" s="26"/>
      <c r="CW35" s="26"/>
      <c r="CX35" s="26"/>
      <c r="CY35" s="26"/>
      <c r="CZ35" s="26"/>
      <c r="DA35" s="26"/>
      <c r="DB35" s="26"/>
      <c r="DC35" s="26"/>
      <c r="DD35" s="26"/>
      <c r="DE35" s="26"/>
      <c r="DF35" s="26"/>
      <c r="DG35" s="26"/>
      <c r="DH35" s="26"/>
      <c r="DI35" s="26"/>
      <c r="DJ35" s="26"/>
      <c r="DK35" s="26"/>
      <c r="DL35" s="26"/>
      <c r="DM35" s="26"/>
      <c r="DN35" s="26"/>
      <c r="DO35" s="26"/>
      <c r="DP35" s="26"/>
      <c r="DQ35" s="26"/>
      <c r="DR35" s="26"/>
      <c r="DS35" s="26"/>
      <c r="DT35" s="26"/>
      <c r="DU35" s="26"/>
      <c r="DV35" s="26"/>
      <c r="DW35" s="26"/>
      <c r="DX35" s="26"/>
      <c r="DY35" s="26"/>
      <c r="DZ35" s="26"/>
    </row>
    <row r="36" spans="1:130">
      <c r="C36" s="52">
        <v>3</v>
      </c>
      <c r="D36" s="34" t="s">
        <v>81</v>
      </c>
      <c r="E36" s="51" t="s">
        <v>263</v>
      </c>
      <c r="F36" s="43">
        <v>1</v>
      </c>
      <c r="H36" s="18">
        <v>2</v>
      </c>
      <c r="J36" s="185" t="s">
        <v>644</v>
      </c>
      <c r="K36" s="26">
        <v>45818</v>
      </c>
      <c r="L36" s="26">
        <v>46001</v>
      </c>
      <c r="M36" s="26">
        <v>46183</v>
      </c>
      <c r="N36" s="26">
        <v>46366</v>
      </c>
      <c r="O36" s="26">
        <v>46548</v>
      </c>
      <c r="P36" s="26">
        <v>46731</v>
      </c>
      <c r="Q36" s="26">
        <v>46916</v>
      </c>
      <c r="R36" s="26">
        <v>47098</v>
      </c>
      <c r="S36" s="26">
        <v>47280</v>
      </c>
      <c r="T36" s="26">
        <v>47462</v>
      </c>
      <c r="U36" s="26">
        <v>47644</v>
      </c>
      <c r="V36" s="26">
        <v>47827</v>
      </c>
      <c r="W36" s="26"/>
      <c r="X36" s="26"/>
      <c r="Y36" s="26"/>
      <c r="Z36" s="26"/>
      <c r="AA36" s="26"/>
      <c r="AB36" s="26"/>
      <c r="AC36" s="26"/>
      <c r="AD36" s="26"/>
      <c r="AE36" s="26"/>
      <c r="AF36" s="26"/>
      <c r="AG36" s="26"/>
      <c r="AH36" s="26"/>
      <c r="AI36" s="26"/>
      <c r="AJ36" s="26"/>
      <c r="AK36" s="26"/>
      <c r="AL36" s="26"/>
      <c r="AM36" s="26"/>
      <c r="AN36" s="26"/>
      <c r="AO36" s="26"/>
      <c r="AP36" s="26"/>
      <c r="AQ36" s="26"/>
      <c r="AR36" s="26"/>
      <c r="AS36" s="26"/>
      <c r="AT36" s="26"/>
      <c r="AU36" s="26"/>
      <c r="AV36" s="26"/>
      <c r="AW36" s="26"/>
      <c r="AX36" s="26"/>
      <c r="AY36" s="26"/>
      <c r="AZ36" s="26"/>
      <c r="BA36" s="26"/>
      <c r="BB36" s="26"/>
      <c r="BC36" s="26"/>
      <c r="BD36" s="26"/>
      <c r="BE36" s="26"/>
      <c r="BF36" s="26"/>
      <c r="BG36" s="26"/>
      <c r="BH36" s="26"/>
      <c r="BI36" s="26"/>
      <c r="BJ36" s="26"/>
      <c r="BK36" s="26"/>
      <c r="BL36" s="26"/>
      <c r="BM36" s="26"/>
      <c r="BN36" s="26"/>
      <c r="BO36" s="26"/>
      <c r="BP36" s="26"/>
      <c r="BQ36" s="26"/>
      <c r="BR36" s="26"/>
      <c r="BS36" s="26"/>
      <c r="BT36" s="26"/>
      <c r="BU36" s="26"/>
      <c r="BV36" s="26"/>
      <c r="BW36" s="26"/>
      <c r="BX36" s="26"/>
      <c r="BY36" s="26"/>
      <c r="BZ36" s="26"/>
      <c r="CA36" s="26"/>
      <c r="CB36" s="26"/>
      <c r="CC36" s="26"/>
      <c r="CD36" s="26"/>
      <c r="CE36" s="26"/>
      <c r="CF36" s="26"/>
      <c r="CG36" s="26"/>
      <c r="CH36" s="26"/>
      <c r="CI36" s="26"/>
      <c r="CJ36" s="26"/>
      <c r="CK36" s="26"/>
      <c r="CL36" s="26"/>
      <c r="CM36" s="26"/>
      <c r="CN36" s="26"/>
      <c r="CO36" s="26"/>
      <c r="CP36" s="26"/>
      <c r="CQ36" s="26"/>
      <c r="CR36" s="26"/>
      <c r="CS36" s="26"/>
      <c r="CT36" s="26"/>
      <c r="CU36" s="26"/>
      <c r="CV36" s="26"/>
      <c r="CW36" s="26"/>
      <c r="CX36" s="26"/>
      <c r="CY36" s="26"/>
      <c r="CZ36" s="26"/>
      <c r="DA36" s="26"/>
      <c r="DB36" s="26"/>
      <c r="DC36" s="26"/>
      <c r="DD36" s="26"/>
      <c r="DE36" s="26"/>
      <c r="DF36" s="26"/>
      <c r="DG36" s="26"/>
      <c r="DH36" s="26"/>
      <c r="DI36" s="26"/>
      <c r="DJ36" s="26"/>
      <c r="DK36" s="26"/>
      <c r="DL36" s="26"/>
      <c r="DM36" s="26"/>
      <c r="DN36" s="26"/>
      <c r="DO36" s="26"/>
      <c r="DP36" s="26"/>
      <c r="DQ36" s="26"/>
      <c r="DR36" s="26"/>
      <c r="DS36" s="26"/>
      <c r="DT36" s="26"/>
      <c r="DU36" s="26"/>
      <c r="DV36" s="26"/>
      <c r="DW36" s="26"/>
      <c r="DX36" s="26"/>
      <c r="DY36" s="26"/>
      <c r="DZ36" s="26"/>
    </row>
    <row r="37" spans="1:130">
      <c r="C37" s="50">
        <v>4</v>
      </c>
      <c r="D37" s="34" t="s">
        <v>97</v>
      </c>
      <c r="E37" s="34" t="s">
        <v>82</v>
      </c>
      <c r="F37" s="34" t="s">
        <v>415</v>
      </c>
      <c r="H37" s="18">
        <v>3</v>
      </c>
      <c r="J37" s="185" t="s">
        <v>645</v>
      </c>
      <c r="K37" s="198">
        <v>6000000000</v>
      </c>
      <c r="L37" s="198">
        <v>6000000000</v>
      </c>
      <c r="M37" s="198">
        <v>6000000000</v>
      </c>
      <c r="N37" s="198">
        <v>6000000000</v>
      </c>
      <c r="O37" s="198">
        <v>6000000000</v>
      </c>
      <c r="P37" s="198">
        <v>6000000000</v>
      </c>
      <c r="Q37" s="198">
        <v>6000000000</v>
      </c>
      <c r="R37" s="198">
        <v>6000000000</v>
      </c>
      <c r="S37" s="198">
        <v>6000000000</v>
      </c>
      <c r="T37" s="198">
        <v>6000000000</v>
      </c>
      <c r="U37" s="198">
        <v>6000000000</v>
      </c>
      <c r="V37" s="198">
        <v>6000000000</v>
      </c>
      <c r="W37" s="198">
        <v>6000000000</v>
      </c>
      <c r="X37" s="198"/>
      <c r="Y37" s="199"/>
      <c r="Z37" s="199"/>
      <c r="AA37" s="199"/>
      <c r="AB37" s="199"/>
      <c r="AC37" s="199"/>
      <c r="AD37" s="199"/>
      <c r="AE37" s="199"/>
      <c r="AF37" s="199"/>
      <c r="AG37" s="199"/>
      <c r="AH37" s="199"/>
      <c r="AI37" s="199"/>
      <c r="AJ37" s="199"/>
      <c r="AK37" s="199"/>
      <c r="AL37" s="199"/>
      <c r="AM37" s="199"/>
      <c r="AN37" s="199"/>
      <c r="AO37" s="199"/>
      <c r="AP37" s="199"/>
      <c r="AQ37" s="199"/>
      <c r="AR37" s="199"/>
      <c r="AS37" s="199"/>
      <c r="AT37" s="199"/>
      <c r="AU37" s="199"/>
      <c r="AV37" s="199"/>
      <c r="AW37" s="199"/>
      <c r="AX37" s="199"/>
      <c r="AY37" s="199"/>
      <c r="AZ37" s="199"/>
      <c r="BA37" s="199"/>
      <c r="BB37" s="199"/>
      <c r="BC37" s="199"/>
      <c r="BD37" s="199"/>
      <c r="BE37" s="199"/>
      <c r="BF37" s="199"/>
      <c r="BG37" s="199"/>
      <c r="BH37" s="199"/>
      <c r="BI37" s="199"/>
      <c r="BJ37" s="199"/>
      <c r="BK37" s="199"/>
      <c r="BL37" s="199"/>
      <c r="BM37" s="199"/>
      <c r="BN37" s="199"/>
      <c r="BO37" s="199"/>
      <c r="BP37" s="199"/>
      <c r="BQ37" s="199"/>
      <c r="BR37" s="199"/>
      <c r="BS37" s="199"/>
      <c r="BT37" s="199"/>
      <c r="BU37" s="199"/>
      <c r="BV37" s="199"/>
      <c r="BW37" s="199"/>
      <c r="BX37" s="199"/>
      <c r="BY37" s="199"/>
      <c r="BZ37" s="199"/>
      <c r="CA37" s="199"/>
      <c r="CB37" s="199"/>
      <c r="CC37" s="199"/>
      <c r="CD37" s="199"/>
      <c r="CE37" s="199"/>
      <c r="CF37" s="199"/>
      <c r="CG37" s="199"/>
      <c r="CH37" s="199"/>
      <c r="CI37" s="199"/>
      <c r="CJ37" s="199"/>
      <c r="CK37" s="199"/>
      <c r="CL37" s="199"/>
      <c r="CM37" s="199"/>
      <c r="CN37" s="199"/>
      <c r="CO37" s="199"/>
      <c r="CP37" s="199"/>
      <c r="CQ37" s="199"/>
      <c r="CR37" s="199"/>
      <c r="CS37" s="199"/>
      <c r="CT37" s="199"/>
      <c r="CU37" s="199"/>
      <c r="CV37" s="199"/>
      <c r="CW37" s="199"/>
      <c r="CX37" s="199"/>
      <c r="CY37" s="199"/>
      <c r="CZ37" s="199"/>
      <c r="DA37" s="199"/>
      <c r="DB37" s="199"/>
      <c r="DC37" s="199"/>
      <c r="DD37" s="199"/>
      <c r="DE37" s="199"/>
      <c r="DF37" s="199"/>
      <c r="DG37" s="199"/>
      <c r="DH37" s="199"/>
      <c r="DI37" s="199"/>
      <c r="DJ37" s="199"/>
      <c r="DK37" s="199"/>
      <c r="DL37" s="199"/>
      <c r="DM37" s="199"/>
      <c r="DN37" s="199"/>
      <c r="DO37" s="199"/>
      <c r="DP37" s="199"/>
      <c r="DQ37" s="199"/>
      <c r="DR37" s="199"/>
      <c r="DS37" s="199"/>
      <c r="DT37" s="199"/>
      <c r="DU37" s="199"/>
      <c r="DV37" s="199"/>
      <c r="DW37" s="199"/>
      <c r="DX37" s="199"/>
      <c r="DY37" s="199"/>
      <c r="DZ37" s="199"/>
    </row>
    <row r="38" spans="1:130">
      <c r="C38" s="50">
        <v>5</v>
      </c>
      <c r="D38" s="34" t="s">
        <v>119</v>
      </c>
      <c r="E38" s="53" t="s">
        <v>121</v>
      </c>
      <c r="F38" s="54">
        <v>0.75</v>
      </c>
      <c r="H38" s="18">
        <v>4</v>
      </c>
      <c r="J38" s="185" t="s">
        <v>636</v>
      </c>
      <c r="K38" s="200">
        <v>1.4999999999999999E-2</v>
      </c>
      <c r="L38" s="200">
        <v>1.4999999999999999E-2</v>
      </c>
      <c r="M38" s="200">
        <v>1.4999999999999999E-2</v>
      </c>
      <c r="N38" s="200">
        <v>1.4999999999999999E-2</v>
      </c>
      <c r="O38" s="200">
        <v>1.4999999999999999E-2</v>
      </c>
      <c r="P38" s="200">
        <v>1.4999999999999999E-2</v>
      </c>
      <c r="Q38" s="200">
        <v>1.4999999999999999E-2</v>
      </c>
      <c r="R38" s="200">
        <v>1.4999999999999999E-2</v>
      </c>
      <c r="S38" s="200">
        <v>1.4999999999999999E-2</v>
      </c>
      <c r="T38" s="200">
        <v>1.4999999999999999E-2</v>
      </c>
      <c r="U38" s="200">
        <v>1.4999999999999999E-2</v>
      </c>
      <c r="V38" s="200">
        <v>1.4999999999999999E-2</v>
      </c>
      <c r="W38" s="200"/>
      <c r="X38" s="200"/>
      <c r="Y38" s="199"/>
      <c r="Z38" s="199"/>
      <c r="AA38" s="199"/>
      <c r="AB38" s="199"/>
      <c r="AC38" s="199"/>
      <c r="AD38" s="199"/>
      <c r="AE38" s="199"/>
      <c r="AF38" s="199"/>
      <c r="AG38" s="199"/>
      <c r="AH38" s="199"/>
      <c r="AI38" s="199"/>
      <c r="AJ38" s="199"/>
      <c r="AK38" s="199"/>
      <c r="AL38" s="199"/>
      <c r="AM38" s="199"/>
      <c r="AN38" s="199"/>
      <c r="AO38" s="199"/>
      <c r="AP38" s="199"/>
      <c r="AQ38" s="199"/>
      <c r="AR38" s="199"/>
      <c r="AS38" s="199"/>
      <c r="AT38" s="199"/>
      <c r="AU38" s="199"/>
      <c r="AV38" s="199"/>
      <c r="AW38" s="199"/>
      <c r="AX38" s="199"/>
      <c r="AY38" s="199"/>
      <c r="AZ38" s="199"/>
      <c r="BA38" s="199"/>
      <c r="BB38" s="199"/>
      <c r="BC38" s="199"/>
      <c r="BD38" s="199"/>
      <c r="BE38" s="199"/>
      <c r="BF38" s="199"/>
      <c r="BG38" s="199"/>
      <c r="BH38" s="199"/>
      <c r="BI38" s="199"/>
      <c r="BJ38" s="199"/>
      <c r="BK38" s="199"/>
      <c r="BL38" s="199"/>
      <c r="BM38" s="199"/>
      <c r="BN38" s="199"/>
      <c r="BO38" s="199"/>
      <c r="BP38" s="199"/>
      <c r="BQ38" s="199"/>
      <c r="BR38" s="199"/>
      <c r="BS38" s="199"/>
      <c r="BT38" s="199"/>
      <c r="BU38" s="199"/>
      <c r="BV38" s="199"/>
      <c r="BW38" s="199"/>
      <c r="BX38" s="199"/>
      <c r="BY38" s="199"/>
      <c r="BZ38" s="199"/>
      <c r="CA38" s="199"/>
      <c r="CB38" s="199"/>
      <c r="CC38" s="199"/>
      <c r="CD38" s="199"/>
      <c r="CE38" s="199"/>
      <c r="CF38" s="199"/>
      <c r="CG38" s="199"/>
      <c r="CH38" s="199"/>
      <c r="CI38" s="199"/>
      <c r="CJ38" s="199"/>
      <c r="CK38" s="199"/>
      <c r="CL38" s="199"/>
      <c r="CM38" s="199"/>
      <c r="CN38" s="199"/>
      <c r="CO38" s="199"/>
      <c r="CP38" s="199"/>
      <c r="CQ38" s="199"/>
      <c r="CR38" s="199"/>
      <c r="CS38" s="199"/>
      <c r="CT38" s="199"/>
      <c r="CU38" s="199"/>
      <c r="CV38" s="199"/>
      <c r="CW38" s="199"/>
      <c r="CX38" s="199"/>
      <c r="CY38" s="199"/>
      <c r="CZ38" s="199"/>
      <c r="DA38" s="199"/>
      <c r="DB38" s="199"/>
      <c r="DC38" s="199"/>
      <c r="DD38" s="199"/>
      <c r="DE38" s="199"/>
      <c r="DF38" s="199"/>
      <c r="DG38" s="199"/>
      <c r="DH38" s="199"/>
      <c r="DI38" s="199"/>
      <c r="DJ38" s="199"/>
      <c r="DK38" s="199"/>
      <c r="DL38" s="199"/>
      <c r="DM38" s="199"/>
      <c r="DN38" s="199"/>
      <c r="DO38" s="199"/>
      <c r="DP38" s="199"/>
      <c r="DQ38" s="199"/>
      <c r="DR38" s="199"/>
      <c r="DS38" s="199"/>
      <c r="DT38" s="199"/>
      <c r="DU38" s="199"/>
      <c r="DV38" s="199"/>
      <c r="DW38" s="199"/>
      <c r="DX38" s="199"/>
      <c r="DY38" s="199"/>
      <c r="DZ38" s="199"/>
    </row>
    <row r="39" spans="1:130">
      <c r="D39" s="2"/>
      <c r="E39" s="2"/>
      <c r="F39" s="2"/>
      <c r="H39" s="18">
        <v>5</v>
      </c>
      <c r="J39" s="188" t="s">
        <v>646</v>
      </c>
      <c r="K39" s="189">
        <v>45818</v>
      </c>
      <c r="L39" s="189">
        <v>46001</v>
      </c>
      <c r="M39" s="189">
        <v>46183</v>
      </c>
      <c r="N39" s="189">
        <v>46366</v>
      </c>
      <c r="O39" s="189">
        <v>46548</v>
      </c>
      <c r="P39" s="189">
        <v>46731</v>
      </c>
      <c r="Q39" s="189">
        <v>46916</v>
      </c>
      <c r="R39" s="189">
        <v>47098</v>
      </c>
      <c r="S39" s="189">
        <v>47280</v>
      </c>
      <c r="T39" s="189">
        <v>47462</v>
      </c>
      <c r="U39" s="189">
        <v>47644</v>
      </c>
      <c r="V39" s="189">
        <v>47827</v>
      </c>
      <c r="W39" s="189">
        <v>47827</v>
      </c>
      <c r="X39" s="189"/>
      <c r="Y39" s="189"/>
      <c r="Z39" s="189"/>
      <c r="AA39" s="189"/>
      <c r="AB39" s="189"/>
      <c r="AC39" s="189"/>
      <c r="AD39" s="189"/>
      <c r="AE39" s="189"/>
      <c r="AF39" s="189"/>
      <c r="AG39" s="189"/>
      <c r="AH39" s="189"/>
      <c r="AI39" s="189"/>
      <c r="AJ39" s="189"/>
      <c r="AK39" s="189"/>
      <c r="AL39" s="189"/>
      <c r="AM39" s="189"/>
      <c r="AN39" s="189"/>
      <c r="AO39" s="189"/>
      <c r="AP39" s="189"/>
      <c r="AQ39" s="189"/>
      <c r="AR39" s="189"/>
      <c r="AS39" s="189"/>
      <c r="AT39" s="189"/>
      <c r="AU39" s="189"/>
      <c r="AV39" s="189"/>
      <c r="AW39" s="189"/>
      <c r="AX39" s="189"/>
      <c r="AY39" s="189"/>
      <c r="AZ39" s="189"/>
      <c r="BA39" s="189"/>
      <c r="BB39" s="189"/>
      <c r="BC39" s="189"/>
      <c r="BD39" s="189"/>
      <c r="BE39" s="189"/>
      <c r="BF39" s="189"/>
      <c r="BG39" s="189"/>
      <c r="BH39" s="189"/>
      <c r="BI39" s="189"/>
      <c r="BJ39" s="189"/>
      <c r="BK39" s="189"/>
      <c r="BL39" s="189"/>
      <c r="BM39" s="189"/>
      <c r="BN39" s="189"/>
      <c r="BO39" s="189"/>
      <c r="BP39" s="189"/>
      <c r="BQ39" s="189"/>
      <c r="BR39" s="189"/>
      <c r="BS39" s="189"/>
      <c r="BT39" s="189"/>
      <c r="BU39" s="189"/>
      <c r="BV39" s="189"/>
      <c r="BW39" s="189"/>
      <c r="BX39" s="189"/>
      <c r="BY39" s="189"/>
      <c r="BZ39" s="189"/>
      <c r="CA39" s="189"/>
      <c r="CB39" s="189"/>
      <c r="CC39" s="189"/>
      <c r="CD39" s="189"/>
      <c r="CE39" s="189"/>
      <c r="CF39" s="189"/>
      <c r="CG39" s="189"/>
      <c r="CH39" s="189"/>
      <c r="CI39" s="189"/>
      <c r="CJ39" s="189"/>
      <c r="CK39" s="189"/>
      <c r="CL39" s="189"/>
      <c r="CM39" s="189"/>
      <c r="CN39" s="189"/>
      <c r="CO39" s="189"/>
      <c r="CP39" s="189"/>
      <c r="CQ39" s="189"/>
      <c r="CR39" s="189"/>
      <c r="CS39" s="189"/>
      <c r="CT39" s="189"/>
      <c r="CU39" s="189"/>
      <c r="CV39" s="189"/>
      <c r="CW39" s="189"/>
      <c r="CX39" s="189"/>
      <c r="CY39" s="189"/>
      <c r="CZ39" s="189"/>
      <c r="DA39" s="189"/>
      <c r="DB39" s="189"/>
      <c r="DC39" s="189"/>
      <c r="DD39" s="189"/>
      <c r="DE39" s="189"/>
      <c r="DF39" s="189"/>
      <c r="DG39" s="189"/>
      <c r="DH39" s="189"/>
      <c r="DI39" s="189"/>
      <c r="DJ39" s="189"/>
      <c r="DK39" s="189"/>
      <c r="DL39" s="189"/>
      <c r="DM39" s="189"/>
      <c r="DN39" s="189"/>
      <c r="DO39" s="189"/>
      <c r="DP39" s="189"/>
      <c r="DQ39" s="189"/>
      <c r="DR39" s="189"/>
      <c r="DS39" s="189"/>
      <c r="DT39" s="189"/>
      <c r="DU39" s="189"/>
      <c r="DV39" s="189"/>
      <c r="DW39" s="189"/>
      <c r="DX39" s="189"/>
      <c r="DY39" s="189"/>
      <c r="DZ39" s="189"/>
    </row>
    <row r="40" spans="1:130" s="102" customFormat="1">
      <c r="A40" s="1"/>
      <c r="B40" s="38" t="s">
        <v>27</v>
      </c>
      <c r="C40" s="38"/>
      <c r="D40" s="38"/>
      <c r="E40" s="38"/>
      <c r="F40" s="38"/>
      <c r="G40" s="1"/>
      <c r="H40" s="18">
        <v>6</v>
      </c>
      <c r="I40" s="1"/>
      <c r="J40" s="185" t="s">
        <v>293</v>
      </c>
      <c r="K40" s="198">
        <v>44861890.860094622</v>
      </c>
      <c r="L40" s="198">
        <v>45123287.671232417</v>
      </c>
      <c r="M40" s="198">
        <v>44876712.328767002</v>
      </c>
      <c r="N40" s="198">
        <v>45123287.671232417</v>
      </c>
      <c r="O40" s="198">
        <v>44876712.328767002</v>
      </c>
      <c r="P40" s="198">
        <v>45123287.671232417</v>
      </c>
      <c r="Q40" s="198">
        <v>45506624.747361004</v>
      </c>
      <c r="R40" s="198">
        <v>44754098.360656247</v>
      </c>
      <c r="S40" s="198">
        <v>44862564.563215911</v>
      </c>
      <c r="T40" s="198">
        <v>44876712.328767002</v>
      </c>
      <c r="U40" s="198">
        <v>44876712.328767002</v>
      </c>
      <c r="V40" s="198">
        <v>45123287.671232417</v>
      </c>
      <c r="W40" s="198">
        <v>6000000000</v>
      </c>
      <c r="X40" s="198"/>
      <c r="Y40" s="199"/>
      <c r="Z40" s="199"/>
      <c r="AA40" s="199"/>
      <c r="AB40" s="199"/>
      <c r="AC40" s="199"/>
      <c r="AD40" s="199"/>
      <c r="AE40" s="199"/>
      <c r="AF40" s="199"/>
      <c r="AG40" s="199"/>
      <c r="AH40" s="199"/>
      <c r="AI40" s="199"/>
      <c r="AJ40" s="199"/>
      <c r="AK40" s="199"/>
      <c r="AL40" s="199"/>
      <c r="AM40" s="199"/>
      <c r="AN40" s="199"/>
      <c r="AO40" s="199"/>
      <c r="AP40" s="199"/>
      <c r="AQ40" s="199"/>
      <c r="AR40" s="199"/>
      <c r="AS40" s="199"/>
      <c r="AT40" s="199"/>
      <c r="AU40" s="199"/>
      <c r="AV40" s="199"/>
      <c r="AW40" s="199"/>
      <c r="AX40" s="199"/>
      <c r="AY40" s="199"/>
      <c r="AZ40" s="199"/>
      <c r="BA40" s="199"/>
      <c r="BB40" s="199"/>
      <c r="BC40" s="199"/>
      <c r="BD40" s="199"/>
      <c r="BE40" s="199"/>
      <c r="BF40" s="199"/>
      <c r="BG40" s="199"/>
      <c r="BH40" s="199"/>
      <c r="BI40" s="199"/>
      <c r="BJ40" s="199"/>
      <c r="BK40" s="199"/>
      <c r="BL40" s="199"/>
      <c r="BM40" s="199"/>
      <c r="BN40" s="199"/>
      <c r="BO40" s="199"/>
      <c r="BP40" s="199"/>
      <c r="BQ40" s="199"/>
      <c r="BR40" s="199"/>
      <c r="BS40" s="199"/>
      <c r="BT40" s="199"/>
      <c r="BU40" s="199"/>
      <c r="BV40" s="199"/>
      <c r="BW40" s="199"/>
      <c r="BX40" s="199"/>
      <c r="BY40" s="199"/>
      <c r="BZ40" s="199"/>
      <c r="CA40" s="199"/>
      <c r="CB40" s="199"/>
      <c r="CC40" s="199"/>
      <c r="CD40" s="199"/>
      <c r="CE40" s="199"/>
      <c r="CF40" s="199"/>
      <c r="CG40" s="199"/>
      <c r="CH40" s="199"/>
      <c r="CI40" s="199"/>
      <c r="CJ40" s="199"/>
      <c r="CK40" s="199"/>
      <c r="CL40" s="199"/>
      <c r="CM40" s="199"/>
      <c r="CN40" s="199"/>
      <c r="CO40" s="199"/>
      <c r="CP40" s="199"/>
      <c r="CQ40" s="199"/>
      <c r="CR40" s="199"/>
      <c r="CS40" s="199"/>
      <c r="CT40" s="199"/>
      <c r="CU40" s="199"/>
      <c r="CV40" s="199"/>
      <c r="CW40" s="199"/>
      <c r="CX40" s="199"/>
      <c r="CY40" s="199"/>
      <c r="CZ40" s="199"/>
      <c r="DA40" s="199"/>
      <c r="DB40" s="199"/>
      <c r="DC40" s="199"/>
      <c r="DD40" s="199"/>
      <c r="DE40" s="199"/>
      <c r="DF40" s="199"/>
      <c r="DG40" s="199"/>
      <c r="DH40" s="199"/>
      <c r="DI40" s="199"/>
      <c r="DJ40" s="199"/>
      <c r="DK40" s="199"/>
      <c r="DL40" s="199"/>
      <c r="DM40" s="199"/>
      <c r="DN40" s="199"/>
      <c r="DO40" s="199"/>
      <c r="DP40" s="199"/>
      <c r="DQ40" s="199"/>
      <c r="DR40" s="199"/>
      <c r="DS40" s="199"/>
      <c r="DT40" s="199"/>
      <c r="DU40" s="199"/>
      <c r="DV40" s="199"/>
      <c r="DW40" s="199"/>
      <c r="DX40" s="199"/>
      <c r="DY40" s="199"/>
      <c r="DZ40" s="199"/>
    </row>
    <row r="41" spans="1:130" s="102" customFormat="1">
      <c r="A41" s="1"/>
      <c r="B41" s="1"/>
      <c r="C41" s="13" t="s">
        <v>3</v>
      </c>
      <c r="D41" s="14" t="s">
        <v>8</v>
      </c>
      <c r="E41" s="14" t="s">
        <v>85</v>
      </c>
      <c r="F41" s="14" t="s">
        <v>2</v>
      </c>
      <c r="G41" s="1"/>
      <c r="H41" s="21">
        <v>7</v>
      </c>
      <c r="I41" s="1"/>
      <c r="J41" s="185" t="s">
        <v>304</v>
      </c>
      <c r="K41" s="200">
        <v>0.98531952317821814</v>
      </c>
      <c r="L41" s="200">
        <v>0.97188912987833942</v>
      </c>
      <c r="M41" s="200">
        <v>0.9586334230607263</v>
      </c>
      <c r="N41" s="200">
        <v>0.94584326982866107</v>
      </c>
      <c r="O41" s="200">
        <v>0.93292036748464857</v>
      </c>
      <c r="P41" s="200">
        <v>0.92010495706854178</v>
      </c>
      <c r="Q41" s="200">
        <v>0.90644792438735744</v>
      </c>
      <c r="R41" s="200">
        <v>0.89305366941321773</v>
      </c>
      <c r="S41" s="200">
        <v>0.87970442680889238</v>
      </c>
      <c r="T41" s="200">
        <v>0.86641653028441157</v>
      </c>
      <c r="U41" s="200">
        <v>0.85341476697187779</v>
      </c>
      <c r="V41" s="200">
        <v>0.84043551240163306</v>
      </c>
      <c r="W41" s="200">
        <v>0.84043551240163306</v>
      </c>
      <c r="X41" s="200"/>
      <c r="Y41" s="199"/>
      <c r="Z41" s="199"/>
      <c r="AA41" s="199"/>
      <c r="AB41" s="199"/>
      <c r="AC41" s="199"/>
      <c r="AD41" s="199"/>
      <c r="AE41" s="199"/>
      <c r="AF41" s="199"/>
      <c r="AG41" s="199"/>
      <c r="AH41" s="199"/>
      <c r="AI41" s="199"/>
      <c r="AJ41" s="199"/>
      <c r="AK41" s="199"/>
      <c r="AL41" s="199"/>
      <c r="AM41" s="199"/>
      <c r="AN41" s="199"/>
      <c r="AO41" s="199"/>
      <c r="AP41" s="199"/>
      <c r="AQ41" s="199"/>
      <c r="AR41" s="199"/>
      <c r="AS41" s="199"/>
      <c r="AT41" s="199"/>
      <c r="AU41" s="199"/>
      <c r="AV41" s="199"/>
      <c r="AW41" s="199"/>
      <c r="AX41" s="199"/>
      <c r="AY41" s="199"/>
      <c r="AZ41" s="199"/>
      <c r="BA41" s="199"/>
      <c r="BB41" s="199"/>
      <c r="BC41" s="199"/>
      <c r="BD41" s="199"/>
      <c r="BE41" s="199"/>
      <c r="BF41" s="199"/>
      <c r="BG41" s="199"/>
      <c r="BH41" s="199"/>
      <c r="BI41" s="199"/>
      <c r="BJ41" s="199"/>
      <c r="BK41" s="199"/>
      <c r="BL41" s="199"/>
      <c r="BM41" s="199"/>
      <c r="BN41" s="199"/>
      <c r="BO41" s="199"/>
      <c r="BP41" s="199"/>
      <c r="BQ41" s="199"/>
      <c r="BR41" s="199"/>
      <c r="BS41" s="199"/>
      <c r="BT41" s="199"/>
      <c r="BU41" s="199"/>
      <c r="BV41" s="199"/>
      <c r="BW41" s="199"/>
      <c r="BX41" s="199"/>
      <c r="BY41" s="199"/>
      <c r="BZ41" s="199"/>
      <c r="CA41" s="199"/>
      <c r="CB41" s="199"/>
      <c r="CC41" s="199"/>
      <c r="CD41" s="199"/>
      <c r="CE41" s="199"/>
      <c r="CF41" s="199"/>
      <c r="CG41" s="199"/>
      <c r="CH41" s="199"/>
      <c r="CI41" s="199"/>
      <c r="CJ41" s="199"/>
      <c r="CK41" s="199"/>
      <c r="CL41" s="199"/>
      <c r="CM41" s="199"/>
      <c r="CN41" s="199"/>
      <c r="CO41" s="199"/>
      <c r="CP41" s="199"/>
      <c r="CQ41" s="199"/>
      <c r="CR41" s="199"/>
      <c r="CS41" s="199"/>
      <c r="CT41" s="199"/>
      <c r="CU41" s="199"/>
      <c r="CV41" s="199"/>
      <c r="CW41" s="199"/>
      <c r="CX41" s="199"/>
      <c r="CY41" s="199"/>
      <c r="CZ41" s="199"/>
      <c r="DA41" s="199"/>
      <c r="DB41" s="199"/>
      <c r="DC41" s="199"/>
      <c r="DD41" s="199"/>
      <c r="DE41" s="199"/>
      <c r="DF41" s="199"/>
      <c r="DG41" s="199"/>
      <c r="DH41" s="199"/>
      <c r="DI41" s="199"/>
      <c r="DJ41" s="199"/>
      <c r="DK41" s="199"/>
      <c r="DL41" s="199"/>
      <c r="DM41" s="199"/>
      <c r="DN41" s="199"/>
      <c r="DO41" s="199"/>
      <c r="DP41" s="199"/>
      <c r="DQ41" s="199"/>
      <c r="DR41" s="199"/>
      <c r="DS41" s="199"/>
      <c r="DT41" s="199"/>
      <c r="DU41" s="199"/>
      <c r="DV41" s="199"/>
      <c r="DW41" s="199"/>
      <c r="DX41" s="199"/>
      <c r="DY41" s="199"/>
      <c r="DZ41" s="199"/>
    </row>
    <row r="42" spans="1:130">
      <c r="C42" s="16">
        <v>1</v>
      </c>
      <c r="D42" s="17" t="s">
        <v>45</v>
      </c>
      <c r="E42" s="17" t="s">
        <v>78</v>
      </c>
      <c r="F42" s="28" t="s">
        <v>616</v>
      </c>
    </row>
    <row r="43" spans="1:130">
      <c r="C43" s="16">
        <v>2</v>
      </c>
      <c r="D43" s="17" t="s">
        <v>24</v>
      </c>
      <c r="E43" s="17" t="s">
        <v>26</v>
      </c>
      <c r="F43" s="28" t="s">
        <v>618</v>
      </c>
    </row>
    <row r="44" spans="1:130">
      <c r="C44" s="16">
        <v>3</v>
      </c>
      <c r="D44" s="17" t="s">
        <v>260</v>
      </c>
      <c r="E44" s="17" t="s">
        <v>0</v>
      </c>
      <c r="F44" s="28" t="s">
        <v>620</v>
      </c>
    </row>
    <row r="45" spans="1:130">
      <c r="C45" s="16">
        <v>4</v>
      </c>
      <c r="D45" s="17" t="s">
        <v>25</v>
      </c>
      <c r="E45" s="17" t="s">
        <v>60</v>
      </c>
      <c r="F45" s="196" t="s">
        <v>264</v>
      </c>
    </row>
    <row r="46" spans="1:130">
      <c r="C46" s="16">
        <v>5</v>
      </c>
      <c r="D46" s="17" t="s">
        <v>51</v>
      </c>
      <c r="E46" s="17" t="s">
        <v>28</v>
      </c>
      <c r="F46" s="196">
        <v>1.4999999999999999E-2</v>
      </c>
    </row>
    <row r="47" spans="1:130">
      <c r="C47" s="16">
        <v>6</v>
      </c>
      <c r="D47" s="17" t="s">
        <v>84</v>
      </c>
      <c r="E47" s="17" t="s">
        <v>61</v>
      </c>
      <c r="F47" s="28" t="s">
        <v>265</v>
      </c>
    </row>
    <row r="48" spans="1:130">
      <c r="C48" s="16">
        <v>7</v>
      </c>
      <c r="D48" s="17" t="s">
        <v>144</v>
      </c>
      <c r="E48" s="37" t="s">
        <v>142</v>
      </c>
      <c r="F48" s="28" t="s">
        <v>266</v>
      </c>
      <c r="AH48" s="173"/>
    </row>
    <row r="49" spans="3:34">
      <c r="C49" s="16">
        <v>8</v>
      </c>
      <c r="D49" s="17" t="s">
        <v>46</v>
      </c>
      <c r="E49" s="37" t="s">
        <v>143</v>
      </c>
      <c r="F49" s="28" t="s">
        <v>267</v>
      </c>
      <c r="AH49" s="173"/>
    </row>
    <row r="50" spans="3:34">
      <c r="C50" s="16">
        <v>9</v>
      </c>
      <c r="D50" s="17" t="s">
        <v>145</v>
      </c>
      <c r="E50" s="37" t="s">
        <v>146</v>
      </c>
      <c r="F50" s="28" t="s">
        <v>266</v>
      </c>
      <c r="AH50" s="173"/>
    </row>
    <row r="51" spans="3:34">
      <c r="C51" s="16">
        <v>10</v>
      </c>
      <c r="D51" s="17" t="s">
        <v>147</v>
      </c>
      <c r="E51" s="17" t="s">
        <v>148</v>
      </c>
      <c r="F51" s="28" t="s">
        <v>266</v>
      </c>
      <c r="AH51" s="173"/>
    </row>
    <row r="52" spans="3:34">
      <c r="C52" s="16">
        <v>11</v>
      </c>
      <c r="D52" s="17" t="s">
        <v>149</v>
      </c>
      <c r="E52" s="17" t="s">
        <v>113</v>
      </c>
      <c r="F52" s="196" t="s">
        <v>266</v>
      </c>
      <c r="AH52" s="173"/>
    </row>
    <row r="53" spans="3:34">
      <c r="C53" s="16">
        <v>12</v>
      </c>
      <c r="D53" s="17" t="s">
        <v>47</v>
      </c>
      <c r="E53" s="25" t="s">
        <v>74</v>
      </c>
      <c r="F53" s="196">
        <v>12</v>
      </c>
      <c r="AH53" s="173"/>
    </row>
    <row r="54" spans="3:34">
      <c r="C54" s="16">
        <v>13</v>
      </c>
      <c r="D54" s="17" t="s">
        <v>48</v>
      </c>
      <c r="E54" s="25" t="s">
        <v>75</v>
      </c>
      <c r="F54" s="28" t="s">
        <v>634</v>
      </c>
      <c r="G54" s="1" t="s">
        <v>416</v>
      </c>
      <c r="AH54" s="173"/>
    </row>
    <row r="55" spans="3:34">
      <c r="C55" s="16">
        <v>14</v>
      </c>
      <c r="D55" s="17" t="s">
        <v>49</v>
      </c>
      <c r="E55" s="25" t="s">
        <v>76</v>
      </c>
      <c r="F55" s="28" t="s">
        <v>635</v>
      </c>
      <c r="G55" s="1" t="s">
        <v>416</v>
      </c>
      <c r="AH55" s="173"/>
    </row>
    <row r="56" spans="3:34">
      <c r="C56" s="16">
        <v>15</v>
      </c>
      <c r="D56" s="17" t="s">
        <v>50</v>
      </c>
      <c r="E56" s="25" t="s">
        <v>77</v>
      </c>
      <c r="F56" s="28" t="s">
        <v>634</v>
      </c>
      <c r="G56" s="1" t="s">
        <v>416</v>
      </c>
      <c r="AH56" s="173"/>
    </row>
    <row r="57" spans="3:34">
      <c r="C57" s="16">
        <v>16</v>
      </c>
      <c r="D57" s="17" t="s">
        <v>52</v>
      </c>
      <c r="E57" s="25" t="s">
        <v>152</v>
      </c>
      <c r="F57" s="196">
        <v>10</v>
      </c>
      <c r="G57" s="1" t="s">
        <v>416</v>
      </c>
      <c r="AH57" s="173"/>
    </row>
    <row r="58" spans="3:34">
      <c r="C58" s="16">
        <v>17</v>
      </c>
      <c r="D58" s="17" t="s">
        <v>53</v>
      </c>
      <c r="E58" s="25" t="s">
        <v>153</v>
      </c>
      <c r="F58" s="28" t="s">
        <v>268</v>
      </c>
      <c r="G58" s="1" t="s">
        <v>416</v>
      </c>
      <c r="AH58" s="173"/>
    </row>
    <row r="59" spans="3:34">
      <c r="C59" s="16">
        <v>18</v>
      </c>
      <c r="D59" s="17" t="s">
        <v>54</v>
      </c>
      <c r="E59" s="25" t="s">
        <v>154</v>
      </c>
      <c r="F59" s="28" t="s">
        <v>269</v>
      </c>
      <c r="G59" s="1" t="s">
        <v>416</v>
      </c>
      <c r="AH59" s="173"/>
    </row>
    <row r="60" spans="3:34">
      <c r="C60" s="16">
        <v>19</v>
      </c>
      <c r="D60" s="17" t="s">
        <v>151</v>
      </c>
      <c r="E60" s="25" t="s">
        <v>258</v>
      </c>
      <c r="F60" s="28" t="s">
        <v>270</v>
      </c>
      <c r="G60" s="1" t="s">
        <v>416</v>
      </c>
      <c r="AH60" s="173"/>
    </row>
    <row r="61" spans="3:34">
      <c r="C61" s="16">
        <v>20</v>
      </c>
      <c r="D61" s="17" t="s">
        <v>114</v>
      </c>
      <c r="E61" s="17" t="s">
        <v>80</v>
      </c>
      <c r="F61" s="196">
        <v>1.3889799999999999E-3</v>
      </c>
      <c r="AH61" s="173"/>
    </row>
    <row r="62" spans="3:34">
      <c r="C62" s="16">
        <v>21</v>
      </c>
      <c r="D62" s="17" t="s">
        <v>55</v>
      </c>
      <c r="E62" s="25" t="s">
        <v>155</v>
      </c>
      <c r="F62" s="196">
        <v>5</v>
      </c>
      <c r="AH62" s="173"/>
    </row>
    <row r="63" spans="3:34">
      <c r="C63" s="16">
        <v>22</v>
      </c>
      <c r="D63" s="17" t="s">
        <v>56</v>
      </c>
      <c r="E63" s="25" t="s">
        <v>156</v>
      </c>
      <c r="F63" s="28" t="s">
        <v>271</v>
      </c>
      <c r="AH63" s="173"/>
    </row>
    <row r="64" spans="3:34">
      <c r="C64" s="16">
        <v>23</v>
      </c>
      <c r="D64" s="17" t="s">
        <v>57</v>
      </c>
      <c r="E64" s="25" t="s">
        <v>157</v>
      </c>
      <c r="F64" s="28" t="s">
        <v>272</v>
      </c>
      <c r="AH64" s="173"/>
    </row>
    <row r="65" spans="3:34">
      <c r="C65" s="16">
        <v>24</v>
      </c>
      <c r="D65" s="17" t="s">
        <v>29</v>
      </c>
      <c r="E65" s="17" t="s">
        <v>62</v>
      </c>
      <c r="F65" s="196" t="s">
        <v>273</v>
      </c>
      <c r="AH65" s="173"/>
    </row>
    <row r="66" spans="3:34">
      <c r="C66" s="16">
        <v>25</v>
      </c>
      <c r="D66" s="17" t="s">
        <v>79</v>
      </c>
      <c r="E66" s="17" t="s">
        <v>656</v>
      </c>
      <c r="F66" s="196">
        <v>1.7000000000000001E-2</v>
      </c>
      <c r="AH66" s="173"/>
    </row>
    <row r="67" spans="3:34">
      <c r="C67" s="16">
        <v>26</v>
      </c>
      <c r="D67" s="17" t="s">
        <v>112</v>
      </c>
      <c r="E67" s="17" t="s">
        <v>657</v>
      </c>
      <c r="F67" s="197">
        <v>0.05</v>
      </c>
      <c r="AH67" s="173"/>
    </row>
    <row r="68" spans="3:34">
      <c r="C68" s="16">
        <v>27</v>
      </c>
      <c r="D68" s="17" t="s">
        <v>58</v>
      </c>
      <c r="E68" s="17" t="s">
        <v>63</v>
      </c>
      <c r="F68" s="28">
        <v>9</v>
      </c>
      <c r="AH68" s="173"/>
    </row>
    <row r="69" spans="3:34">
      <c r="C69" s="16">
        <v>28</v>
      </c>
      <c r="D69" s="17" t="s">
        <v>59</v>
      </c>
      <c r="E69" s="17" t="s">
        <v>64</v>
      </c>
      <c r="F69" s="28">
        <v>1</v>
      </c>
      <c r="AH69" s="173"/>
    </row>
    <row r="70" spans="3:34">
      <c r="AH70" s="173"/>
    </row>
    <row r="71" spans="3:34">
      <c r="AH71" s="173"/>
    </row>
    <row r="72" spans="3:34">
      <c r="AH72" s="173"/>
    </row>
    <row r="73" spans="3:34">
      <c r="AH73" s="173"/>
    </row>
    <row r="74" spans="3:34">
      <c r="AH74" s="173"/>
    </row>
    <row r="75" spans="3:34">
      <c r="O75" s="172"/>
      <c r="P75" s="172"/>
      <c r="Q75" s="172"/>
      <c r="AH75" s="173"/>
    </row>
    <row r="76" spans="3:34">
      <c r="K76" s="173"/>
      <c r="L76" s="173"/>
      <c r="M76" s="173"/>
      <c r="N76" s="173"/>
      <c r="O76" s="172"/>
      <c r="P76" s="172"/>
      <c r="Q76" s="172"/>
      <c r="AH76" s="173"/>
    </row>
    <row r="77" spans="3:34">
      <c r="E77" s="1"/>
      <c r="O77" s="172"/>
      <c r="P77" s="172"/>
      <c r="Q77" s="172"/>
      <c r="AH77" s="173"/>
    </row>
    <row r="78" spans="3:34">
      <c r="D78" s="1" t="s">
        <v>417</v>
      </c>
      <c r="K78" s="172"/>
      <c r="N78" s="172"/>
      <c r="O78" s="172"/>
      <c r="P78" s="172"/>
      <c r="Q78" s="172"/>
      <c r="AH78" s="173"/>
    </row>
    <row r="79" spans="3:34">
      <c r="D79" s="1" t="s">
        <v>418</v>
      </c>
      <c r="K79" s="172"/>
      <c r="N79" s="172"/>
      <c r="O79" s="172"/>
      <c r="P79" s="172"/>
      <c r="Q79" s="172"/>
      <c r="AH79" s="173"/>
    </row>
    <row r="80" spans="3:34">
      <c r="D80" s="1" t="s">
        <v>419</v>
      </c>
      <c r="K80" s="172"/>
      <c r="N80" s="172"/>
      <c r="O80" s="172"/>
      <c r="P80" s="172"/>
      <c r="Q80" s="172"/>
      <c r="AH80" s="173"/>
    </row>
    <row r="81" spans="3:34">
      <c r="C81" s="1"/>
      <c r="D81" s="1" t="s">
        <v>420</v>
      </c>
      <c r="E81" s="1"/>
      <c r="F81" s="1"/>
      <c r="K81" s="172"/>
      <c r="N81" s="172"/>
      <c r="O81" s="172"/>
      <c r="P81" s="172"/>
      <c r="Q81" s="172"/>
      <c r="AH81" s="173"/>
    </row>
    <row r="82" spans="3:34">
      <c r="C82" s="1"/>
      <c r="D82" s="1" t="s">
        <v>421</v>
      </c>
      <c r="E82" s="1"/>
      <c r="F82" s="1"/>
      <c r="K82" s="172"/>
      <c r="N82" s="172"/>
      <c r="O82" s="172"/>
      <c r="P82" s="172"/>
      <c r="Q82" s="172"/>
      <c r="AH82" s="173"/>
    </row>
    <row r="83" spans="3:34">
      <c r="C83" s="1"/>
      <c r="D83" s="3" t="s">
        <v>422</v>
      </c>
      <c r="E83" s="1"/>
      <c r="F83" s="1"/>
      <c r="K83" s="172"/>
      <c r="N83" s="172"/>
      <c r="O83" s="172"/>
      <c r="P83" s="172"/>
      <c r="Q83" s="172"/>
      <c r="AH83" s="173"/>
    </row>
    <row r="84" spans="3:34" ht="13.5" customHeight="1">
      <c r="C84" s="1"/>
      <c r="D84" s="3" t="s">
        <v>423</v>
      </c>
      <c r="E84" s="1"/>
      <c r="F84" s="1"/>
      <c r="K84" s="172"/>
      <c r="N84" s="172"/>
      <c r="O84" s="172"/>
      <c r="P84" s="172"/>
      <c r="Q84" s="172"/>
      <c r="AH84" s="173"/>
    </row>
    <row r="85" spans="3:34">
      <c r="C85" s="1"/>
      <c r="D85" s="1" t="s">
        <v>424</v>
      </c>
      <c r="E85" s="1"/>
      <c r="F85" s="1"/>
      <c r="K85" s="172"/>
      <c r="N85" s="172"/>
      <c r="O85" s="172"/>
      <c r="P85" s="172"/>
      <c r="Q85" s="172"/>
      <c r="AH85" s="173"/>
    </row>
    <row r="86" spans="3:34">
      <c r="C86" s="1"/>
      <c r="D86" s="1" t="s">
        <v>425</v>
      </c>
      <c r="E86" s="1"/>
      <c r="F86" s="1"/>
      <c r="K86" s="172"/>
      <c r="N86" s="172"/>
      <c r="O86" s="172"/>
      <c r="P86" s="172"/>
      <c r="Q86" s="172"/>
      <c r="AH86" s="173"/>
    </row>
    <row r="87" spans="3:34">
      <c r="C87" s="1"/>
      <c r="D87" s="1" t="s">
        <v>426</v>
      </c>
      <c r="E87" s="1"/>
      <c r="F87" s="1"/>
      <c r="K87" s="172"/>
      <c r="N87" s="172"/>
      <c r="O87" s="172"/>
      <c r="P87" s="172"/>
      <c r="Q87" s="172"/>
      <c r="AH87" s="173"/>
    </row>
    <row r="88" spans="3:34">
      <c r="C88" s="1"/>
      <c r="D88" s="1" t="s">
        <v>427</v>
      </c>
      <c r="E88" s="1"/>
      <c r="F88" s="1"/>
      <c r="K88" s="172"/>
      <c r="N88" s="172"/>
      <c r="O88" s="172"/>
      <c r="P88" s="172"/>
      <c r="Q88" s="172"/>
      <c r="AH88" s="173"/>
    </row>
    <row r="89" spans="3:34">
      <c r="C89" s="1"/>
      <c r="D89" s="1" t="s">
        <v>428</v>
      </c>
      <c r="E89" s="1"/>
      <c r="F89" s="1"/>
      <c r="K89" s="172"/>
      <c r="N89" s="172"/>
      <c r="O89" s="172"/>
      <c r="P89" s="172"/>
      <c r="Q89" s="172"/>
      <c r="AH89" s="173"/>
    </row>
    <row r="90" spans="3:34">
      <c r="C90" s="1"/>
      <c r="D90" s="1" t="s">
        <v>429</v>
      </c>
      <c r="E90" s="1"/>
      <c r="F90" s="1"/>
      <c r="K90" s="172"/>
      <c r="N90" s="172"/>
      <c r="O90" s="172"/>
      <c r="P90" s="172"/>
      <c r="Q90" s="172"/>
      <c r="AH90" s="173"/>
    </row>
    <row r="91" spans="3:34">
      <c r="D91" s="1" t="s">
        <v>430</v>
      </c>
      <c r="K91" s="172"/>
      <c r="N91" s="172"/>
      <c r="O91" s="172"/>
      <c r="P91" s="172"/>
      <c r="Q91" s="172"/>
      <c r="AH91" s="173"/>
    </row>
    <row r="92" spans="3:34">
      <c r="D92" s="1" t="s">
        <v>431</v>
      </c>
      <c r="K92" s="172"/>
      <c r="N92" s="172"/>
      <c r="O92" s="172"/>
      <c r="P92" s="172"/>
      <c r="Q92" s="172"/>
      <c r="AH92" s="173"/>
    </row>
    <row r="93" spans="3:34">
      <c r="D93" s="1" t="s">
        <v>432</v>
      </c>
      <c r="K93" s="172"/>
      <c r="N93" s="172"/>
      <c r="O93" s="172"/>
      <c r="P93" s="172"/>
      <c r="Q93" s="172"/>
      <c r="AH93" s="173"/>
    </row>
    <row r="94" spans="3:34">
      <c r="D94" s="1" t="s">
        <v>433</v>
      </c>
      <c r="K94" s="172"/>
      <c r="N94" s="172"/>
      <c r="O94" s="172"/>
      <c r="P94" s="172"/>
      <c r="Q94" s="172"/>
      <c r="AH94" s="173"/>
    </row>
    <row r="95" spans="3:34">
      <c r="D95" s="1" t="s">
        <v>434</v>
      </c>
      <c r="K95" s="172"/>
      <c r="N95" s="172"/>
      <c r="O95" s="172"/>
      <c r="P95" s="172"/>
      <c r="Q95" s="172"/>
      <c r="AH95" s="173"/>
    </row>
    <row r="96" spans="3:34">
      <c r="D96" s="1" t="s">
        <v>435</v>
      </c>
      <c r="K96" s="172"/>
      <c r="N96" s="172"/>
      <c r="O96" s="172"/>
      <c r="P96" s="172"/>
      <c r="Q96" s="172"/>
      <c r="AH96" s="173"/>
    </row>
    <row r="97" spans="4:34">
      <c r="D97" s="1" t="s">
        <v>436</v>
      </c>
      <c r="K97" s="172"/>
      <c r="N97" s="172"/>
      <c r="O97" s="172"/>
      <c r="P97" s="172"/>
      <c r="Q97" s="172"/>
      <c r="AH97" s="173"/>
    </row>
    <row r="98" spans="4:34">
      <c r="D98" s="1" t="s">
        <v>437</v>
      </c>
      <c r="K98" s="172"/>
      <c r="N98" s="172"/>
      <c r="O98" s="172"/>
      <c r="P98" s="172"/>
      <c r="Q98" s="172"/>
      <c r="AH98" s="173"/>
    </row>
    <row r="99" spans="4:34">
      <c r="D99" s="1" t="s">
        <v>438</v>
      </c>
      <c r="K99" s="172"/>
      <c r="N99" s="172"/>
      <c r="O99" s="172"/>
      <c r="P99" s="172"/>
      <c r="Q99" s="172"/>
      <c r="AH99" s="173"/>
    </row>
    <row r="100" spans="4:34">
      <c r="D100" s="1" t="s">
        <v>439</v>
      </c>
      <c r="K100" s="172"/>
      <c r="N100" s="172"/>
      <c r="O100" s="172"/>
      <c r="P100" s="172"/>
      <c r="Q100" s="172"/>
      <c r="AH100" s="173"/>
    </row>
    <row r="101" spans="4:34">
      <c r="D101" s="3" t="s">
        <v>440</v>
      </c>
      <c r="K101" s="172"/>
      <c r="N101" s="172"/>
      <c r="O101" s="172"/>
      <c r="P101" s="172"/>
      <c r="Q101" s="172"/>
      <c r="AH101" s="173"/>
    </row>
    <row r="102" spans="4:34">
      <c r="K102" s="172"/>
      <c r="N102" s="172"/>
      <c r="O102" s="172"/>
      <c r="P102" s="172"/>
      <c r="Q102" s="172"/>
      <c r="AH102" s="173"/>
    </row>
    <row r="103" spans="4:34">
      <c r="K103" s="172"/>
      <c r="N103" s="172"/>
      <c r="O103" s="172"/>
      <c r="P103" s="172"/>
      <c r="Q103" s="172"/>
      <c r="AH103" s="173"/>
    </row>
    <row r="104" spans="4:34">
      <c r="K104" s="172"/>
      <c r="N104" s="172"/>
      <c r="O104" s="172"/>
      <c r="P104" s="172"/>
      <c r="Q104" s="172"/>
      <c r="AH104" s="173"/>
    </row>
    <row r="105" spans="4:34">
      <c r="K105" s="172"/>
      <c r="AH105" s="173"/>
    </row>
  </sheetData>
  <dataConsolidate/>
  <mergeCells count="5">
    <mergeCell ref="B2:F2"/>
    <mergeCell ref="C5:F5"/>
    <mergeCell ref="M5:N5"/>
    <mergeCell ref="J5:K5"/>
    <mergeCell ref="S5:T5"/>
  </mergeCells>
  <phoneticPr fontId="1" type="noConversion"/>
  <dataValidations count="2">
    <dataValidation type="list" allowBlank="1" showInputMessage="1" showErrorMessage="1" sqref="E7:E30" xr:uid="{5D26165F-F8B0-41A4-AF51-179BCFAD0878}">
      <formula1>"Y,N"</formula1>
    </dataValidation>
    <dataValidation type="list" allowBlank="1" showInputMessage="1" showErrorMessage="1" sqref="F36" xr:uid="{4A875DBE-80AC-4299-823B-F95563ED981A}">
      <formula1>"0,1"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Button 1">
              <controlPr defaultSize="0" print="0" autoFill="0" autoPict="0" macro="[0]!sbPricing">
                <anchor moveWithCells="1" sizeWithCells="1">
                  <from>
                    <xdr:col>5</xdr:col>
                    <xdr:colOff>28575</xdr:colOff>
                    <xdr:row>2</xdr:row>
                    <xdr:rowOff>9525</xdr:rowOff>
                  </from>
                  <to>
                    <xdr:col>5</xdr:col>
                    <xdr:colOff>1228725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5FE434-63B3-44F0-8F22-8AE41DA5112C}">
  <sheetPr codeName="Sheet17"/>
  <dimension ref="A1:AL53"/>
  <sheetViews>
    <sheetView workbookViewId="0"/>
  </sheetViews>
  <sheetFormatPr defaultColWidth="8.6640625" defaultRowHeight="12.75"/>
  <cols>
    <col min="1" max="1" width="1.6640625" style="1" customWidth="1"/>
    <col min="2" max="2" width="10.83203125" style="1" customWidth="1"/>
    <col min="3" max="3" width="11.33203125" style="1" customWidth="1"/>
    <col min="4" max="4" width="1.6640625" style="1" customWidth="1"/>
    <col min="5" max="5" width="12" style="3" customWidth="1"/>
    <col min="6" max="6" width="11.1640625" style="3" customWidth="1"/>
    <col min="7" max="7" width="6.33203125" style="3" customWidth="1"/>
    <col min="8" max="8" width="11" style="3" customWidth="1"/>
    <col min="9" max="9" width="14.1640625" style="1" customWidth="1"/>
    <col min="10" max="10" width="14.6640625" style="3" customWidth="1"/>
    <col min="11" max="11" width="13" style="1" bestFit="1" customWidth="1"/>
    <col min="12" max="15" width="11.5" style="1" bestFit="1" customWidth="1"/>
    <col min="16" max="16" width="12" style="1" bestFit="1" customWidth="1"/>
    <col min="17" max="17" width="11.5" style="1" bestFit="1" customWidth="1"/>
    <col min="18" max="18" width="11.6640625" style="1" bestFit="1" customWidth="1"/>
    <col min="19" max="20" width="11.5" style="1" bestFit="1" customWidth="1"/>
    <col min="21" max="21" width="12.5" style="1" bestFit="1" customWidth="1"/>
    <col min="22" max="22" width="14.6640625" style="1" bestFit="1" customWidth="1"/>
    <col min="23" max="23" width="1.5" style="1" customWidth="1"/>
    <col min="24" max="24" width="8.6640625" style="1"/>
    <col min="25" max="25" width="1.1640625" style="1" customWidth="1"/>
    <col min="26" max="28" width="8.6640625" style="1"/>
    <col min="29" max="29" width="2.33203125" style="1" customWidth="1"/>
    <col min="30" max="32" width="8.6640625" style="1"/>
    <col min="33" max="33" width="1.33203125" style="1" customWidth="1"/>
    <col min="34" max="35" width="8.6640625" style="1"/>
    <col min="36" max="36" width="1.83203125" style="1" customWidth="1"/>
    <col min="37" max="38" width="8.6640625" style="1"/>
    <col min="39" max="39" width="1.6640625" style="1" customWidth="1"/>
    <col min="40" max="41" width="8.6640625" style="1"/>
    <col min="42" max="42" width="2" style="1" customWidth="1"/>
    <col min="43" max="16384" width="8.6640625" style="1"/>
  </cols>
  <sheetData>
    <row r="1" spans="1:32" ht="21">
      <c r="B1" s="98" t="s">
        <v>300</v>
      </c>
      <c r="I1" s="1" t="s">
        <v>390</v>
      </c>
    </row>
    <row r="2" spans="1:32">
      <c r="A2" s="3"/>
      <c r="C2" s="4"/>
      <c r="D2" s="4"/>
      <c r="E2" s="48"/>
      <c r="F2" s="48"/>
      <c r="G2" s="48"/>
      <c r="H2" s="48"/>
      <c r="I2" s="135" t="s">
        <v>397</v>
      </c>
      <c r="J2" s="135"/>
      <c r="K2" s="136">
        <v>365</v>
      </c>
      <c r="L2" s="136">
        <v>365</v>
      </c>
      <c r="M2" s="136">
        <v>365</v>
      </c>
      <c r="N2" s="136">
        <v>365</v>
      </c>
      <c r="O2" s="136">
        <v>365</v>
      </c>
      <c r="P2" s="136">
        <v>365</v>
      </c>
      <c r="Q2" s="144">
        <v>366</v>
      </c>
      <c r="R2" s="136">
        <v>365</v>
      </c>
      <c r="S2" s="136">
        <v>365</v>
      </c>
      <c r="T2" s="136">
        <v>365</v>
      </c>
      <c r="U2" s="136">
        <v>365</v>
      </c>
      <c r="V2" s="136">
        <v>365</v>
      </c>
      <c r="X2" s="3"/>
      <c r="Y2" s="3"/>
      <c r="Z2" s="32" t="s">
        <v>6</v>
      </c>
      <c r="AA2" s="58"/>
      <c r="AB2" s="59"/>
      <c r="AC2" s="3"/>
      <c r="AD2" s="32" t="s">
        <v>95</v>
      </c>
      <c r="AE2" s="58"/>
      <c r="AF2" s="59"/>
    </row>
    <row r="3" spans="1:32">
      <c r="B3" s="3" t="s">
        <v>275</v>
      </c>
      <c r="C3" s="4"/>
      <c r="I3" s="3" t="s">
        <v>290</v>
      </c>
      <c r="J3" s="97">
        <v>45636</v>
      </c>
      <c r="K3" s="2">
        <v>1</v>
      </c>
      <c r="L3" s="2">
        <v>2</v>
      </c>
      <c r="M3" s="2">
        <v>3</v>
      </c>
      <c r="N3" s="2">
        <v>4</v>
      </c>
      <c r="O3" s="2">
        <v>5</v>
      </c>
      <c r="P3" s="2">
        <v>6</v>
      </c>
      <c r="Q3" s="2">
        <v>7</v>
      </c>
      <c r="R3" s="2">
        <v>8</v>
      </c>
      <c r="S3" s="2">
        <v>9</v>
      </c>
      <c r="T3" s="2">
        <v>10</v>
      </c>
      <c r="U3" s="2">
        <v>11</v>
      </c>
      <c r="V3" s="2">
        <v>12</v>
      </c>
      <c r="X3" s="12"/>
      <c r="Y3" s="3"/>
      <c r="Z3" s="5" t="s">
        <v>104</v>
      </c>
      <c r="AA3" s="5"/>
      <c r="AB3" s="17" t="s">
        <v>125</v>
      </c>
      <c r="AC3" s="48"/>
      <c r="AD3" s="20"/>
      <c r="AE3" s="20"/>
      <c r="AF3" s="20"/>
    </row>
    <row r="4" spans="1:32">
      <c r="B4" s="61" t="s">
        <v>280</v>
      </c>
      <c r="C4" s="64"/>
      <c r="E4" s="61" t="s">
        <v>274</v>
      </c>
      <c r="F4" s="61"/>
      <c r="G4" s="61"/>
      <c r="H4" s="61"/>
      <c r="I4" s="61"/>
      <c r="J4" s="74" t="str">
        <f>C5</f>
        <v>2024-12-31</v>
      </c>
      <c r="K4" s="75">
        <f>IF(Result!K39="", "", Result!K39)</f>
        <v>45818</v>
      </c>
      <c r="L4" s="75">
        <f>IF(Result!L39="", "", Result!L39)</f>
        <v>46001</v>
      </c>
      <c r="M4" s="75">
        <f>IF(Result!M39="", "", Result!M39)</f>
        <v>46183</v>
      </c>
      <c r="N4" s="75">
        <f>IF(Result!N39="", "", Result!N39)</f>
        <v>46366</v>
      </c>
      <c r="O4" s="75">
        <f>IF(Result!O39="", "", Result!O39)</f>
        <v>46548</v>
      </c>
      <c r="P4" s="75">
        <f>IF(Result!P39="", "", Result!P39)</f>
        <v>46731</v>
      </c>
      <c r="Q4" s="75">
        <f>IF(Result!Q39="", "", Result!Q39)</f>
        <v>46916</v>
      </c>
      <c r="R4" s="75">
        <f>IF(Result!R39="", "", Result!R39)</f>
        <v>47098</v>
      </c>
      <c r="S4" s="75">
        <f>IF(Result!S39="", "", Result!S39)</f>
        <v>47280</v>
      </c>
      <c r="T4" s="75">
        <f>IF(Result!T39="", "", Result!T39)</f>
        <v>47462</v>
      </c>
      <c r="U4" s="75">
        <f>IF(Result!U39="", "", Result!U39)</f>
        <v>47644</v>
      </c>
      <c r="V4" s="75">
        <f>IF(Result!V39="", "", Result!V39)</f>
        <v>47827</v>
      </c>
      <c r="Z4" s="5" t="s">
        <v>105</v>
      </c>
      <c r="AA4" s="5"/>
      <c r="AB4" s="17" t="s">
        <v>127</v>
      </c>
      <c r="AC4" s="4"/>
      <c r="AD4" s="17"/>
      <c r="AE4" s="17"/>
      <c r="AF4" s="17"/>
    </row>
    <row r="5" spans="1:32">
      <c r="B5" s="3" t="s">
        <v>276</v>
      </c>
      <c r="C5" s="62" t="str">
        <f>MID(Trade!F7,1,4) &amp;"-" &amp; MID(Trade!F7,5,2) &amp;"-" &amp; MID(Trade!F7,7,2)</f>
        <v>2024-12-31</v>
      </c>
      <c r="E5" s="72" t="s">
        <v>286</v>
      </c>
      <c r="F5" s="72" t="s">
        <v>281</v>
      </c>
      <c r="G5" s="72" t="s">
        <v>282</v>
      </c>
      <c r="H5" s="72" t="s">
        <v>454</v>
      </c>
      <c r="I5" s="67"/>
      <c r="J5" s="139">
        <f>J4-J3</f>
        <v>21</v>
      </c>
      <c r="K5" s="67">
        <f>IF(K4&lt;&gt;"", K4-$J4, "")</f>
        <v>161</v>
      </c>
      <c r="L5" s="67">
        <f>IF(L4&lt;&gt;"", L4-$J4, "")</f>
        <v>344</v>
      </c>
      <c r="M5" s="67">
        <f t="shared" ref="M5:V5" si="0">IF(M4&lt;&gt;"", M4-$J4, "")</f>
        <v>526</v>
      </c>
      <c r="N5" s="67">
        <f t="shared" si="0"/>
        <v>709</v>
      </c>
      <c r="O5" s="67">
        <f t="shared" si="0"/>
        <v>891</v>
      </c>
      <c r="P5" s="67">
        <f t="shared" si="0"/>
        <v>1074</v>
      </c>
      <c r="Q5" s="67">
        <f t="shared" si="0"/>
        <v>1259</v>
      </c>
      <c r="R5" s="67">
        <f t="shared" si="0"/>
        <v>1441</v>
      </c>
      <c r="S5" s="67">
        <f t="shared" si="0"/>
        <v>1623</v>
      </c>
      <c r="T5" s="67">
        <f t="shared" si="0"/>
        <v>1805</v>
      </c>
      <c r="U5" s="67">
        <f t="shared" si="0"/>
        <v>1987</v>
      </c>
      <c r="V5" s="67">
        <f t="shared" si="0"/>
        <v>2170</v>
      </c>
      <c r="Z5" s="5" t="s">
        <v>107</v>
      </c>
      <c r="AA5" s="5"/>
      <c r="AB5" s="17" t="s">
        <v>129</v>
      </c>
      <c r="AC5" s="4"/>
      <c r="AD5" s="17"/>
      <c r="AE5" s="17"/>
      <c r="AF5" s="17"/>
    </row>
    <row r="6" spans="1:32">
      <c r="B6" s="3" t="s">
        <v>277</v>
      </c>
      <c r="C6" s="63" t="str">
        <f>Trade!F10</f>
        <v>6000000000</v>
      </c>
      <c r="F6" s="3" t="s">
        <v>446</v>
      </c>
      <c r="G6" s="3" t="s">
        <v>283</v>
      </c>
      <c r="H6" s="3" t="s">
        <v>285</v>
      </c>
      <c r="J6" s="140"/>
      <c r="K6" s="1">
        <f>IF(K5&lt;&gt;"",K5/K$2,"")</f>
        <v>0.44109589041095892</v>
      </c>
      <c r="L6" s="1">
        <f>IF(L5&lt;&gt;"",L5/L$2,"")</f>
        <v>0.94246575342465755</v>
      </c>
      <c r="M6" s="1">
        <f t="shared" ref="M6:V6" si="1">IF(M5&lt;&gt;"",M5/M$2,"")</f>
        <v>1.441095890410959</v>
      </c>
      <c r="N6" s="1">
        <f t="shared" si="1"/>
        <v>1.9424657534246574</v>
      </c>
      <c r="O6" s="1">
        <f t="shared" si="1"/>
        <v>2.441095890410959</v>
      </c>
      <c r="P6" s="1">
        <f t="shared" si="1"/>
        <v>2.9424657534246577</v>
      </c>
      <c r="Q6" s="1">
        <f t="shared" si="1"/>
        <v>3.4398907103825138</v>
      </c>
      <c r="R6" s="1">
        <f t="shared" si="1"/>
        <v>3.9479452054794519</v>
      </c>
      <c r="S6" s="1">
        <f t="shared" si="1"/>
        <v>4.4465753424657537</v>
      </c>
      <c r="T6" s="1">
        <f t="shared" si="1"/>
        <v>4.9452054794520546</v>
      </c>
      <c r="U6" s="1">
        <f t="shared" si="1"/>
        <v>5.4438356164383563</v>
      </c>
      <c r="V6" s="1">
        <f t="shared" si="1"/>
        <v>5.9452054794520546</v>
      </c>
      <c r="Z6" s="5" t="s">
        <v>108</v>
      </c>
      <c r="AA6" s="5"/>
      <c r="AB6" s="17" t="s">
        <v>131</v>
      </c>
      <c r="AC6" s="4"/>
      <c r="AD6" s="17"/>
      <c r="AE6" s="17"/>
      <c r="AF6" s="17"/>
    </row>
    <row r="7" spans="1:32">
      <c r="B7" s="3" t="s">
        <v>29</v>
      </c>
      <c r="C7" s="63" t="str">
        <f>Trade!F22</f>
        <v>5536303734.68839</v>
      </c>
      <c r="F7" s="3" t="s">
        <v>288</v>
      </c>
      <c r="G7" s="3" t="s">
        <v>289</v>
      </c>
      <c r="H7" s="3" t="s">
        <v>396</v>
      </c>
      <c r="J7" s="142">
        <v>365</v>
      </c>
      <c r="K7" s="1">
        <f>IF($J7="360",DAYS360(K4,J3),_xlfn.DAYS(K4,J3))</f>
        <v>182</v>
      </c>
      <c r="L7" s="1">
        <f t="shared" ref="L7:V7" si="2">IF($J7="360",DAYS360(L4,K4),_xlfn.DAYS(L4,K4))</f>
        <v>183</v>
      </c>
      <c r="M7" s="1">
        <f t="shared" si="2"/>
        <v>182</v>
      </c>
      <c r="N7" s="1">
        <f t="shared" si="2"/>
        <v>183</v>
      </c>
      <c r="O7" s="1">
        <f t="shared" si="2"/>
        <v>182</v>
      </c>
      <c r="P7" s="1">
        <f t="shared" si="2"/>
        <v>183</v>
      </c>
      <c r="Q7" s="1">
        <f t="shared" si="2"/>
        <v>185</v>
      </c>
      <c r="R7" s="1">
        <f t="shared" si="2"/>
        <v>182</v>
      </c>
      <c r="S7" s="1">
        <f t="shared" si="2"/>
        <v>182</v>
      </c>
      <c r="T7" s="1">
        <f t="shared" si="2"/>
        <v>182</v>
      </c>
      <c r="U7" s="1">
        <f t="shared" si="2"/>
        <v>182</v>
      </c>
      <c r="V7" s="1">
        <f t="shared" si="2"/>
        <v>183</v>
      </c>
      <c r="Z7" s="17"/>
      <c r="AA7" s="17"/>
      <c r="AB7" s="17"/>
    </row>
    <row r="8" spans="1:32">
      <c r="B8" s="3" t="s">
        <v>278</v>
      </c>
      <c r="C8" s="4">
        <v>6</v>
      </c>
      <c r="F8" s="3" t="s">
        <v>445</v>
      </c>
      <c r="G8" s="3" t="s">
        <v>291</v>
      </c>
      <c r="H8" s="3" t="s">
        <v>292</v>
      </c>
      <c r="J8" s="140"/>
      <c r="K8" s="1">
        <f>K7/K$2</f>
        <v>0.49863013698630138</v>
      </c>
      <c r="L8" s="1">
        <f t="shared" ref="L8:V8" si="3">L7/L$2</f>
        <v>0.50136986301369868</v>
      </c>
      <c r="M8" s="1">
        <f t="shared" si="3"/>
        <v>0.49863013698630138</v>
      </c>
      <c r="N8" s="1">
        <f t="shared" si="3"/>
        <v>0.50136986301369868</v>
      </c>
      <c r="O8" s="1">
        <f t="shared" si="3"/>
        <v>0.49863013698630138</v>
      </c>
      <c r="P8" s="1">
        <f t="shared" si="3"/>
        <v>0.50136986301369868</v>
      </c>
      <c r="Q8" s="1">
        <f t="shared" si="3"/>
        <v>0.50546448087431695</v>
      </c>
      <c r="R8" s="1">
        <f t="shared" si="3"/>
        <v>0.49863013698630138</v>
      </c>
      <c r="S8" s="1">
        <f t="shared" si="3"/>
        <v>0.49863013698630138</v>
      </c>
      <c r="T8" s="1">
        <f t="shared" si="3"/>
        <v>0.49863013698630138</v>
      </c>
      <c r="U8" s="1">
        <f t="shared" si="3"/>
        <v>0.49863013698630138</v>
      </c>
      <c r="V8" s="1">
        <f t="shared" si="3"/>
        <v>0.50136986301369868</v>
      </c>
      <c r="X8" s="15" t="s">
        <v>10</v>
      </c>
      <c r="Y8" s="12"/>
      <c r="Z8" s="13" t="s">
        <v>11</v>
      </c>
      <c r="AA8" s="13" t="s">
        <v>389</v>
      </c>
      <c r="AB8" s="13" t="s">
        <v>12</v>
      </c>
      <c r="AD8" s="13" t="s">
        <v>11</v>
      </c>
      <c r="AE8" s="13" t="s">
        <v>389</v>
      </c>
      <c r="AF8" s="13" t="s">
        <v>12</v>
      </c>
    </row>
    <row r="9" spans="1:32">
      <c r="B9" s="3" t="s">
        <v>279</v>
      </c>
      <c r="C9" s="66">
        <f>Trade!F11</f>
        <v>1.5</v>
      </c>
      <c r="E9" s="73"/>
      <c r="F9" s="73" t="s">
        <v>293</v>
      </c>
      <c r="G9" s="73" t="s">
        <v>294</v>
      </c>
      <c r="H9" s="73" t="s">
        <v>295</v>
      </c>
      <c r="I9" s="68"/>
      <c r="J9" s="141">
        <f>SUM(K9:V9)</f>
        <v>60012194026.498978</v>
      </c>
      <c r="K9" s="76">
        <f>$C6*$C9*K8</f>
        <v>4487671232.8767128</v>
      </c>
      <c r="L9" s="76">
        <f t="shared" ref="L9:U9" si="4">$C6*$C9*L8</f>
        <v>4512328767.1232882</v>
      </c>
      <c r="M9" s="76">
        <f t="shared" si="4"/>
        <v>4487671232.8767128</v>
      </c>
      <c r="N9" s="76">
        <f t="shared" si="4"/>
        <v>4512328767.1232882</v>
      </c>
      <c r="O9" s="76">
        <f t="shared" si="4"/>
        <v>4487671232.8767128</v>
      </c>
      <c r="P9" s="76">
        <f t="shared" si="4"/>
        <v>4512328767.1232882</v>
      </c>
      <c r="Q9" s="76">
        <f t="shared" si="4"/>
        <v>4549180327.8688526</v>
      </c>
      <c r="R9" s="76">
        <f t="shared" si="4"/>
        <v>4487671232.8767128</v>
      </c>
      <c r="S9" s="76">
        <f t="shared" si="4"/>
        <v>4487671232.8767128</v>
      </c>
      <c r="T9" s="76">
        <f t="shared" si="4"/>
        <v>4487671232.8767128</v>
      </c>
      <c r="U9" s="76">
        <f t="shared" si="4"/>
        <v>4487671232.8767128</v>
      </c>
      <c r="V9" s="76">
        <f>$C6*$C9*V8+C6</f>
        <v>10512328767.123287</v>
      </c>
      <c r="X9" s="18">
        <v>1</v>
      </c>
      <c r="Y9" s="2"/>
      <c r="Z9" s="29">
        <v>90</v>
      </c>
      <c r="AA9" s="29">
        <f>EDATE($J$4, Z9/30)-$J$4</f>
        <v>90</v>
      </c>
      <c r="AB9" s="30">
        <v>3.3700000000000001E-2</v>
      </c>
      <c r="AD9" s="29">
        <v>180</v>
      </c>
      <c r="AE9" s="29">
        <f>EDATE($J$4, AD9/30)-$J$4</f>
        <v>181</v>
      </c>
      <c r="AF9" s="30">
        <v>0</v>
      </c>
    </row>
    <row r="10" spans="1:32">
      <c r="B10" s="3" t="s">
        <v>287</v>
      </c>
      <c r="C10" s="65" t="str">
        <f>Trade!F12</f>
        <v>ACT/ACT</v>
      </c>
      <c r="E10" s="72" t="s">
        <v>296</v>
      </c>
      <c r="F10" s="72" t="s">
        <v>297</v>
      </c>
      <c r="G10" s="72" t="s">
        <v>298</v>
      </c>
      <c r="H10" s="72" t="s">
        <v>299</v>
      </c>
      <c r="I10" s="67"/>
      <c r="J10" s="69"/>
      <c r="K10" s="67" cm="1">
        <f t="array" ref="K10">lin_int(K5,$AA$9:$AB$18)+lin_int(K5,$AE$9:$AF$13)</f>
        <v>3.2139560439560441E-2</v>
      </c>
      <c r="L10" s="67" cm="1">
        <f t="array" ref="L10">lin_int(L5,$AA$9:$AB$18)+lin_int(L5,$AE$9:$AF$13)</f>
        <v>2.8865217391304349E-2</v>
      </c>
      <c r="M10" s="67" cm="1">
        <f t="array" ref="M10">lin_int(M5,$AA$9:$AB$18)+lin_int(M5,$AE$9:$AF$13)</f>
        <v>2.7926575342465752E-2</v>
      </c>
      <c r="N10" s="67" cm="1">
        <f t="array" ref="N10">lin_int(N5,$AA$9:$AB$18)+lin_int(N5,$AE$9:$AF$13)</f>
        <v>2.7274794520547943E-2</v>
      </c>
      <c r="O10" s="67" cm="1">
        <f t="array" ref="O10">lin_int(O5,$AA$9:$AB$18)+lin_int(O5,$AE$9:$AF$13)</f>
        <v>2.7067671232876712E-2</v>
      </c>
      <c r="P10" s="67" cm="1">
        <f t="array" ref="P10">lin_int(P5,$AA$9:$AB$18)+lin_int(P5,$AE$9:$AF$13)</f>
        <v>2.6917260273972603E-2</v>
      </c>
      <c r="Q10" s="67" cm="1">
        <f t="array" ref="Q10">lin_int(Q5,$AA$9:$AB$18)+lin_int(Q5,$AE$9:$AF$13)</f>
        <v>2.7057045143638849E-2</v>
      </c>
      <c r="R10" s="67" cm="1">
        <f t="array" ref="R10">lin_int(R5,$AA$9:$AB$18)+lin_int(R5,$AE$9:$AF$13)</f>
        <v>2.7231326949384405E-2</v>
      </c>
      <c r="S10" s="67" cm="1">
        <f t="array" ref="S10">lin_int(S5,$AA$9:$AB$18)+lin_int(S5,$AE$9:$AF$13)</f>
        <v>2.740560875512996E-2</v>
      </c>
      <c r="T10" s="67" cm="1">
        <f t="array" ref="T10">lin_int(T5,$AA$9:$AB$18)+lin_int(T5,$AE$9:$AF$13)</f>
        <v>2.7579890560875512E-2</v>
      </c>
      <c r="U10" s="67" cm="1">
        <f t="array" ref="U10">lin_int(U5,$AA$9:$AB$18)+lin_int(U5,$AE$9:$AF$13)</f>
        <v>2.7705805038335158E-2</v>
      </c>
      <c r="V10" s="67" cm="1">
        <f t="array" ref="V10">lin_int(V5,$AA$9:$AB$18)+lin_int(V5,$AE$9:$AF$13)</f>
        <v>2.7826067907995616E-2</v>
      </c>
      <c r="X10" s="18">
        <v>2</v>
      </c>
      <c r="Y10" s="2"/>
      <c r="Z10" s="29">
        <v>180</v>
      </c>
      <c r="AA10" s="29">
        <f t="shared" ref="AA10:AA18" si="5">EDATE($J$4, Z10/30)-$J$4</f>
        <v>181</v>
      </c>
      <c r="AB10" s="30">
        <v>3.1699999999999999E-2</v>
      </c>
      <c r="AD10" s="29">
        <v>360</v>
      </c>
      <c r="AE10" s="29">
        <f>EDATE($J$4, AD10/30)-$J$4</f>
        <v>365</v>
      </c>
      <c r="AF10" s="30">
        <v>0</v>
      </c>
    </row>
    <row r="11" spans="1:32">
      <c r="B11" s="3" t="s">
        <v>104</v>
      </c>
      <c r="C11" s="4" t="str">
        <f>Trade!K8</f>
        <v>CONT</v>
      </c>
      <c r="E11" s="73"/>
      <c r="F11" s="73" t="s">
        <v>301</v>
      </c>
      <c r="G11" s="73" t="s">
        <v>302</v>
      </c>
      <c r="H11" s="73" t="s">
        <v>303</v>
      </c>
      <c r="I11" s="68"/>
      <c r="J11" s="168">
        <v>1.3889799999999999E-3</v>
      </c>
      <c r="K11" s="77">
        <f>J11</f>
        <v>1.3889799999999999E-3</v>
      </c>
      <c r="L11" s="77">
        <f>K11</f>
        <v>1.3889799999999999E-3</v>
      </c>
      <c r="M11" s="77">
        <f t="shared" ref="M11:V11" si="6">L11</f>
        <v>1.3889799999999999E-3</v>
      </c>
      <c r="N11" s="77">
        <f t="shared" si="6"/>
        <v>1.3889799999999999E-3</v>
      </c>
      <c r="O11" s="77">
        <f t="shared" si="6"/>
        <v>1.3889799999999999E-3</v>
      </c>
      <c r="P11" s="77">
        <f t="shared" si="6"/>
        <v>1.3889799999999999E-3</v>
      </c>
      <c r="Q11" s="77">
        <f t="shared" si="6"/>
        <v>1.3889799999999999E-3</v>
      </c>
      <c r="R11" s="77">
        <f t="shared" si="6"/>
        <v>1.3889799999999999E-3</v>
      </c>
      <c r="S11" s="77">
        <f t="shared" si="6"/>
        <v>1.3889799999999999E-3</v>
      </c>
      <c r="T11" s="77">
        <f t="shared" si="6"/>
        <v>1.3889799999999999E-3</v>
      </c>
      <c r="U11" s="77">
        <f t="shared" si="6"/>
        <v>1.3889799999999999E-3</v>
      </c>
      <c r="V11" s="77">
        <f t="shared" si="6"/>
        <v>1.3889799999999999E-3</v>
      </c>
      <c r="X11" s="18">
        <v>3</v>
      </c>
      <c r="Y11" s="2"/>
      <c r="Z11" s="29">
        <v>360</v>
      </c>
      <c r="AA11" s="29">
        <f t="shared" si="5"/>
        <v>365</v>
      </c>
      <c r="AB11" s="30">
        <v>2.8500000000000001E-2</v>
      </c>
      <c r="AD11" s="29">
        <v>1080</v>
      </c>
      <c r="AE11" s="29">
        <f>EDATE($J$4, AD11/30)-$J$4</f>
        <v>1095</v>
      </c>
      <c r="AF11" s="30">
        <v>0</v>
      </c>
    </row>
    <row r="12" spans="1:32">
      <c r="B12" s="3" t="s">
        <v>319</v>
      </c>
      <c r="C12" s="4">
        <f>12/C8</f>
        <v>2</v>
      </c>
      <c r="E12" s="72" t="s">
        <v>2</v>
      </c>
      <c r="F12" s="72" t="s">
        <v>297</v>
      </c>
      <c r="G12" s="72" t="s">
        <v>307</v>
      </c>
      <c r="H12" s="72" t="s">
        <v>308</v>
      </c>
      <c r="I12" s="67"/>
      <c r="J12" s="69"/>
      <c r="K12" s="67">
        <f>K10+K11</f>
        <v>3.3528540439560439E-2</v>
      </c>
      <c r="L12" s="67">
        <f t="shared" ref="L12:V12" si="7">L10+L11</f>
        <v>3.025419739130435E-2</v>
      </c>
      <c r="M12" s="67">
        <f t="shared" si="7"/>
        <v>2.9315555342465754E-2</v>
      </c>
      <c r="N12" s="67">
        <f t="shared" si="7"/>
        <v>2.8663774520547945E-2</v>
      </c>
      <c r="O12" s="67">
        <f t="shared" si="7"/>
        <v>2.8456651232876714E-2</v>
      </c>
      <c r="P12" s="67">
        <f t="shared" si="7"/>
        <v>2.8306240273972605E-2</v>
      </c>
      <c r="Q12" s="67">
        <f t="shared" si="7"/>
        <v>2.8446025143638851E-2</v>
      </c>
      <c r="R12" s="67">
        <f t="shared" si="7"/>
        <v>2.8620306949384406E-2</v>
      </c>
      <c r="S12" s="67">
        <f t="shared" si="7"/>
        <v>2.8794588755129961E-2</v>
      </c>
      <c r="T12" s="67">
        <f t="shared" si="7"/>
        <v>2.8968870560875513E-2</v>
      </c>
      <c r="U12" s="67">
        <f t="shared" si="7"/>
        <v>2.9094785038335159E-2</v>
      </c>
      <c r="V12" s="67">
        <f t="shared" si="7"/>
        <v>2.9215047907995617E-2</v>
      </c>
      <c r="X12" s="18">
        <v>4</v>
      </c>
      <c r="Y12" s="2"/>
      <c r="Z12" s="29">
        <v>720</v>
      </c>
      <c r="AA12" s="29">
        <f t="shared" si="5"/>
        <v>730</v>
      </c>
      <c r="AB12" s="30">
        <v>2.7199999999999998E-2</v>
      </c>
      <c r="AD12" s="29">
        <v>1800</v>
      </c>
      <c r="AE12" s="29">
        <f>EDATE($J$4, AD12/30)-$J$4</f>
        <v>1826</v>
      </c>
      <c r="AF12" s="30">
        <v>5.0000000000000001E-4</v>
      </c>
    </row>
    <row r="13" spans="1:32">
      <c r="F13" s="3" t="s">
        <v>304</v>
      </c>
      <c r="G13" s="3" t="s">
        <v>309</v>
      </c>
      <c r="H13" s="3" t="s">
        <v>398</v>
      </c>
      <c r="I13" s="3"/>
      <c r="J13" s="137" t="s">
        <v>305</v>
      </c>
      <c r="K13" s="1">
        <f>IF($J13="CONT",1/EXP(K12*K6), 1/(1+K12*K6))</f>
        <v>0.98531952317821969</v>
      </c>
      <c r="L13" s="1">
        <f t="shared" ref="L13:V13" si="8">IF($J13="CONT",1/EXP(L12*L6), 1/(1+L12*L6))</f>
        <v>0.97188912987833964</v>
      </c>
      <c r="M13" s="1">
        <f t="shared" si="8"/>
        <v>0.9586334230607263</v>
      </c>
      <c r="N13" s="1">
        <f t="shared" si="8"/>
        <v>0.94584326982866085</v>
      </c>
      <c r="O13" s="1">
        <f t="shared" si="8"/>
        <v>0.93289239748910491</v>
      </c>
      <c r="P13" s="1">
        <f t="shared" si="8"/>
        <v>0.92008415286722078</v>
      </c>
      <c r="Q13" s="1">
        <f t="shared" si="8"/>
        <v>0.90678380715387485</v>
      </c>
      <c r="R13" s="1">
        <f t="shared" si="8"/>
        <v>0.89315833802919731</v>
      </c>
      <c r="S13" s="1">
        <f t="shared" si="8"/>
        <v>0.87982055387475677</v>
      </c>
      <c r="T13" s="1">
        <f t="shared" si="8"/>
        <v>0.86653132661678778</v>
      </c>
      <c r="U13" s="1">
        <f t="shared" si="8"/>
        <v>0.85351921224802674</v>
      </c>
      <c r="V13" s="1">
        <f t="shared" si="8"/>
        <v>0.84055788153639954</v>
      </c>
      <c r="X13" s="18">
        <v>5</v>
      </c>
      <c r="Y13" s="2"/>
      <c r="Z13" s="29">
        <v>1080</v>
      </c>
      <c r="AA13" s="29">
        <f t="shared" si="5"/>
        <v>1095</v>
      </c>
      <c r="AB13" s="30">
        <v>2.69E-2</v>
      </c>
      <c r="AD13" s="29">
        <v>3600</v>
      </c>
      <c r="AE13" s="29">
        <f>EDATE($J$4, AD13/30)-$J$4</f>
        <v>3652</v>
      </c>
      <c r="AF13" s="30">
        <v>1E-3</v>
      </c>
    </row>
    <row r="14" spans="1:32">
      <c r="F14" s="3" t="s">
        <v>2</v>
      </c>
      <c r="G14" s="3" t="s">
        <v>310</v>
      </c>
      <c r="H14" s="3" t="s">
        <v>311</v>
      </c>
      <c r="I14" s="132"/>
      <c r="J14" s="78">
        <f>SUM(K14:V14)</f>
        <v>54352408904.177437</v>
      </c>
      <c r="K14" s="79">
        <f t="shared" ref="K14:V14" si="9">K9*K13</f>
        <v>4421790079.358696</v>
      </c>
      <c r="L14" s="79">
        <f t="shared" si="9"/>
        <v>4385483279.2044535</v>
      </c>
      <c r="M14" s="79">
        <f t="shared" si="9"/>
        <v>4302031635.5437527</v>
      </c>
      <c r="N14" s="79">
        <f t="shared" si="9"/>
        <v>4267955795.6378207</v>
      </c>
      <c r="O14" s="79">
        <f t="shared" si="9"/>
        <v>4186514375.581244</v>
      </c>
      <c r="P14" s="79">
        <f t="shared" si="9"/>
        <v>4151722191.1570215</v>
      </c>
      <c r="Q14" s="79">
        <f t="shared" si="9"/>
        <v>4125123057.1344309</v>
      </c>
      <c r="R14" s="79">
        <f t="shared" si="9"/>
        <v>4008200979.9776039</v>
      </c>
      <c r="S14" s="79">
        <f t="shared" si="9"/>
        <v>3948345389.717402</v>
      </c>
      <c r="T14" s="79">
        <f t="shared" si="9"/>
        <v>3888707706.8446536</v>
      </c>
      <c r="U14" s="79">
        <f t="shared" si="9"/>
        <v>3830313615.513063</v>
      </c>
      <c r="V14" s="79">
        <f t="shared" si="9"/>
        <v>8836220798.5073013</v>
      </c>
      <c r="X14" s="18">
        <v>6</v>
      </c>
      <c r="Y14" s="2"/>
      <c r="Z14" s="29">
        <v>1800</v>
      </c>
      <c r="AA14" s="29">
        <f t="shared" si="5"/>
        <v>1826</v>
      </c>
      <c r="AB14" s="30">
        <v>2.7099999999999999E-2</v>
      </c>
      <c r="AD14" s="29"/>
      <c r="AE14" s="29"/>
      <c r="AF14" s="30"/>
    </row>
    <row r="15" spans="1:32">
      <c r="H15" s="3" t="s">
        <v>306</v>
      </c>
      <c r="J15" s="78">
        <f>J14-C7</f>
        <v>48816105169.489044</v>
      </c>
      <c r="K15" s="79"/>
      <c r="L15" s="79"/>
      <c r="M15" s="79"/>
      <c r="N15" s="79"/>
      <c r="O15" s="79"/>
      <c r="P15" s="79"/>
      <c r="Q15" s="79"/>
      <c r="R15" s="79"/>
      <c r="S15" s="79"/>
      <c r="T15" s="79"/>
      <c r="U15" s="79"/>
      <c r="V15" s="79"/>
      <c r="X15" s="18">
        <v>7</v>
      </c>
      <c r="Y15" s="2"/>
      <c r="Z15" s="29">
        <v>3600</v>
      </c>
      <c r="AA15" s="29">
        <f t="shared" si="5"/>
        <v>3652</v>
      </c>
      <c r="AB15" s="30">
        <v>2.7799999999999998E-2</v>
      </c>
      <c r="AD15" s="29"/>
      <c r="AE15" s="29"/>
      <c r="AF15" s="30"/>
    </row>
    <row r="16" spans="1:32">
      <c r="F16" s="48" t="s">
        <v>444</v>
      </c>
      <c r="G16" s="3" t="s">
        <v>312</v>
      </c>
      <c r="H16" s="3" t="s">
        <v>313</v>
      </c>
      <c r="J16" s="187">
        <f>K9/K7*J5</f>
        <v>517808219.17808223</v>
      </c>
      <c r="X16" s="18">
        <v>8</v>
      </c>
      <c r="Y16" s="2"/>
      <c r="Z16" s="29">
        <v>5400</v>
      </c>
      <c r="AA16" s="29">
        <f t="shared" si="5"/>
        <v>5478</v>
      </c>
      <c r="AB16" s="30">
        <v>2.7199999999999998E-2</v>
      </c>
      <c r="AD16" s="29"/>
      <c r="AE16" s="29"/>
      <c r="AF16" s="30"/>
    </row>
    <row r="17" spans="2:32">
      <c r="E17" s="73"/>
      <c r="F17" s="73" t="s">
        <v>314</v>
      </c>
      <c r="G17" s="73" t="s">
        <v>315</v>
      </c>
      <c r="H17" s="73" t="s">
        <v>316</v>
      </c>
      <c r="I17" s="68"/>
      <c r="J17" s="81">
        <f>J14-J16</f>
        <v>53834600684.999352</v>
      </c>
      <c r="K17" s="68"/>
      <c r="L17" s="68"/>
      <c r="M17" s="68"/>
      <c r="N17" s="68"/>
      <c r="O17" s="68"/>
      <c r="P17" s="68"/>
      <c r="Q17" s="68"/>
      <c r="R17" s="68"/>
      <c r="S17" s="68"/>
      <c r="T17" s="68"/>
      <c r="U17" s="68"/>
      <c r="V17" s="68"/>
      <c r="X17" s="18">
        <v>9</v>
      </c>
      <c r="Y17" s="2"/>
      <c r="Z17" s="29">
        <v>7200</v>
      </c>
      <c r="AA17" s="29">
        <f t="shared" si="5"/>
        <v>7305</v>
      </c>
      <c r="AB17" s="30">
        <v>2.5399999999999999E-2</v>
      </c>
      <c r="AD17" s="29"/>
      <c r="AE17" s="29"/>
      <c r="AF17" s="30"/>
    </row>
    <row r="18" spans="2:32">
      <c r="B18" s="3"/>
      <c r="E18" s="72" t="s">
        <v>317</v>
      </c>
      <c r="F18" s="72" t="s">
        <v>317</v>
      </c>
      <c r="G18" s="72" t="s">
        <v>318</v>
      </c>
      <c r="H18" s="72" t="s">
        <v>324</v>
      </c>
      <c r="I18" s="67"/>
      <c r="J18" s="88">
        <f>K18</f>
        <v>2.9414976380430245E-2</v>
      </c>
      <c r="K18" s="82">
        <v>2.9414976380430245E-2</v>
      </c>
      <c r="L18" s="83">
        <f>K18</f>
        <v>2.9414976380430245E-2</v>
      </c>
      <c r="M18" s="83">
        <f>L18</f>
        <v>2.9414976380430245E-2</v>
      </c>
      <c r="N18" s="83">
        <f t="shared" ref="N18:V18" si="10">M18</f>
        <v>2.9414976380430245E-2</v>
      </c>
      <c r="O18" s="83">
        <f t="shared" si="10"/>
        <v>2.9414976380430245E-2</v>
      </c>
      <c r="P18" s="83">
        <f t="shared" si="10"/>
        <v>2.9414976380430245E-2</v>
      </c>
      <c r="Q18" s="83">
        <f t="shared" si="10"/>
        <v>2.9414976380430245E-2</v>
      </c>
      <c r="R18" s="83">
        <f t="shared" si="10"/>
        <v>2.9414976380430245E-2</v>
      </c>
      <c r="S18" s="83">
        <f t="shared" si="10"/>
        <v>2.9414976380430245E-2</v>
      </c>
      <c r="T18" s="83">
        <f t="shared" si="10"/>
        <v>2.9414976380430245E-2</v>
      </c>
      <c r="U18" s="83">
        <f t="shared" si="10"/>
        <v>2.9414976380430245E-2</v>
      </c>
      <c r="V18" s="83">
        <f t="shared" si="10"/>
        <v>2.9414976380430245E-2</v>
      </c>
      <c r="X18" s="21">
        <v>10</v>
      </c>
      <c r="Y18" s="2"/>
      <c r="Z18" s="29">
        <v>10800</v>
      </c>
      <c r="AA18" s="29">
        <f t="shared" si="5"/>
        <v>10957</v>
      </c>
      <c r="AB18" s="30">
        <v>2.2200000000000001E-2</v>
      </c>
      <c r="AD18" s="29"/>
      <c r="AE18" s="29"/>
      <c r="AF18" s="30"/>
    </row>
    <row r="19" spans="2:32">
      <c r="B19" s="3"/>
      <c r="F19" s="3" t="s">
        <v>304</v>
      </c>
      <c r="G19" s="3" t="s">
        <v>321</v>
      </c>
      <c r="H19" s="3" t="s">
        <v>320</v>
      </c>
      <c r="J19" s="70"/>
      <c r="K19" s="84">
        <f t="shared" ref="K19:V19" si="11">1/(1+K18/$C12)^(K6*$C12)</f>
        <v>0.98720225955305307</v>
      </c>
      <c r="L19" s="84">
        <f t="shared" si="11"/>
        <v>0.97285452478524859</v>
      </c>
      <c r="M19" s="84">
        <f t="shared" si="11"/>
        <v>0.95879201847411732</v>
      </c>
      <c r="N19" s="84">
        <f t="shared" si="11"/>
        <v>0.94485719058506579</v>
      </c>
      <c r="O19" s="84">
        <f t="shared" si="11"/>
        <v>0.9311993826937438</v>
      </c>
      <c r="P19" s="84">
        <f t="shared" si="11"/>
        <v>0.91766557882574806</v>
      </c>
      <c r="Q19" s="84">
        <f t="shared" si="11"/>
        <v>0.90443265111839555</v>
      </c>
      <c r="R19" s="84">
        <f t="shared" si="11"/>
        <v>0.89111390862752837</v>
      </c>
      <c r="S19" s="84">
        <f t="shared" si="11"/>
        <v>0.87823295402974033</v>
      </c>
      <c r="T19" s="84">
        <f t="shared" si="11"/>
        <v>0.86553819222924122</v>
      </c>
      <c r="U19" s="84">
        <f t="shared" si="11"/>
        <v>0.85302693182940337</v>
      </c>
      <c r="V19" s="84">
        <f t="shared" si="11"/>
        <v>0.84062926554648421</v>
      </c>
    </row>
    <row r="20" spans="2:32">
      <c r="B20" s="3"/>
      <c r="G20" s="3" t="s">
        <v>322</v>
      </c>
      <c r="H20" s="3" t="s">
        <v>323</v>
      </c>
      <c r="J20" s="80">
        <f>SUM(K20:V20)</f>
        <v>54310054473.512543</v>
      </c>
      <c r="K20" s="1">
        <f t="shared" ref="K20:V20" si="12">K19*K9</f>
        <v>4430239181.2271261</v>
      </c>
      <c r="L20" s="1">
        <f t="shared" si="12"/>
        <v>4389839458.4145327</v>
      </c>
      <c r="M20" s="1">
        <f t="shared" si="12"/>
        <v>4302743359.6180944</v>
      </c>
      <c r="N20" s="1">
        <f t="shared" si="12"/>
        <v>4263506281.9002838</v>
      </c>
      <c r="O20" s="1">
        <f t="shared" si="12"/>
        <v>4178916681.7872672</v>
      </c>
      <c r="P20" s="1">
        <f t="shared" si="12"/>
        <v>4140808789.9342666</v>
      </c>
      <c r="Q20" s="1">
        <f t="shared" si="12"/>
        <v>4114427224.3500781</v>
      </c>
      <c r="R20" s="1">
        <f t="shared" si="12"/>
        <v>3999026252.9640865</v>
      </c>
      <c r="S20" s="1">
        <f t="shared" si="12"/>
        <v>3941220763.5636024</v>
      </c>
      <c r="T20" s="1">
        <f t="shared" si="12"/>
        <v>3884250846.22328</v>
      </c>
      <c r="U20" s="1">
        <f t="shared" si="12"/>
        <v>3828104422.8398981</v>
      </c>
      <c r="V20" s="1">
        <f t="shared" si="12"/>
        <v>8836971210.6900272</v>
      </c>
    </row>
    <row r="21" spans="2:32">
      <c r="B21" s="3"/>
      <c r="E21" s="73"/>
      <c r="F21" s="73"/>
      <c r="G21" s="73"/>
      <c r="H21" s="73" t="s">
        <v>306</v>
      </c>
      <c r="I21" s="68"/>
      <c r="J21" s="71">
        <f>J14-J20</f>
        <v>42354430.664894104</v>
      </c>
      <c r="K21" s="68"/>
      <c r="L21" s="68"/>
      <c r="M21" s="68"/>
      <c r="N21" s="68"/>
      <c r="O21" s="68"/>
      <c r="P21" s="68"/>
      <c r="Q21" s="68"/>
      <c r="R21" s="68"/>
      <c r="S21" s="68"/>
      <c r="T21" s="68"/>
      <c r="U21" s="68"/>
      <c r="V21" s="68"/>
    </row>
    <row r="22" spans="2:32">
      <c r="B22" s="72" t="s">
        <v>284</v>
      </c>
      <c r="C22" s="67" t="s">
        <v>441</v>
      </c>
      <c r="E22" s="72" t="s">
        <v>325</v>
      </c>
      <c r="F22" s="72" t="s">
        <v>2</v>
      </c>
      <c r="G22" s="72" t="s">
        <v>326</v>
      </c>
      <c r="H22" s="72" t="s">
        <v>327</v>
      </c>
      <c r="I22" s="67"/>
      <c r="J22" s="85">
        <f>SUM(K22:V22)</f>
        <v>183010789766.65161</v>
      </c>
      <c r="K22" s="86">
        <f t="shared" ref="K22:V22" si="13">K6*K9*K19</f>
        <v>1954160296.3768969</v>
      </c>
      <c r="L22" s="86">
        <f t="shared" si="13"/>
        <v>4137273352.5879436</v>
      </c>
      <c r="M22" s="86">
        <f t="shared" si="13"/>
        <v>6200665773.0386782</v>
      </c>
      <c r="N22" s="86">
        <f t="shared" si="13"/>
        <v>8281714942.1021938</v>
      </c>
      <c r="O22" s="86">
        <f t="shared" si="13"/>
        <v>10201136338.280701</v>
      </c>
      <c r="P22" s="86">
        <f t="shared" si="13"/>
        <v>12184188055.861376</v>
      </c>
      <c r="Q22" s="86">
        <f t="shared" si="13"/>
        <v>14153179987.586746</v>
      </c>
      <c r="R22" s="86">
        <f t="shared" si="13"/>
        <v>15787936521.976025</v>
      </c>
      <c r="S22" s="86">
        <f t="shared" si="13"/>
        <v>17524935066.475964</v>
      </c>
      <c r="T22" s="86">
        <f t="shared" si="13"/>
        <v>19208418568.309647</v>
      </c>
      <c r="U22" s="86">
        <f t="shared" si="13"/>
        <v>20839571200.501034</v>
      </c>
      <c r="V22" s="86">
        <f t="shared" si="13"/>
        <v>52537609663.554405</v>
      </c>
    </row>
    <row r="23" spans="2:32">
      <c r="B23" s="3" t="s">
        <v>293</v>
      </c>
      <c r="C23" s="1" t="s">
        <v>286</v>
      </c>
      <c r="F23" s="3" t="s">
        <v>328</v>
      </c>
      <c r="G23" s="3" t="s">
        <v>329</v>
      </c>
      <c r="H23" s="3" t="s">
        <v>330</v>
      </c>
      <c r="J23" s="165">
        <f>J22/J20</f>
        <v>3.3697404935564457</v>
      </c>
    </row>
    <row r="24" spans="2:32">
      <c r="B24" s="3" t="s">
        <v>297</v>
      </c>
      <c r="C24" s="1" t="s">
        <v>442</v>
      </c>
      <c r="F24" s="89" t="s">
        <v>304</v>
      </c>
      <c r="G24" s="89" t="s">
        <v>331</v>
      </c>
      <c r="H24" s="89" t="s">
        <v>332</v>
      </c>
      <c r="I24" s="90"/>
      <c r="J24" s="91"/>
      <c r="K24" s="87">
        <f t="shared" ref="K24:V24" si="14">(1+K18/$C12)^(-K6*$C12-1)</f>
        <v>0.97289344076269801</v>
      </c>
      <c r="L24" s="87">
        <f t="shared" si="14"/>
        <v>0.95875366655703553</v>
      </c>
      <c r="M24" s="87">
        <f t="shared" si="14"/>
        <v>0.94489498661744786</v>
      </c>
      <c r="N24" s="87">
        <f t="shared" si="14"/>
        <v>0.93116213448889473</v>
      </c>
      <c r="O24" s="87">
        <f t="shared" si="14"/>
        <v>0.91770228714344815</v>
      </c>
      <c r="P24" s="87">
        <f t="shared" si="14"/>
        <v>0.90436464646816939</v>
      </c>
      <c r="Q24" s="87">
        <f t="shared" si="14"/>
        <v>0.89132352096021217</v>
      </c>
      <c r="R24" s="87">
        <f t="shared" si="14"/>
        <v>0.87819782449509398</v>
      </c>
      <c r="S24" s="87">
        <f t="shared" si="14"/>
        <v>0.86550357048819626</v>
      </c>
      <c r="T24" s="87">
        <f t="shared" si="14"/>
        <v>0.85299281054185838</v>
      </c>
      <c r="U24" s="87">
        <f t="shared" si="14"/>
        <v>0.84066289226939894</v>
      </c>
      <c r="V24" s="87">
        <f t="shared" si="14"/>
        <v>0.82844492164514449</v>
      </c>
    </row>
    <row r="25" spans="2:32">
      <c r="B25" s="3" t="s">
        <v>304</v>
      </c>
      <c r="C25" s="1" t="s">
        <v>443</v>
      </c>
      <c r="F25" s="89" t="s">
        <v>343</v>
      </c>
      <c r="G25" s="89" t="s">
        <v>333</v>
      </c>
      <c r="H25" s="89" t="s">
        <v>334</v>
      </c>
      <c r="I25" s="90"/>
      <c r="J25" s="92">
        <f>SUM(K25:V25)</f>
        <v>180358174051.77634</v>
      </c>
      <c r="K25" s="79">
        <f t="shared" ref="K25:V25" si="15">K6*K9*K24</f>
        <v>1925836084.9019122</v>
      </c>
      <c r="L25" s="79">
        <f t="shared" si="15"/>
        <v>4077306416.617651</v>
      </c>
      <c r="M25" s="79">
        <f t="shared" si="15"/>
        <v>6110791380.970192</v>
      </c>
      <c r="N25" s="79">
        <f t="shared" si="15"/>
        <v>8161677171.4901533</v>
      </c>
      <c r="O25" s="79">
        <f t="shared" si="15"/>
        <v>10053277872.695086</v>
      </c>
      <c r="P25" s="79">
        <f t="shared" si="15"/>
        <v>12007586617.491632</v>
      </c>
      <c r="Q25" s="79">
        <f t="shared" si="15"/>
        <v>13948039363.373276</v>
      </c>
      <c r="R25" s="79">
        <f t="shared" si="15"/>
        <v>15559101224.466814</v>
      </c>
      <c r="S25" s="79">
        <f t="shared" si="15"/>
        <v>17270923167.949238</v>
      </c>
      <c r="T25" s="79">
        <f t="shared" si="15"/>
        <v>18930005732.55735</v>
      </c>
      <c r="U25" s="79">
        <f t="shared" si="15"/>
        <v>20537515927.540375</v>
      </c>
      <c r="V25" s="79">
        <f t="shared" si="15"/>
        <v>51776113091.722649</v>
      </c>
    </row>
    <row r="26" spans="2:32">
      <c r="B26" s="68" t="s">
        <v>444</v>
      </c>
      <c r="C26" s="68" t="s">
        <v>447</v>
      </c>
      <c r="E26" s="73"/>
      <c r="F26" s="93" t="s">
        <v>335</v>
      </c>
      <c r="G26" s="93" t="s">
        <v>336</v>
      </c>
      <c r="H26" s="93" t="s">
        <v>337</v>
      </c>
      <c r="I26" s="94"/>
      <c r="J26" s="167">
        <f>J25/J14</f>
        <v>3.3183105898718375</v>
      </c>
      <c r="K26" s="68"/>
      <c r="L26" s="68"/>
      <c r="M26" s="68"/>
      <c r="N26" s="68"/>
      <c r="O26" s="68"/>
      <c r="P26" s="68"/>
      <c r="Q26" s="68"/>
      <c r="R26" s="68"/>
      <c r="S26" s="68"/>
      <c r="T26" s="68"/>
      <c r="U26" s="68"/>
      <c r="V26" s="68"/>
    </row>
    <row r="27" spans="2:32">
      <c r="E27" s="72" t="s">
        <v>338</v>
      </c>
      <c r="F27" s="72" t="s">
        <v>2</v>
      </c>
      <c r="G27" s="72" t="s">
        <v>339</v>
      </c>
      <c r="H27" s="72" t="s">
        <v>340</v>
      </c>
      <c r="I27" s="67"/>
      <c r="J27" s="85">
        <f>SUM(K27:V27)</f>
        <v>891767721445.39282</v>
      </c>
      <c r="K27" s="86">
        <f t="shared" ref="K27:V27" si="16">K6*K9*K19*(K6+1/$C$12)</f>
        <v>1839052224.1245592</v>
      </c>
      <c r="L27" s="86">
        <f t="shared" si="16"/>
        <v>5967875123.6645269</v>
      </c>
      <c r="M27" s="86">
        <f t="shared" si="16"/>
        <v>12036086849.857271</v>
      </c>
      <c r="N27" s="86">
        <f t="shared" si="16"/>
        <v>20227805125.709877</v>
      </c>
      <c r="O27" s="86">
        <f t="shared" si="16"/>
        <v>30002520162.039268</v>
      </c>
      <c r="P27" s="86">
        <f t="shared" si="16"/>
        <v>41943650115.588547</v>
      </c>
      <c r="Q27" s="86">
        <f t="shared" si="16"/>
        <v>55761982355.464722</v>
      </c>
      <c r="R27" s="86">
        <f t="shared" si="16"/>
        <v>70223876557.337189</v>
      </c>
      <c r="S27" s="86">
        <f t="shared" si="16"/>
        <v>86688411678.143433</v>
      </c>
      <c r="T27" s="86">
        <f t="shared" si="16"/>
        <v>104593786039.76828</v>
      </c>
      <c r="U27" s="86">
        <f t="shared" si="16"/>
        <v>123866985532.84108</v>
      </c>
      <c r="V27" s="86">
        <f t="shared" si="16"/>
        <v>338615689680.85406</v>
      </c>
    </row>
    <row r="28" spans="2:32">
      <c r="F28" s="3" t="s">
        <v>341</v>
      </c>
      <c r="G28" s="3" t="s">
        <v>342</v>
      </c>
      <c r="H28" s="3" t="s">
        <v>346</v>
      </c>
      <c r="J28" s="166">
        <f>J27/((1+J18/$C$12)^2*J14)</f>
        <v>15.934968930219606</v>
      </c>
    </row>
    <row r="29" spans="2:32">
      <c r="E29" s="73"/>
      <c r="F29" s="93" t="s">
        <v>343</v>
      </c>
      <c r="G29" s="93" t="s">
        <v>344</v>
      </c>
      <c r="H29" s="93" t="s">
        <v>345</v>
      </c>
      <c r="I29" s="94"/>
      <c r="J29" s="95">
        <f>J28*J20</f>
        <v>865429030633.95667</v>
      </c>
      <c r="K29" s="68"/>
      <c r="L29" s="68"/>
      <c r="M29" s="68"/>
      <c r="N29" s="68"/>
      <c r="O29" s="68"/>
      <c r="P29" s="68"/>
      <c r="Q29" s="68"/>
      <c r="R29" s="68"/>
      <c r="S29" s="68"/>
      <c r="T29" s="68"/>
      <c r="U29" s="68"/>
      <c r="V29" s="68"/>
    </row>
    <row r="30" spans="2:32">
      <c r="E30" s="72" t="s">
        <v>347</v>
      </c>
      <c r="F30" s="72" t="s">
        <v>297</v>
      </c>
      <c r="G30" s="72" t="s">
        <v>348</v>
      </c>
      <c r="H30" s="72" t="s">
        <v>349</v>
      </c>
      <c r="I30" s="67"/>
      <c r="J30" s="69"/>
      <c r="K30" s="67">
        <f t="shared" ref="K30:V30" si="17">K12+0.0001</f>
        <v>3.3628540439560442E-2</v>
      </c>
      <c r="L30" s="67">
        <f t="shared" si="17"/>
        <v>3.0354197391304349E-2</v>
      </c>
      <c r="M30" s="67">
        <f t="shared" si="17"/>
        <v>2.9415555342465753E-2</v>
      </c>
      <c r="N30" s="67">
        <f t="shared" si="17"/>
        <v>2.8763774520547944E-2</v>
      </c>
      <c r="O30" s="67">
        <f t="shared" si="17"/>
        <v>2.8556651232876713E-2</v>
      </c>
      <c r="P30" s="67">
        <f t="shared" si="17"/>
        <v>2.8406240273972604E-2</v>
      </c>
      <c r="Q30" s="67">
        <f t="shared" si="17"/>
        <v>2.854602514363885E-2</v>
      </c>
      <c r="R30" s="67">
        <f t="shared" si="17"/>
        <v>2.8720306949384405E-2</v>
      </c>
      <c r="S30" s="67">
        <f t="shared" si="17"/>
        <v>2.8894588755129961E-2</v>
      </c>
      <c r="T30" s="67">
        <f t="shared" si="17"/>
        <v>2.9068870560875513E-2</v>
      </c>
      <c r="U30" s="67">
        <f t="shared" si="17"/>
        <v>2.9194785038335159E-2</v>
      </c>
      <c r="V30" s="67">
        <f t="shared" si="17"/>
        <v>2.9315047907995617E-2</v>
      </c>
    </row>
    <row r="31" spans="2:32">
      <c r="F31" s="3" t="s">
        <v>304</v>
      </c>
      <c r="G31" s="3" t="s">
        <v>350</v>
      </c>
      <c r="H31" s="3" t="s">
        <v>351</v>
      </c>
      <c r="J31" s="70"/>
      <c r="K31" s="1">
        <f t="shared" ref="K31:V31" si="18">1/EXP(K6*K30)</f>
        <v>0.98527606209751029</v>
      </c>
      <c r="L31" s="1">
        <f t="shared" si="18"/>
        <v>0.97179753697246252</v>
      </c>
      <c r="M31" s="1">
        <f t="shared" si="18"/>
        <v>0.95849528474585488</v>
      </c>
      <c r="N31" s="1">
        <f t="shared" si="18"/>
        <v>0.94565956085568315</v>
      </c>
      <c r="O31" s="1">
        <f t="shared" si="18"/>
        <v>0.93266469730236445</v>
      </c>
      <c r="P31" s="1">
        <f t="shared" si="18"/>
        <v>0.91981346108323092</v>
      </c>
      <c r="Q31" s="1">
        <f t="shared" si="18"/>
        <v>0.90647193707744367</v>
      </c>
      <c r="R31" s="1">
        <f t="shared" si="18"/>
        <v>0.89280579360724366</v>
      </c>
      <c r="S31" s="1">
        <f t="shared" si="18"/>
        <v>0.87942942200300267</v>
      </c>
      <c r="T31" s="1">
        <f t="shared" si="18"/>
        <v>0.86610291500823999</v>
      </c>
      <c r="U31" s="1">
        <f t="shared" si="18"/>
        <v>0.85305469686807189</v>
      </c>
      <c r="V31" s="1">
        <f t="shared" si="18"/>
        <v>0.84005830112421387</v>
      </c>
    </row>
    <row r="32" spans="2:32">
      <c r="F32" s="3" t="s">
        <v>2</v>
      </c>
      <c r="G32" s="3" t="s">
        <v>352</v>
      </c>
      <c r="H32" s="3" t="s">
        <v>353</v>
      </c>
      <c r="J32" s="169">
        <f>SUM(K32:V32)</f>
        <v>54334093355.080429</v>
      </c>
      <c r="K32" s="87">
        <f t="shared" ref="K32:V32" si="19">K9*K31</f>
        <v>4421595040.3170462</v>
      </c>
      <c r="L32" s="1">
        <f t="shared" si="19"/>
        <v>4385069981.9004002</v>
      </c>
      <c r="M32" s="1">
        <f t="shared" si="19"/>
        <v>4301411716.2019463</v>
      </c>
      <c r="N32" s="1">
        <f t="shared" si="19"/>
        <v>4267126840.3542747</v>
      </c>
      <c r="O32" s="1">
        <f t="shared" si="19"/>
        <v>4185492532.0034881</v>
      </c>
      <c r="P32" s="1">
        <f t="shared" si="19"/>
        <v>4150500740.8330998</v>
      </c>
      <c r="Q32" s="1">
        <f t="shared" si="19"/>
        <v>4123704303.9178791</v>
      </c>
      <c r="R32" s="1">
        <f t="shared" si="19"/>
        <v>4006618876.516891</v>
      </c>
      <c r="S32" s="1">
        <f t="shared" si="19"/>
        <v>3946590118.4682698</v>
      </c>
      <c r="T32" s="1">
        <f t="shared" si="19"/>
        <v>3886785136.3931432</v>
      </c>
      <c r="U32" s="1">
        <f t="shared" si="19"/>
        <v>3828229023.2052107</v>
      </c>
      <c r="V32" s="1">
        <f t="shared" si="19"/>
        <v>8830969044.9687901</v>
      </c>
    </row>
    <row r="33" spans="2:38">
      <c r="E33" s="73"/>
      <c r="F33" s="73" t="s">
        <v>347</v>
      </c>
      <c r="G33" s="73" t="s">
        <v>354</v>
      </c>
      <c r="H33" s="73" t="s">
        <v>355</v>
      </c>
      <c r="I33" s="68"/>
      <c r="J33" s="170">
        <f>J32-J14</f>
        <v>-18315549.097007751</v>
      </c>
      <c r="K33" s="68"/>
      <c r="L33" s="68"/>
      <c r="M33" s="68"/>
      <c r="N33" s="68"/>
      <c r="O33" s="68"/>
      <c r="P33" s="68"/>
      <c r="Q33" s="68"/>
      <c r="R33" s="68"/>
      <c r="S33" s="68"/>
      <c r="T33" s="68"/>
      <c r="U33" s="68"/>
      <c r="V33" s="68"/>
    </row>
    <row r="35" spans="2:38">
      <c r="B35" s="96"/>
      <c r="C35" s="96"/>
      <c r="D35" s="96"/>
      <c r="E35" s="61" t="s">
        <v>300</v>
      </c>
      <c r="F35" s="61"/>
      <c r="G35" s="128" t="s">
        <v>388</v>
      </c>
      <c r="H35" s="128" t="s">
        <v>255</v>
      </c>
      <c r="I35" s="128" t="s">
        <v>356</v>
      </c>
      <c r="J35" s="128" t="s">
        <v>359</v>
      </c>
    </row>
    <row r="36" spans="2:38">
      <c r="E36" s="1"/>
      <c r="F36" s="3" t="s">
        <v>360</v>
      </c>
      <c r="G36" s="129"/>
      <c r="H36" s="101">
        <f>I36-J36</f>
        <v>0</v>
      </c>
      <c r="I36" s="156">
        <f>J11</f>
        <v>1.3889799999999999E-3</v>
      </c>
      <c r="J36" s="102">
        <f>K11</f>
        <v>1.3889799999999999E-3</v>
      </c>
    </row>
    <row r="37" spans="2:38">
      <c r="F37" s="3" t="s">
        <v>2</v>
      </c>
      <c r="G37" s="129">
        <f>H37/I37</f>
        <v>-8.8188048697337891</v>
      </c>
      <c r="H37" s="99">
        <f>I37-J37</f>
        <v>-48816866684.39901</v>
      </c>
      <c r="I37" s="157">
        <f>Result!F7</f>
        <v>5535542219.77843</v>
      </c>
      <c r="J37" s="103">
        <f>J14</f>
        <v>54352408904.177437</v>
      </c>
    </row>
    <row r="38" spans="2:38">
      <c r="F38" s="3" t="s">
        <v>357</v>
      </c>
      <c r="G38" s="129">
        <f>H38/I38</f>
        <v>0.40805537166718681</v>
      </c>
      <c r="H38" s="100">
        <f>I38-J38</f>
        <v>2.3229211715171543</v>
      </c>
      <c r="I38" s="164">
        <f>Result!F11</f>
        <v>5.6926616650735999</v>
      </c>
      <c r="J38" s="104">
        <f>J23</f>
        <v>3.3697404935564457</v>
      </c>
    </row>
    <row r="39" spans="2:38">
      <c r="F39" s="3" t="s">
        <v>338</v>
      </c>
      <c r="G39" s="129">
        <f>H39/I39</f>
        <v>0.54638696080013183</v>
      </c>
      <c r="H39" s="100">
        <f>I39-J39</f>
        <v>19.194023301413395</v>
      </c>
      <c r="I39" s="164">
        <f>Result!F12</f>
        <v>35.128992231632999</v>
      </c>
      <c r="J39" s="104">
        <f>J28</f>
        <v>15.934968930219606</v>
      </c>
      <c r="K39" s="1" t="s">
        <v>358</v>
      </c>
    </row>
    <row r="40" spans="2:38">
      <c r="F40" s="3" t="s">
        <v>347</v>
      </c>
      <c r="G40" s="129">
        <f>H40/I40</f>
        <v>-4.8140841947269752</v>
      </c>
      <c r="H40" s="99">
        <f>I40-J40</f>
        <v>15165345.473603252</v>
      </c>
      <c r="I40" s="157">
        <f>Result!F13</f>
        <v>-3150203.6234045001</v>
      </c>
      <c r="J40" s="103">
        <f>J33</f>
        <v>-18315549.097007751</v>
      </c>
    </row>
    <row r="41" spans="2:38">
      <c r="G41" s="129"/>
      <c r="I41" s="158"/>
      <c r="J41" s="130"/>
      <c r="K41" s="13" t="s">
        <v>409</v>
      </c>
      <c r="L41" s="13" t="s">
        <v>410</v>
      </c>
      <c r="M41" s="13" t="s">
        <v>411</v>
      </c>
      <c r="X41" s="3" t="s">
        <v>395</v>
      </c>
    </row>
    <row r="42" spans="2:38">
      <c r="C42" s="3"/>
      <c r="F42" s="61" t="s">
        <v>393</v>
      </c>
      <c r="G42" s="145">
        <f>H42/I42</f>
        <v>-99.033038024723297</v>
      </c>
      <c r="H42" s="146">
        <f>I42-J42</f>
        <v>424379380.24520874</v>
      </c>
      <c r="I42" s="159">
        <f>IF(K42="GIRR",VLOOKUP(M42,Result!M7:N18,2,FALSE),VLOOKUP(M42,Result!J7:K11,2,FALSE))</f>
        <v>-4285230.3504943848</v>
      </c>
      <c r="J42" s="150">
        <f>(J46-J14)*10000</f>
        <v>-428664610.59570313</v>
      </c>
      <c r="K42" s="133" t="s">
        <v>391</v>
      </c>
      <c r="L42" s="133">
        <v>90</v>
      </c>
      <c r="M42" s="134">
        <f>L42/360</f>
        <v>0.25</v>
      </c>
      <c r="N42" s="132" t="s">
        <v>394</v>
      </c>
      <c r="Z42" s="3" t="s">
        <v>404</v>
      </c>
      <c r="AD42" s="3" t="s">
        <v>405</v>
      </c>
      <c r="AH42" s="3" t="s">
        <v>407</v>
      </c>
      <c r="AJ42" s="3"/>
      <c r="AK42" s="3" t="s">
        <v>408</v>
      </c>
    </row>
    <row r="43" spans="2:38">
      <c r="F43" s="72" t="s">
        <v>297</v>
      </c>
      <c r="G43" s="72" t="s">
        <v>298</v>
      </c>
      <c r="H43" s="72" t="s">
        <v>299</v>
      </c>
      <c r="I43" s="160"/>
      <c r="J43" s="72"/>
      <c r="K43" s="1" cm="1">
        <f t="array" ref="K43">lin_int(K5,$AA$44:$AB$53)+lin_int(K5,$AE$44:$AF$48)</f>
        <v>3.2161538461538464E-2</v>
      </c>
      <c r="L43" s="1" cm="1">
        <f t="array" ref="L43">lin_int(L5,$AA$44:$AB$53)+lin_int(L5,$AE$44:$AF$48)</f>
        <v>2.8865217391304349E-2</v>
      </c>
      <c r="M43" s="1" cm="1">
        <f t="array" ref="M43">lin_int(M5,$AA$44:$AB$53)+lin_int(M5,$AE$44:$AF$48)</f>
        <v>2.7926575342465752E-2</v>
      </c>
      <c r="N43" s="67" cm="1">
        <f t="array" ref="N43">lin_int(N5,$AA$44:$AB$53)+lin_int(N5,$AE$44:$AF$48)</f>
        <v>2.7274794520547943E-2</v>
      </c>
      <c r="O43" s="67" cm="1">
        <f t="array" ref="O43">lin_int(O5,$AA$44:$AB$53)+lin_int(O5,$AE$44:$AF$48)</f>
        <v>2.7067671232876712E-2</v>
      </c>
      <c r="P43" s="67" cm="1">
        <f t="array" ref="P43">lin_int(P5,$AA$44:$AB$53)+lin_int(P5,$AE$44:$AF$48)</f>
        <v>2.6917260273972603E-2</v>
      </c>
      <c r="Q43" s="67" cm="1">
        <f t="array" ref="Q43">lin_int(Q5,$AA$44:$AB$53)+lin_int(Q5,$AE$44:$AF$48)</f>
        <v>2.7057045143638849E-2</v>
      </c>
      <c r="R43" s="67" cm="1">
        <f t="array" ref="R43">lin_int(R5,$AA$44:$AB$53)+lin_int(R5,$AE$44:$AF$48)</f>
        <v>2.7231326949384405E-2</v>
      </c>
      <c r="S43" s="67" cm="1">
        <f t="array" ref="S43">lin_int(S5,$AA$44:$AB$53)+lin_int(S5,$AE$44:$AF$48)</f>
        <v>2.740560875512996E-2</v>
      </c>
      <c r="T43" s="67" cm="1">
        <f t="array" ref="T43">lin_int(T5,$AA$44:$AB$53)+lin_int(T5,$AE$44:$AF$48)</f>
        <v>2.7579890560875512E-2</v>
      </c>
      <c r="U43" s="67" cm="1">
        <f t="array" ref="U43">lin_int(U5,$AA$44:$AB$53)+lin_int(U5,$AE$44:$AF$48)</f>
        <v>2.7705805038335158E-2</v>
      </c>
      <c r="V43" s="67" cm="1">
        <f t="array" ref="V43">lin_int(V5,$AA$44:$AB$53)+lin_int(V5,$AE$44:$AF$48)</f>
        <v>2.7826067907995616E-2</v>
      </c>
      <c r="X43" s="15" t="s">
        <v>10</v>
      </c>
      <c r="Y43" s="12"/>
      <c r="Z43" s="13" t="s">
        <v>11</v>
      </c>
      <c r="AA43" s="13" t="s">
        <v>389</v>
      </c>
      <c r="AB43" s="13" t="s">
        <v>12</v>
      </c>
      <c r="AD43" s="13" t="s">
        <v>11</v>
      </c>
      <c r="AE43" s="13" t="s">
        <v>389</v>
      </c>
      <c r="AF43" s="13" t="s">
        <v>12</v>
      </c>
      <c r="AH43" s="14" t="s">
        <v>389</v>
      </c>
      <c r="AI43" s="14" t="s">
        <v>2</v>
      </c>
      <c r="AJ43" s="2"/>
      <c r="AK43" s="14" t="s">
        <v>389</v>
      </c>
      <c r="AL43" s="14" t="s">
        <v>2</v>
      </c>
    </row>
    <row r="44" spans="2:38">
      <c r="F44" s="3" t="s">
        <v>297</v>
      </c>
      <c r="G44" s="3" t="s">
        <v>307</v>
      </c>
      <c r="H44" s="3" t="s">
        <v>308</v>
      </c>
      <c r="I44" s="158"/>
      <c r="K44" s="1">
        <f t="shared" ref="K44:V44" si="20">K43+K11</f>
        <v>3.3550518461538462E-2</v>
      </c>
      <c r="L44" s="1">
        <f t="shared" si="20"/>
        <v>3.025419739130435E-2</v>
      </c>
      <c r="M44" s="1">
        <f t="shared" si="20"/>
        <v>2.9315555342465754E-2</v>
      </c>
      <c r="N44" s="1">
        <f t="shared" si="20"/>
        <v>2.8663774520547945E-2</v>
      </c>
      <c r="O44" s="1">
        <f t="shared" si="20"/>
        <v>2.8456651232876714E-2</v>
      </c>
      <c r="P44" s="1">
        <f t="shared" si="20"/>
        <v>2.8306240273972605E-2</v>
      </c>
      <c r="Q44" s="1">
        <f t="shared" si="20"/>
        <v>2.8446025143638851E-2</v>
      </c>
      <c r="R44" s="1">
        <f t="shared" si="20"/>
        <v>2.8620306949384406E-2</v>
      </c>
      <c r="S44" s="1">
        <f t="shared" si="20"/>
        <v>2.8794588755129961E-2</v>
      </c>
      <c r="T44" s="1">
        <f t="shared" si="20"/>
        <v>2.8968870560875513E-2</v>
      </c>
      <c r="U44" s="1">
        <f t="shared" si="20"/>
        <v>2.9094785038335159E-2</v>
      </c>
      <c r="V44" s="1">
        <f t="shared" si="20"/>
        <v>2.9215047907995617E-2</v>
      </c>
      <c r="X44" s="18">
        <v>1</v>
      </c>
      <c r="Y44" s="2"/>
      <c r="Z44" s="29">
        <f t="shared" ref="Z44:AA53" si="21">Z9</f>
        <v>90</v>
      </c>
      <c r="AA44" s="29">
        <f t="shared" si="21"/>
        <v>90</v>
      </c>
      <c r="AB44" s="30">
        <f>AB9+IF(AND($K$42="GIRR",$L$42=Z44), 0.0001, 0)</f>
        <v>3.3800000000000004E-2</v>
      </c>
      <c r="AD44" s="29">
        <f t="shared" ref="AD44:AE48" si="22">AD9</f>
        <v>180</v>
      </c>
      <c r="AE44" s="29">
        <f t="shared" si="22"/>
        <v>181</v>
      </c>
      <c r="AF44" s="30">
        <f>AF9+IF(AND($K$42="CSR",$L$42=AD44), 0.0001, 0)</f>
        <v>0</v>
      </c>
      <c r="AH44" s="29">
        <f>AA44</f>
        <v>90</v>
      </c>
      <c r="AI44" s="30">
        <f t="shared" ref="AI44:AI53" si="23">AB9+IF($K$49="GIRR",$L$49,0)*$M$49</f>
        <v>3.3700000000000001E-2</v>
      </c>
      <c r="AK44" s="29">
        <f>AE44</f>
        <v>181</v>
      </c>
      <c r="AL44" s="30">
        <f>AF9+IF($K$49="CSR",$L$49,0)*$M$49</f>
        <v>-0.05</v>
      </c>
    </row>
    <row r="45" spans="2:38">
      <c r="F45" s="3" t="s">
        <v>304</v>
      </c>
      <c r="G45" s="3" t="s">
        <v>309</v>
      </c>
      <c r="H45" s="3" t="s">
        <v>398</v>
      </c>
      <c r="I45" s="158"/>
      <c r="J45" s="138" t="str">
        <f>J13</f>
        <v>CONT</v>
      </c>
      <c r="K45" s="1">
        <f>IF($J13="CONT",1/EXP(K44*K6), 1/(1+K44*K6))</f>
        <v>0.98530997112798391</v>
      </c>
      <c r="L45" s="1">
        <f t="shared" ref="L45:V45" si="24">IF($J13="CONT",1/EXP(L44*L6), 1/(1+L44*L6))</f>
        <v>0.97188912987833964</v>
      </c>
      <c r="M45" s="1">
        <f t="shared" si="24"/>
        <v>0.9586334230607263</v>
      </c>
      <c r="N45" s="1">
        <f t="shared" si="24"/>
        <v>0.94584326982866085</v>
      </c>
      <c r="O45" s="1">
        <f t="shared" si="24"/>
        <v>0.93289239748910491</v>
      </c>
      <c r="P45" s="1">
        <f t="shared" si="24"/>
        <v>0.92008415286722078</v>
      </c>
      <c r="Q45" s="1">
        <f t="shared" si="24"/>
        <v>0.90678380715387485</v>
      </c>
      <c r="R45" s="1">
        <f t="shared" si="24"/>
        <v>0.89315833802919731</v>
      </c>
      <c r="S45" s="1">
        <f t="shared" si="24"/>
        <v>0.87982055387475677</v>
      </c>
      <c r="T45" s="1">
        <f t="shared" si="24"/>
        <v>0.86653132661678778</v>
      </c>
      <c r="U45" s="1">
        <f t="shared" si="24"/>
        <v>0.85351921224802674</v>
      </c>
      <c r="V45" s="1">
        <f t="shared" si="24"/>
        <v>0.84055788153639954</v>
      </c>
      <c r="X45" s="18">
        <v>2</v>
      </c>
      <c r="Y45" s="2"/>
      <c r="Z45" s="29">
        <f t="shared" si="21"/>
        <v>180</v>
      </c>
      <c r="AA45" s="29">
        <f t="shared" si="21"/>
        <v>181</v>
      </c>
      <c r="AB45" s="30">
        <f t="shared" ref="AB45:AB53" si="25">AB10+IF(AND($K$42="GIRR",$L$42=Z45), 0.0001, 0)</f>
        <v>3.1699999999999999E-2</v>
      </c>
      <c r="AD45" s="29">
        <f t="shared" si="22"/>
        <v>360</v>
      </c>
      <c r="AE45" s="29">
        <f t="shared" si="22"/>
        <v>365</v>
      </c>
      <c r="AF45" s="30">
        <f>AF10+IF(AND($K$42="CSR",$L$42=AD45), 0.0001, 0)</f>
        <v>0</v>
      </c>
      <c r="AH45" s="29">
        <f t="shared" ref="AH45:AH53" si="26">AA45</f>
        <v>181</v>
      </c>
      <c r="AI45" s="30">
        <f t="shared" si="23"/>
        <v>3.1699999999999999E-2</v>
      </c>
      <c r="AK45" s="29">
        <f>AE45</f>
        <v>365</v>
      </c>
      <c r="AL45" s="30">
        <f>AF10+IF($K$49="CSR",$L$49,0)*$M$49</f>
        <v>-0.05</v>
      </c>
    </row>
    <row r="46" spans="2:38">
      <c r="F46" s="73" t="s">
        <v>2</v>
      </c>
      <c r="G46" s="73" t="s">
        <v>310</v>
      </c>
      <c r="H46" s="73" t="s">
        <v>311</v>
      </c>
      <c r="I46" s="161"/>
      <c r="J46" s="131">
        <f>SUM(K46:V46)</f>
        <v>54352366037.716377</v>
      </c>
      <c r="K46" s="76">
        <f t="shared" ref="K46:V46" si="27">K45*K9</f>
        <v>4421747212.8976374</v>
      </c>
      <c r="L46" s="76">
        <f t="shared" si="27"/>
        <v>4385483279.2044535</v>
      </c>
      <c r="M46" s="76">
        <f t="shared" si="27"/>
        <v>4302031635.5437527</v>
      </c>
      <c r="N46" s="76">
        <f t="shared" si="27"/>
        <v>4267955795.6378207</v>
      </c>
      <c r="O46" s="76">
        <f t="shared" si="27"/>
        <v>4186514375.581244</v>
      </c>
      <c r="P46" s="76">
        <f t="shared" si="27"/>
        <v>4151722191.1570215</v>
      </c>
      <c r="Q46" s="76">
        <f t="shared" si="27"/>
        <v>4125123057.1344309</v>
      </c>
      <c r="R46" s="76">
        <f t="shared" si="27"/>
        <v>4008200979.9776039</v>
      </c>
      <c r="S46" s="76">
        <f t="shared" si="27"/>
        <v>3948345389.717402</v>
      </c>
      <c r="T46" s="76">
        <f t="shared" si="27"/>
        <v>3888707706.8446536</v>
      </c>
      <c r="U46" s="76">
        <f t="shared" si="27"/>
        <v>3830313615.513063</v>
      </c>
      <c r="V46" s="76">
        <f t="shared" si="27"/>
        <v>8836220798.5073013</v>
      </c>
      <c r="X46" s="18">
        <v>3</v>
      </c>
      <c r="Y46" s="2"/>
      <c r="Z46" s="29">
        <f t="shared" si="21"/>
        <v>360</v>
      </c>
      <c r="AA46" s="29">
        <f t="shared" si="21"/>
        <v>365</v>
      </c>
      <c r="AB46" s="30">
        <f t="shared" si="25"/>
        <v>2.8500000000000001E-2</v>
      </c>
      <c r="AD46" s="29">
        <f t="shared" si="22"/>
        <v>1080</v>
      </c>
      <c r="AE46" s="29">
        <f t="shared" si="22"/>
        <v>1095</v>
      </c>
      <c r="AF46" s="30">
        <f>AF11+IF(AND($K$42="CSR",$L$42=AD46), 0.0001, 0)</f>
        <v>0</v>
      </c>
      <c r="AH46" s="29">
        <f t="shared" si="26"/>
        <v>365</v>
      </c>
      <c r="AI46" s="30">
        <f t="shared" si="23"/>
        <v>2.8500000000000001E-2</v>
      </c>
      <c r="AK46" s="29">
        <f>AE46</f>
        <v>1095</v>
      </c>
      <c r="AL46" s="30">
        <f>AF11+IF($K$49="CSR",$L$49,0)*$M$49</f>
        <v>-0.05</v>
      </c>
    </row>
    <row r="47" spans="2:38">
      <c r="I47" s="162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X47" s="18">
        <v>4</v>
      </c>
      <c r="Y47" s="2"/>
      <c r="Z47" s="29">
        <f t="shared" si="21"/>
        <v>720</v>
      </c>
      <c r="AA47" s="29">
        <f t="shared" si="21"/>
        <v>730</v>
      </c>
      <c r="AB47" s="30">
        <f t="shared" si="25"/>
        <v>2.7199999999999998E-2</v>
      </c>
      <c r="AD47" s="29">
        <f t="shared" si="22"/>
        <v>1800</v>
      </c>
      <c r="AE47" s="29">
        <f t="shared" si="22"/>
        <v>1826</v>
      </c>
      <c r="AF47" s="30">
        <f>AF12+IF(AND($K$42="CSR",$L$42=AD47), 0.0001, 0)</f>
        <v>5.0000000000000001E-4</v>
      </c>
      <c r="AH47" s="29">
        <f t="shared" si="26"/>
        <v>730</v>
      </c>
      <c r="AI47" s="30">
        <f t="shared" si="23"/>
        <v>2.7199999999999998E-2</v>
      </c>
      <c r="AK47" s="29">
        <f>AE47</f>
        <v>1826</v>
      </c>
      <c r="AL47" s="30">
        <f>AF12+IF($K$49="CSR",$L$49,0)*$M$49</f>
        <v>-4.9500000000000002E-2</v>
      </c>
    </row>
    <row r="48" spans="2:38">
      <c r="I48" s="158"/>
      <c r="K48" s="13" t="s">
        <v>409</v>
      </c>
      <c r="L48" s="13" t="s">
        <v>412</v>
      </c>
      <c r="M48" s="13" t="s">
        <v>413</v>
      </c>
      <c r="X48" s="18">
        <v>5</v>
      </c>
      <c r="Y48" s="2"/>
      <c r="Z48" s="29">
        <f t="shared" si="21"/>
        <v>1080</v>
      </c>
      <c r="AA48" s="29">
        <f t="shared" si="21"/>
        <v>1095</v>
      </c>
      <c r="AB48" s="30">
        <f t="shared" si="25"/>
        <v>2.69E-2</v>
      </c>
      <c r="AD48" s="29">
        <f t="shared" si="22"/>
        <v>3600</v>
      </c>
      <c r="AE48" s="29">
        <f t="shared" si="22"/>
        <v>3652</v>
      </c>
      <c r="AF48" s="30">
        <f>AF13+IF(AND($K$42="CSR",$L$42=AD48), 0.0001, 0)</f>
        <v>1E-3</v>
      </c>
      <c r="AH48" s="29">
        <f t="shared" si="26"/>
        <v>1095</v>
      </c>
      <c r="AI48" s="30">
        <f t="shared" si="23"/>
        <v>2.69E-2</v>
      </c>
      <c r="AK48" s="29">
        <f>AE48</f>
        <v>3652</v>
      </c>
      <c r="AL48" s="30">
        <f>AF13+IF($K$49="CSR",$L$49,0)*$M$49</f>
        <v>-4.9000000000000002E-2</v>
      </c>
    </row>
    <row r="49" spans="6:35">
      <c r="F49" s="148" t="s">
        <v>403</v>
      </c>
      <c r="G49" s="145">
        <f>H49/I49</f>
        <v>-4.5983469873122615</v>
      </c>
      <c r="H49" s="146">
        <f>I49-J49</f>
        <v>-8417699437.9875345</v>
      </c>
      <c r="I49" s="163">
        <f>IF(K49="GIRR", IF(M49=1, Result!N24, Result!N25), IF(M49=1, Result!K24,Result!K25))</f>
        <v>1830592484.9111242</v>
      </c>
      <c r="J49" s="149">
        <f>J53-J14</f>
        <v>10248291922.898659</v>
      </c>
      <c r="K49" s="133" t="s">
        <v>392</v>
      </c>
      <c r="L49" s="133">
        <f>IF(K49="GIRR", Result!F34, Result!F35)</f>
        <v>0.05</v>
      </c>
      <c r="M49" s="147">
        <v>-1</v>
      </c>
      <c r="N49" s="132" t="s">
        <v>406</v>
      </c>
      <c r="X49" s="18">
        <v>6</v>
      </c>
      <c r="Y49" s="2"/>
      <c r="Z49" s="29">
        <f t="shared" si="21"/>
        <v>1800</v>
      </c>
      <c r="AA49" s="29">
        <f t="shared" si="21"/>
        <v>1826</v>
      </c>
      <c r="AB49" s="30">
        <f t="shared" si="25"/>
        <v>2.7099999999999999E-2</v>
      </c>
      <c r="AD49" s="29"/>
      <c r="AE49" s="29"/>
      <c r="AF49" s="30"/>
      <c r="AH49" s="29">
        <f t="shared" si="26"/>
        <v>1826</v>
      </c>
      <c r="AI49" s="30">
        <f t="shared" si="23"/>
        <v>2.7099999999999999E-2</v>
      </c>
    </row>
    <row r="50" spans="6:35">
      <c r="F50" s="72" t="s">
        <v>297</v>
      </c>
      <c r="G50" s="72" t="s">
        <v>298</v>
      </c>
      <c r="H50" s="72" t="s">
        <v>299</v>
      </c>
      <c r="I50" s="160"/>
      <c r="J50" s="72"/>
      <c r="K50" s="1" cm="1">
        <f t="array" ref="K50">lin_int(K5,$AH$44:$AI$53)+lin_int(K5,$AK$44:$AL$48)</f>
        <v>-1.7860439560439562E-2</v>
      </c>
      <c r="L50" s="1" cm="1">
        <f t="array" ref="L50">lin_int(L5,$AH$44:$AI$53)+lin_int(L5,$AK$44:$AL$48)</f>
        <v>-2.1134782608695654E-2</v>
      </c>
      <c r="M50" s="1" cm="1">
        <f t="array" ref="M50">lin_int(M5,$AH$44:$AI$53)+lin_int(M5,$AK$44:$AL$48)</f>
        <v>-2.207342465753425E-2</v>
      </c>
      <c r="N50" s="67" cm="1">
        <f t="array" ref="N50">lin_int(N5,$AH$44:$AI$53)+lin_int(N5,$AK$44:$AL$48)</f>
        <v>-2.272520547945206E-2</v>
      </c>
      <c r="O50" s="67" cm="1">
        <f t="array" ref="O50">lin_int(O5,$AH$44:$AI$53)+lin_int(O5,$AK$44:$AL$48)</f>
        <v>-2.293232876712329E-2</v>
      </c>
      <c r="P50" s="67" cm="1">
        <f t="array" ref="P50">lin_int(P5,$AH$44:$AI$53)+lin_int(P5,$AK$44:$AL$48)</f>
        <v>-2.3082739726027399E-2</v>
      </c>
      <c r="Q50" s="67" cm="1">
        <f t="array" ref="Q50">lin_int(Q5,$AH$44:$AI$53)+lin_int(Q5,$AK$44:$AL$48)</f>
        <v>-2.2942954856361154E-2</v>
      </c>
      <c r="R50" s="67" cm="1">
        <f t="array" ref="R50">lin_int(R5,$AH$44:$AI$53)+lin_int(R5,$AK$44:$AL$48)</f>
        <v>-2.2768673050615598E-2</v>
      </c>
      <c r="S50" s="67" cm="1">
        <f t="array" ref="S50">lin_int(S5,$AH$44:$AI$53)+lin_int(S5,$AK$44:$AL$48)</f>
        <v>-2.2594391244870046E-2</v>
      </c>
      <c r="T50" s="67" cm="1">
        <f t="array" ref="T50">lin_int(T5,$AH$44:$AI$53)+lin_int(T5,$AK$44:$AL$48)</f>
        <v>-2.2420109439124494E-2</v>
      </c>
      <c r="U50" s="67" cm="1">
        <f t="array" ref="U50">lin_int(U5,$AH$44:$AI$53)+lin_int(U5,$AK$44:$AL$48)</f>
        <v>-2.2294194961664841E-2</v>
      </c>
      <c r="V50" s="67" cm="1">
        <f t="array" ref="V50">lin_int(V5,$AH$44:$AI$53)+lin_int(V5,$AK$44:$AL$48)</f>
        <v>-2.2173932092004384E-2</v>
      </c>
      <c r="X50" s="18">
        <v>7</v>
      </c>
      <c r="Y50" s="2"/>
      <c r="Z50" s="29">
        <f t="shared" si="21"/>
        <v>3600</v>
      </c>
      <c r="AA50" s="29">
        <f t="shared" si="21"/>
        <v>3652</v>
      </c>
      <c r="AB50" s="30">
        <f t="shared" si="25"/>
        <v>2.7799999999999998E-2</v>
      </c>
      <c r="AD50" s="29"/>
      <c r="AE50" s="29"/>
      <c r="AF50" s="30"/>
      <c r="AH50" s="29">
        <f t="shared" si="26"/>
        <v>3652</v>
      </c>
      <c r="AI50" s="30">
        <f t="shared" si="23"/>
        <v>2.7799999999999998E-2</v>
      </c>
    </row>
    <row r="51" spans="6:35">
      <c r="F51" s="3" t="s">
        <v>297</v>
      </c>
      <c r="G51" s="3" t="s">
        <v>307</v>
      </c>
      <c r="H51" s="3" t="s">
        <v>308</v>
      </c>
      <c r="I51" s="158"/>
      <c r="K51" s="1">
        <f t="shared" ref="K51:V51" si="28">K50+K11</f>
        <v>-1.647145956043956E-2</v>
      </c>
      <c r="L51" s="1">
        <f t="shared" si="28"/>
        <v>-1.9745802608695653E-2</v>
      </c>
      <c r="M51" s="1">
        <f t="shared" si="28"/>
        <v>-2.0684444657534249E-2</v>
      </c>
      <c r="N51" s="1">
        <f t="shared" si="28"/>
        <v>-2.1336225479452058E-2</v>
      </c>
      <c r="O51" s="1">
        <f t="shared" si="28"/>
        <v>-2.1543348767123289E-2</v>
      </c>
      <c r="P51" s="1">
        <f t="shared" si="28"/>
        <v>-2.1693759726027398E-2</v>
      </c>
      <c r="Q51" s="1">
        <f t="shared" si="28"/>
        <v>-2.1553974856361152E-2</v>
      </c>
      <c r="R51" s="1">
        <f t="shared" si="28"/>
        <v>-2.1379693050615597E-2</v>
      </c>
      <c r="S51" s="1">
        <f t="shared" si="28"/>
        <v>-2.1205411244870045E-2</v>
      </c>
      <c r="T51" s="1">
        <f t="shared" si="28"/>
        <v>-2.1031129439124493E-2</v>
      </c>
      <c r="U51" s="1">
        <f t="shared" si="28"/>
        <v>-2.090521496166484E-2</v>
      </c>
      <c r="V51" s="1">
        <f t="shared" si="28"/>
        <v>-2.0784952092004382E-2</v>
      </c>
      <c r="X51" s="18">
        <v>8</v>
      </c>
      <c r="Y51" s="2"/>
      <c r="Z51" s="29">
        <f t="shared" si="21"/>
        <v>5400</v>
      </c>
      <c r="AA51" s="29">
        <f t="shared" si="21"/>
        <v>5478</v>
      </c>
      <c r="AB51" s="30">
        <f t="shared" si="25"/>
        <v>2.7199999999999998E-2</v>
      </c>
      <c r="AD51" s="29"/>
      <c r="AE51" s="29"/>
      <c r="AF51" s="30"/>
      <c r="AH51" s="29">
        <f t="shared" si="26"/>
        <v>5478</v>
      </c>
      <c r="AI51" s="30">
        <f t="shared" si="23"/>
        <v>2.7199999999999998E-2</v>
      </c>
    </row>
    <row r="52" spans="6:35">
      <c r="F52" s="3" t="s">
        <v>304</v>
      </c>
      <c r="G52" s="3" t="s">
        <v>309</v>
      </c>
      <c r="H52" s="3" t="s">
        <v>398</v>
      </c>
      <c r="I52" s="158"/>
      <c r="J52" s="138" t="str">
        <f>J13</f>
        <v>CONT</v>
      </c>
      <c r="K52" s="1">
        <f t="shared" ref="K52:V52" si="29">IF($J13="CONT",1/EXP(K51*K6), 1/(1+K51*K6))</f>
        <v>1.0072919508536706</v>
      </c>
      <c r="L52" s="1">
        <f t="shared" si="29"/>
        <v>1.0187839831731746</v>
      </c>
      <c r="M52" s="1">
        <f t="shared" si="29"/>
        <v>1.0302569819811511</v>
      </c>
      <c r="N52" s="1">
        <f t="shared" si="29"/>
        <v>1.0423157154363767</v>
      </c>
      <c r="O52" s="1">
        <f t="shared" si="29"/>
        <v>1.0539967642480959</v>
      </c>
      <c r="P52" s="1">
        <f t="shared" si="29"/>
        <v>1.0659145308144122</v>
      </c>
      <c r="Q52" s="1">
        <f t="shared" si="29"/>
        <v>1.0769611422243268</v>
      </c>
      <c r="R52" s="1">
        <f t="shared" si="29"/>
        <v>1.0880704048430359</v>
      </c>
      <c r="S52" s="1">
        <f t="shared" si="29"/>
        <v>1.098879977452484</v>
      </c>
      <c r="T52" s="1">
        <f t="shared" si="29"/>
        <v>1.1096040683813115</v>
      </c>
      <c r="U52" s="1">
        <f t="shared" si="29"/>
        <v>1.1205330995196474</v>
      </c>
      <c r="V52" s="1">
        <f t="shared" si="29"/>
        <v>1.1315301265614899</v>
      </c>
      <c r="X52" s="18">
        <v>9</v>
      </c>
      <c r="Y52" s="2"/>
      <c r="Z52" s="29">
        <f t="shared" si="21"/>
        <v>7200</v>
      </c>
      <c r="AA52" s="29">
        <f t="shared" si="21"/>
        <v>7305</v>
      </c>
      <c r="AB52" s="30">
        <f t="shared" si="25"/>
        <v>2.5399999999999999E-2</v>
      </c>
      <c r="AD52" s="29"/>
      <c r="AE52" s="29"/>
      <c r="AF52" s="30"/>
      <c r="AH52" s="29">
        <f t="shared" si="26"/>
        <v>7305</v>
      </c>
      <c r="AI52" s="30">
        <f t="shared" si="23"/>
        <v>2.5399999999999999E-2</v>
      </c>
    </row>
    <row r="53" spans="6:35">
      <c r="F53" s="73" t="s">
        <v>2</v>
      </c>
      <c r="G53" s="73" t="s">
        <v>310</v>
      </c>
      <c r="H53" s="73" t="s">
        <v>311</v>
      </c>
      <c r="I53" s="161"/>
      <c r="J53" s="131">
        <f>SUM(K53:V53)</f>
        <v>64600700827.076096</v>
      </c>
      <c r="K53" s="76">
        <f t="shared" ref="K53:V53" si="30">K52*K9</f>
        <v>4520395110.9542809</v>
      </c>
      <c r="L53" s="76">
        <f t="shared" si="30"/>
        <v>4597088274.7567635</v>
      </c>
      <c r="M53" s="76">
        <f t="shared" si="30"/>
        <v>4623454620.5071936</v>
      </c>
      <c r="N53" s="76">
        <f t="shared" si="30"/>
        <v>4703271187.1882534</v>
      </c>
      <c r="O53" s="76">
        <f t="shared" si="30"/>
        <v>4729990958.461318</v>
      </c>
      <c r="P53" s="76">
        <f t="shared" si="30"/>
        <v>4809756800.6885948</v>
      </c>
      <c r="Q53" s="76">
        <f t="shared" si="30"/>
        <v>4899290442.0860767</v>
      </c>
      <c r="R53" s="76">
        <f t="shared" si="30"/>
        <v>4882902255.1586103</v>
      </c>
      <c r="S53" s="76">
        <f t="shared" si="30"/>
        <v>4931412063.1977234</v>
      </c>
      <c r="T53" s="76">
        <f t="shared" si="30"/>
        <v>4979538257.5577765</v>
      </c>
      <c r="U53" s="76">
        <f t="shared" si="30"/>
        <v>5028584156.2005005</v>
      </c>
      <c r="V53" s="76">
        <f t="shared" si="30"/>
        <v>11895016700.319004</v>
      </c>
      <c r="X53" s="21">
        <v>10</v>
      </c>
      <c r="Y53" s="2"/>
      <c r="Z53" s="29">
        <f t="shared" si="21"/>
        <v>10800</v>
      </c>
      <c r="AA53" s="29">
        <f t="shared" si="21"/>
        <v>10957</v>
      </c>
      <c r="AB53" s="30">
        <f t="shared" si="25"/>
        <v>2.2200000000000001E-2</v>
      </c>
      <c r="AD53" s="29"/>
      <c r="AE53" s="29"/>
      <c r="AF53" s="30"/>
      <c r="AH53" s="29">
        <f t="shared" si="26"/>
        <v>10957</v>
      </c>
      <c r="AI53" s="30">
        <f t="shared" si="23"/>
        <v>2.2200000000000001E-2</v>
      </c>
    </row>
  </sheetData>
  <phoneticPr fontId="1" type="noConversion"/>
  <conditionalFormatting sqref="AB3">
    <cfRule type="expression" dxfId="63" priority="4">
      <formula>$K3="GROUP"</formula>
    </cfRule>
  </conditionalFormatting>
  <conditionalFormatting sqref="AB4">
    <cfRule type="expression" dxfId="62" priority="3">
      <formula>$K4="GROUP"</formula>
    </cfRule>
  </conditionalFormatting>
  <conditionalFormatting sqref="AB5">
    <cfRule type="expression" dxfId="61" priority="2">
      <formula>$K5="GROUP"</formula>
    </cfRule>
  </conditionalFormatting>
  <conditionalFormatting sqref="AB6">
    <cfRule type="expression" dxfId="60" priority="1">
      <formula>$K6="GROUP"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346C7C-12FE-4CC0-8ED2-97BCEC01905B}">
  <sheetPr codeName="Sheet2"/>
  <dimension ref="B1:M121"/>
  <sheetViews>
    <sheetView workbookViewId="0"/>
  </sheetViews>
  <sheetFormatPr defaultRowHeight="13.5"/>
  <cols>
    <col min="1" max="1" width="6.6640625" style="106" customWidth="1"/>
    <col min="2" max="2" width="3.6640625" style="106" customWidth="1"/>
    <col min="3" max="7" width="8.6640625" style="106"/>
    <col min="8" max="8" width="18.33203125" style="106" bestFit="1" customWidth="1"/>
    <col min="9" max="256" width="8.6640625" style="106"/>
    <col min="257" max="257" width="6.6640625" style="106" customWidth="1"/>
    <col min="258" max="263" width="8.6640625" style="106"/>
    <col min="264" max="264" width="18.33203125" style="106" bestFit="1" customWidth="1"/>
    <col min="265" max="512" width="8.6640625" style="106"/>
    <col min="513" max="513" width="6.6640625" style="106" customWidth="1"/>
    <col min="514" max="519" width="8.6640625" style="106"/>
    <col min="520" max="520" width="18.33203125" style="106" bestFit="1" customWidth="1"/>
    <col min="521" max="768" width="8.6640625" style="106"/>
    <col min="769" max="769" width="6.6640625" style="106" customWidth="1"/>
    <col min="770" max="775" width="8.6640625" style="106"/>
    <col min="776" max="776" width="18.33203125" style="106" bestFit="1" customWidth="1"/>
    <col min="777" max="1024" width="8.6640625" style="106"/>
    <col min="1025" max="1025" width="6.6640625" style="106" customWidth="1"/>
    <col min="1026" max="1031" width="8.6640625" style="106"/>
    <col min="1032" max="1032" width="18.33203125" style="106" bestFit="1" customWidth="1"/>
    <col min="1033" max="1280" width="8.6640625" style="106"/>
    <col min="1281" max="1281" width="6.6640625" style="106" customWidth="1"/>
    <col min="1282" max="1287" width="8.6640625" style="106"/>
    <col min="1288" max="1288" width="18.33203125" style="106" bestFit="1" customWidth="1"/>
    <col min="1289" max="1536" width="8.6640625" style="106"/>
    <col min="1537" max="1537" width="6.6640625" style="106" customWidth="1"/>
    <col min="1538" max="1543" width="8.6640625" style="106"/>
    <col min="1544" max="1544" width="18.33203125" style="106" bestFit="1" customWidth="1"/>
    <col min="1545" max="1792" width="8.6640625" style="106"/>
    <col min="1793" max="1793" width="6.6640625" style="106" customWidth="1"/>
    <col min="1794" max="1799" width="8.6640625" style="106"/>
    <col min="1800" max="1800" width="18.33203125" style="106" bestFit="1" customWidth="1"/>
    <col min="1801" max="2048" width="8.6640625" style="106"/>
    <col min="2049" max="2049" width="6.6640625" style="106" customWidth="1"/>
    <col min="2050" max="2055" width="8.6640625" style="106"/>
    <col min="2056" max="2056" width="18.33203125" style="106" bestFit="1" customWidth="1"/>
    <col min="2057" max="2304" width="8.6640625" style="106"/>
    <col min="2305" max="2305" width="6.6640625" style="106" customWidth="1"/>
    <col min="2306" max="2311" width="8.6640625" style="106"/>
    <col min="2312" max="2312" width="18.33203125" style="106" bestFit="1" customWidth="1"/>
    <col min="2313" max="2560" width="8.6640625" style="106"/>
    <col min="2561" max="2561" width="6.6640625" style="106" customWidth="1"/>
    <col min="2562" max="2567" width="8.6640625" style="106"/>
    <col min="2568" max="2568" width="18.33203125" style="106" bestFit="1" customWidth="1"/>
    <col min="2569" max="2816" width="8.6640625" style="106"/>
    <col min="2817" max="2817" width="6.6640625" style="106" customWidth="1"/>
    <col min="2818" max="2823" width="8.6640625" style="106"/>
    <col min="2824" max="2824" width="18.33203125" style="106" bestFit="1" customWidth="1"/>
    <col min="2825" max="3072" width="8.6640625" style="106"/>
    <col min="3073" max="3073" width="6.6640625" style="106" customWidth="1"/>
    <col min="3074" max="3079" width="8.6640625" style="106"/>
    <col min="3080" max="3080" width="18.33203125" style="106" bestFit="1" customWidth="1"/>
    <col min="3081" max="3328" width="8.6640625" style="106"/>
    <col min="3329" max="3329" width="6.6640625" style="106" customWidth="1"/>
    <col min="3330" max="3335" width="8.6640625" style="106"/>
    <col min="3336" max="3336" width="18.33203125" style="106" bestFit="1" customWidth="1"/>
    <col min="3337" max="3584" width="8.6640625" style="106"/>
    <col min="3585" max="3585" width="6.6640625" style="106" customWidth="1"/>
    <col min="3586" max="3591" width="8.6640625" style="106"/>
    <col min="3592" max="3592" width="18.33203125" style="106" bestFit="1" customWidth="1"/>
    <col min="3593" max="3840" width="8.6640625" style="106"/>
    <col min="3841" max="3841" width="6.6640625" style="106" customWidth="1"/>
    <col min="3842" max="3847" width="8.6640625" style="106"/>
    <col min="3848" max="3848" width="18.33203125" style="106" bestFit="1" customWidth="1"/>
    <col min="3849" max="4096" width="8.6640625" style="106"/>
    <col min="4097" max="4097" width="6.6640625" style="106" customWidth="1"/>
    <col min="4098" max="4103" width="8.6640625" style="106"/>
    <col min="4104" max="4104" width="18.33203125" style="106" bestFit="1" customWidth="1"/>
    <col min="4105" max="4352" width="8.6640625" style="106"/>
    <col min="4353" max="4353" width="6.6640625" style="106" customWidth="1"/>
    <col min="4354" max="4359" width="8.6640625" style="106"/>
    <col min="4360" max="4360" width="18.33203125" style="106" bestFit="1" customWidth="1"/>
    <col min="4361" max="4608" width="8.6640625" style="106"/>
    <col min="4609" max="4609" width="6.6640625" style="106" customWidth="1"/>
    <col min="4610" max="4615" width="8.6640625" style="106"/>
    <col min="4616" max="4616" width="18.33203125" style="106" bestFit="1" customWidth="1"/>
    <col min="4617" max="4864" width="8.6640625" style="106"/>
    <col min="4865" max="4865" width="6.6640625" style="106" customWidth="1"/>
    <col min="4866" max="4871" width="8.6640625" style="106"/>
    <col min="4872" max="4872" width="18.33203125" style="106" bestFit="1" customWidth="1"/>
    <col min="4873" max="5120" width="8.6640625" style="106"/>
    <col min="5121" max="5121" width="6.6640625" style="106" customWidth="1"/>
    <col min="5122" max="5127" width="8.6640625" style="106"/>
    <col min="5128" max="5128" width="18.33203125" style="106" bestFit="1" customWidth="1"/>
    <col min="5129" max="5376" width="8.6640625" style="106"/>
    <col min="5377" max="5377" width="6.6640625" style="106" customWidth="1"/>
    <col min="5378" max="5383" width="8.6640625" style="106"/>
    <col min="5384" max="5384" width="18.33203125" style="106" bestFit="1" customWidth="1"/>
    <col min="5385" max="5632" width="8.6640625" style="106"/>
    <col min="5633" max="5633" width="6.6640625" style="106" customWidth="1"/>
    <col min="5634" max="5639" width="8.6640625" style="106"/>
    <col min="5640" max="5640" width="18.33203125" style="106" bestFit="1" customWidth="1"/>
    <col min="5641" max="5888" width="8.6640625" style="106"/>
    <col min="5889" max="5889" width="6.6640625" style="106" customWidth="1"/>
    <col min="5890" max="5895" width="8.6640625" style="106"/>
    <col min="5896" max="5896" width="18.33203125" style="106" bestFit="1" customWidth="1"/>
    <col min="5897" max="6144" width="8.6640625" style="106"/>
    <col min="6145" max="6145" width="6.6640625" style="106" customWidth="1"/>
    <col min="6146" max="6151" width="8.6640625" style="106"/>
    <col min="6152" max="6152" width="18.33203125" style="106" bestFit="1" customWidth="1"/>
    <col min="6153" max="6400" width="8.6640625" style="106"/>
    <col min="6401" max="6401" width="6.6640625" style="106" customWidth="1"/>
    <col min="6402" max="6407" width="8.6640625" style="106"/>
    <col min="6408" max="6408" width="18.33203125" style="106" bestFit="1" customWidth="1"/>
    <col min="6409" max="6656" width="8.6640625" style="106"/>
    <col min="6657" max="6657" width="6.6640625" style="106" customWidth="1"/>
    <col min="6658" max="6663" width="8.6640625" style="106"/>
    <col min="6664" max="6664" width="18.33203125" style="106" bestFit="1" customWidth="1"/>
    <col min="6665" max="6912" width="8.6640625" style="106"/>
    <col min="6913" max="6913" width="6.6640625" style="106" customWidth="1"/>
    <col min="6914" max="6919" width="8.6640625" style="106"/>
    <col min="6920" max="6920" width="18.33203125" style="106" bestFit="1" customWidth="1"/>
    <col min="6921" max="7168" width="8.6640625" style="106"/>
    <col min="7169" max="7169" width="6.6640625" style="106" customWidth="1"/>
    <col min="7170" max="7175" width="8.6640625" style="106"/>
    <col min="7176" max="7176" width="18.33203125" style="106" bestFit="1" customWidth="1"/>
    <col min="7177" max="7424" width="8.6640625" style="106"/>
    <col min="7425" max="7425" width="6.6640625" style="106" customWidth="1"/>
    <col min="7426" max="7431" width="8.6640625" style="106"/>
    <col min="7432" max="7432" width="18.33203125" style="106" bestFit="1" customWidth="1"/>
    <col min="7433" max="7680" width="8.6640625" style="106"/>
    <col min="7681" max="7681" width="6.6640625" style="106" customWidth="1"/>
    <col min="7682" max="7687" width="8.6640625" style="106"/>
    <col min="7688" max="7688" width="18.33203125" style="106" bestFit="1" customWidth="1"/>
    <col min="7689" max="7936" width="8.6640625" style="106"/>
    <col min="7937" max="7937" width="6.6640625" style="106" customWidth="1"/>
    <col min="7938" max="7943" width="8.6640625" style="106"/>
    <col min="7944" max="7944" width="18.33203125" style="106" bestFit="1" customWidth="1"/>
    <col min="7945" max="8192" width="8.6640625" style="106"/>
    <col min="8193" max="8193" width="6.6640625" style="106" customWidth="1"/>
    <col min="8194" max="8199" width="8.6640625" style="106"/>
    <col min="8200" max="8200" width="18.33203125" style="106" bestFit="1" customWidth="1"/>
    <col min="8201" max="8448" width="8.6640625" style="106"/>
    <col min="8449" max="8449" width="6.6640625" style="106" customWidth="1"/>
    <col min="8450" max="8455" width="8.6640625" style="106"/>
    <col min="8456" max="8456" width="18.33203125" style="106" bestFit="1" customWidth="1"/>
    <col min="8457" max="8704" width="8.6640625" style="106"/>
    <col min="8705" max="8705" width="6.6640625" style="106" customWidth="1"/>
    <col min="8706" max="8711" width="8.6640625" style="106"/>
    <col min="8712" max="8712" width="18.33203125" style="106" bestFit="1" customWidth="1"/>
    <col min="8713" max="8960" width="8.6640625" style="106"/>
    <col min="8961" max="8961" width="6.6640625" style="106" customWidth="1"/>
    <col min="8962" max="8967" width="8.6640625" style="106"/>
    <col min="8968" max="8968" width="18.33203125" style="106" bestFit="1" customWidth="1"/>
    <col min="8969" max="9216" width="8.6640625" style="106"/>
    <col min="9217" max="9217" width="6.6640625" style="106" customWidth="1"/>
    <col min="9218" max="9223" width="8.6640625" style="106"/>
    <col min="9224" max="9224" width="18.33203125" style="106" bestFit="1" customWidth="1"/>
    <col min="9225" max="9472" width="8.6640625" style="106"/>
    <col min="9473" max="9473" width="6.6640625" style="106" customWidth="1"/>
    <col min="9474" max="9479" width="8.6640625" style="106"/>
    <col min="9480" max="9480" width="18.33203125" style="106" bestFit="1" customWidth="1"/>
    <col min="9481" max="9728" width="8.6640625" style="106"/>
    <col min="9729" max="9729" width="6.6640625" style="106" customWidth="1"/>
    <col min="9730" max="9735" width="8.6640625" style="106"/>
    <col min="9736" max="9736" width="18.33203125" style="106" bestFit="1" customWidth="1"/>
    <col min="9737" max="9984" width="8.6640625" style="106"/>
    <col min="9985" max="9985" width="6.6640625" style="106" customWidth="1"/>
    <col min="9986" max="9991" width="8.6640625" style="106"/>
    <col min="9992" max="9992" width="18.33203125" style="106" bestFit="1" customWidth="1"/>
    <col min="9993" max="10240" width="8.6640625" style="106"/>
    <col min="10241" max="10241" width="6.6640625" style="106" customWidth="1"/>
    <col min="10242" max="10247" width="8.6640625" style="106"/>
    <col min="10248" max="10248" width="18.33203125" style="106" bestFit="1" customWidth="1"/>
    <col min="10249" max="10496" width="8.6640625" style="106"/>
    <col min="10497" max="10497" width="6.6640625" style="106" customWidth="1"/>
    <col min="10498" max="10503" width="8.6640625" style="106"/>
    <col min="10504" max="10504" width="18.33203125" style="106" bestFit="1" customWidth="1"/>
    <col min="10505" max="10752" width="8.6640625" style="106"/>
    <col min="10753" max="10753" width="6.6640625" style="106" customWidth="1"/>
    <col min="10754" max="10759" width="8.6640625" style="106"/>
    <col min="10760" max="10760" width="18.33203125" style="106" bestFit="1" customWidth="1"/>
    <col min="10761" max="11008" width="8.6640625" style="106"/>
    <col min="11009" max="11009" width="6.6640625" style="106" customWidth="1"/>
    <col min="11010" max="11015" width="8.6640625" style="106"/>
    <col min="11016" max="11016" width="18.33203125" style="106" bestFit="1" customWidth="1"/>
    <col min="11017" max="11264" width="8.6640625" style="106"/>
    <col min="11265" max="11265" width="6.6640625" style="106" customWidth="1"/>
    <col min="11266" max="11271" width="8.6640625" style="106"/>
    <col min="11272" max="11272" width="18.33203125" style="106" bestFit="1" customWidth="1"/>
    <col min="11273" max="11520" width="8.6640625" style="106"/>
    <col min="11521" max="11521" width="6.6640625" style="106" customWidth="1"/>
    <col min="11522" max="11527" width="8.6640625" style="106"/>
    <col min="11528" max="11528" width="18.33203125" style="106" bestFit="1" customWidth="1"/>
    <col min="11529" max="11776" width="8.6640625" style="106"/>
    <col min="11777" max="11777" width="6.6640625" style="106" customWidth="1"/>
    <col min="11778" max="11783" width="8.6640625" style="106"/>
    <col min="11784" max="11784" width="18.33203125" style="106" bestFit="1" customWidth="1"/>
    <col min="11785" max="12032" width="8.6640625" style="106"/>
    <col min="12033" max="12033" width="6.6640625" style="106" customWidth="1"/>
    <col min="12034" max="12039" width="8.6640625" style="106"/>
    <col min="12040" max="12040" width="18.33203125" style="106" bestFit="1" customWidth="1"/>
    <col min="12041" max="12288" width="8.6640625" style="106"/>
    <col min="12289" max="12289" width="6.6640625" style="106" customWidth="1"/>
    <col min="12290" max="12295" width="8.6640625" style="106"/>
    <col min="12296" max="12296" width="18.33203125" style="106" bestFit="1" customWidth="1"/>
    <col min="12297" max="12544" width="8.6640625" style="106"/>
    <col min="12545" max="12545" width="6.6640625" style="106" customWidth="1"/>
    <col min="12546" max="12551" width="8.6640625" style="106"/>
    <col min="12552" max="12552" width="18.33203125" style="106" bestFit="1" customWidth="1"/>
    <col min="12553" max="12800" width="8.6640625" style="106"/>
    <col min="12801" max="12801" width="6.6640625" style="106" customWidth="1"/>
    <col min="12802" max="12807" width="8.6640625" style="106"/>
    <col min="12808" max="12808" width="18.33203125" style="106" bestFit="1" customWidth="1"/>
    <col min="12809" max="13056" width="8.6640625" style="106"/>
    <col min="13057" max="13057" width="6.6640625" style="106" customWidth="1"/>
    <col min="13058" max="13063" width="8.6640625" style="106"/>
    <col min="13064" max="13064" width="18.33203125" style="106" bestFit="1" customWidth="1"/>
    <col min="13065" max="13312" width="8.6640625" style="106"/>
    <col min="13313" max="13313" width="6.6640625" style="106" customWidth="1"/>
    <col min="13314" max="13319" width="8.6640625" style="106"/>
    <col min="13320" max="13320" width="18.33203125" style="106" bestFit="1" customWidth="1"/>
    <col min="13321" max="13568" width="8.6640625" style="106"/>
    <col min="13569" max="13569" width="6.6640625" style="106" customWidth="1"/>
    <col min="13570" max="13575" width="8.6640625" style="106"/>
    <col min="13576" max="13576" width="18.33203125" style="106" bestFit="1" customWidth="1"/>
    <col min="13577" max="13824" width="8.6640625" style="106"/>
    <col min="13825" max="13825" width="6.6640625" style="106" customWidth="1"/>
    <col min="13826" max="13831" width="8.6640625" style="106"/>
    <col min="13832" max="13832" width="18.33203125" style="106" bestFit="1" customWidth="1"/>
    <col min="13833" max="14080" width="8.6640625" style="106"/>
    <col min="14081" max="14081" width="6.6640625" style="106" customWidth="1"/>
    <col min="14082" max="14087" width="8.6640625" style="106"/>
    <col min="14088" max="14088" width="18.33203125" style="106" bestFit="1" customWidth="1"/>
    <col min="14089" max="14336" width="8.6640625" style="106"/>
    <col min="14337" max="14337" width="6.6640625" style="106" customWidth="1"/>
    <col min="14338" max="14343" width="8.6640625" style="106"/>
    <col min="14344" max="14344" width="18.33203125" style="106" bestFit="1" customWidth="1"/>
    <col min="14345" max="14592" width="8.6640625" style="106"/>
    <col min="14593" max="14593" width="6.6640625" style="106" customWidth="1"/>
    <col min="14594" max="14599" width="8.6640625" style="106"/>
    <col min="14600" max="14600" width="18.33203125" style="106" bestFit="1" customWidth="1"/>
    <col min="14601" max="14848" width="8.6640625" style="106"/>
    <col min="14849" max="14849" width="6.6640625" style="106" customWidth="1"/>
    <col min="14850" max="14855" width="8.6640625" style="106"/>
    <col min="14856" max="14856" width="18.33203125" style="106" bestFit="1" customWidth="1"/>
    <col min="14857" max="15104" width="8.6640625" style="106"/>
    <col min="15105" max="15105" width="6.6640625" style="106" customWidth="1"/>
    <col min="15106" max="15111" width="8.6640625" style="106"/>
    <col min="15112" max="15112" width="18.33203125" style="106" bestFit="1" customWidth="1"/>
    <col min="15113" max="15360" width="8.6640625" style="106"/>
    <col min="15361" max="15361" width="6.6640625" style="106" customWidth="1"/>
    <col min="15362" max="15367" width="8.6640625" style="106"/>
    <col min="15368" max="15368" width="18.33203125" style="106" bestFit="1" customWidth="1"/>
    <col min="15369" max="15616" width="8.6640625" style="106"/>
    <col min="15617" max="15617" width="6.6640625" style="106" customWidth="1"/>
    <col min="15618" max="15623" width="8.6640625" style="106"/>
    <col min="15624" max="15624" width="18.33203125" style="106" bestFit="1" customWidth="1"/>
    <col min="15625" max="15872" width="8.6640625" style="106"/>
    <col min="15873" max="15873" width="6.6640625" style="106" customWidth="1"/>
    <col min="15874" max="15879" width="8.6640625" style="106"/>
    <col min="15880" max="15880" width="18.33203125" style="106" bestFit="1" customWidth="1"/>
    <col min="15881" max="16128" width="8.6640625" style="106"/>
    <col min="16129" max="16129" width="6.6640625" style="106" customWidth="1"/>
    <col min="16130" max="16135" width="8.6640625" style="106"/>
    <col min="16136" max="16136" width="18.33203125" style="106" bestFit="1" customWidth="1"/>
    <col min="16137" max="16384" width="8.6640625" style="106"/>
  </cols>
  <sheetData>
    <row r="1" spans="2:13">
      <c r="B1" s="105"/>
      <c r="C1" s="105"/>
      <c r="D1" s="105"/>
      <c r="E1" s="105"/>
      <c r="F1" s="105"/>
      <c r="G1" s="105"/>
      <c r="H1" s="105"/>
      <c r="I1" s="105"/>
      <c r="J1" s="105"/>
    </row>
    <row r="2" spans="2:13" ht="21">
      <c r="B2" s="174" t="s">
        <v>387</v>
      </c>
      <c r="C2" s="105"/>
      <c r="D2" s="105"/>
      <c r="E2" s="105"/>
      <c r="F2" s="105"/>
      <c r="G2" s="105"/>
      <c r="H2" s="105"/>
      <c r="I2" s="105"/>
      <c r="J2" s="105"/>
    </row>
    <row r="3" spans="2:13" ht="21">
      <c r="B3" s="107"/>
      <c r="C3" s="105"/>
      <c r="D3" s="105"/>
      <c r="E3" s="105"/>
      <c r="F3" s="105"/>
      <c r="G3" s="105"/>
      <c r="H3" s="105"/>
      <c r="I3" s="105"/>
      <c r="J3" s="105"/>
    </row>
    <row r="4" spans="2:13" s="109" customFormat="1" ht="19.5">
      <c r="B4" s="108" t="s">
        <v>448</v>
      </c>
    </row>
    <row r="5" spans="2:13" ht="81.95" customHeight="1">
      <c r="B5" s="105"/>
      <c r="C5" s="235" t="s">
        <v>449</v>
      </c>
      <c r="D5" s="235"/>
      <c r="E5" s="235"/>
      <c r="F5" s="235"/>
      <c r="G5" s="235"/>
      <c r="H5" s="235"/>
      <c r="I5" s="235"/>
      <c r="J5" s="235"/>
      <c r="K5" s="235"/>
      <c r="L5" s="235"/>
      <c r="M5" s="176"/>
    </row>
    <row r="6" spans="2:13" ht="15.75">
      <c r="B6" s="110"/>
      <c r="C6" s="177" t="s">
        <v>450</v>
      </c>
      <c r="D6" s="177" t="s">
        <v>451</v>
      </c>
      <c r="E6" s="110"/>
      <c r="F6" s="110"/>
      <c r="G6" s="110"/>
      <c r="H6" s="105"/>
      <c r="I6" s="105"/>
      <c r="J6" s="105"/>
    </row>
    <row r="7" spans="2:13" ht="15.75">
      <c r="B7" s="110"/>
      <c r="C7" s="175"/>
      <c r="D7" s="177" t="s">
        <v>452</v>
      </c>
      <c r="E7" s="110"/>
      <c r="F7" s="110"/>
      <c r="G7" s="110"/>
      <c r="H7" s="105"/>
      <c r="I7" s="105"/>
      <c r="J7" s="105"/>
    </row>
    <row r="8" spans="2:13" ht="15.75">
      <c r="B8" s="110"/>
      <c r="C8" s="175"/>
      <c r="D8" s="177" t="s">
        <v>453</v>
      </c>
      <c r="E8" s="110"/>
      <c r="F8" s="110"/>
      <c r="G8" s="110"/>
      <c r="H8" s="105"/>
      <c r="I8" s="105"/>
      <c r="J8" s="105"/>
    </row>
    <row r="9" spans="2:13">
      <c r="B9" s="105"/>
      <c r="C9" s="105"/>
      <c r="D9" s="105"/>
      <c r="E9" s="105"/>
      <c r="F9" s="105"/>
      <c r="G9" s="105"/>
      <c r="H9" s="105"/>
      <c r="I9" s="105"/>
      <c r="J9" s="105"/>
    </row>
    <row r="10" spans="2:13" s="109" customFormat="1" ht="19.5">
      <c r="B10" s="108" t="s">
        <v>361</v>
      </c>
    </row>
    <row r="11" spans="2:13" s="109" customFormat="1" ht="19.5">
      <c r="B11" s="108"/>
    </row>
    <row r="12" spans="2:13" ht="15.75">
      <c r="B12" s="110" t="s">
        <v>362</v>
      </c>
      <c r="C12" s="110"/>
      <c r="D12" s="110"/>
      <c r="E12" s="110"/>
      <c r="F12" s="110"/>
      <c r="G12" s="110"/>
      <c r="H12" s="110"/>
      <c r="I12" s="110"/>
      <c r="J12" s="105"/>
    </row>
    <row r="13" spans="2:13" ht="15.75">
      <c r="B13" s="110" t="s">
        <v>363</v>
      </c>
      <c r="C13" s="110"/>
      <c r="D13" s="110"/>
      <c r="E13" s="110"/>
      <c r="F13" s="110"/>
      <c r="G13" s="110"/>
      <c r="H13" s="110"/>
      <c r="I13" s="110"/>
      <c r="J13" s="105"/>
    </row>
    <row r="14" spans="2:13" ht="15.75">
      <c r="B14" s="110" t="s">
        <v>364</v>
      </c>
      <c r="C14" s="110"/>
      <c r="D14" s="110"/>
      <c r="E14" s="110"/>
      <c r="F14" s="110"/>
      <c r="G14" s="110"/>
      <c r="H14" s="110"/>
      <c r="I14" s="110"/>
      <c r="J14" s="105"/>
    </row>
    <row r="15" spans="2:13" ht="15.75">
      <c r="B15" s="110" t="s">
        <v>365</v>
      </c>
      <c r="C15" s="110"/>
      <c r="D15" s="110"/>
      <c r="E15" s="110"/>
      <c r="F15" s="110"/>
      <c r="G15" s="110"/>
      <c r="H15" s="110"/>
      <c r="I15" s="110"/>
      <c r="J15" s="105"/>
    </row>
    <row r="16" spans="2:13" ht="15.75">
      <c r="B16" s="110" t="s">
        <v>366</v>
      </c>
      <c r="C16" s="110"/>
      <c r="D16" s="110"/>
      <c r="E16" s="110"/>
      <c r="F16" s="110"/>
      <c r="G16" s="110"/>
      <c r="H16" s="110"/>
      <c r="I16" s="110"/>
      <c r="J16" s="105"/>
    </row>
    <row r="17" spans="2:10" ht="15.75">
      <c r="B17" s="110" t="s">
        <v>367</v>
      </c>
      <c r="C17" s="110"/>
      <c r="D17" s="110"/>
      <c r="E17" s="110"/>
      <c r="F17" s="110"/>
      <c r="G17" s="110"/>
      <c r="H17" s="110"/>
      <c r="I17" s="110"/>
      <c r="J17" s="105"/>
    </row>
    <row r="18" spans="2:10" ht="15.75">
      <c r="B18" s="110" t="s">
        <v>368</v>
      </c>
      <c r="C18" s="110"/>
      <c r="D18" s="110"/>
      <c r="E18" s="110"/>
      <c r="F18" s="110"/>
      <c r="G18" s="110"/>
      <c r="H18" s="110"/>
      <c r="I18" s="110"/>
      <c r="J18" s="105"/>
    </row>
    <row r="19" spans="2:10">
      <c r="B19" s="105"/>
      <c r="C19" s="105"/>
      <c r="D19" s="105"/>
      <c r="E19" s="105"/>
      <c r="F19" s="105"/>
      <c r="G19" s="105"/>
      <c r="H19" s="105"/>
      <c r="I19" s="105"/>
      <c r="J19" s="105"/>
    </row>
    <row r="20" spans="2:10">
      <c r="B20" s="105"/>
      <c r="C20" s="105"/>
      <c r="D20" s="105"/>
      <c r="E20" s="105"/>
      <c r="F20" s="105"/>
      <c r="G20" s="105"/>
      <c r="H20" s="105"/>
      <c r="I20" s="105"/>
      <c r="J20" s="105"/>
    </row>
    <row r="21" spans="2:10">
      <c r="B21" s="105"/>
      <c r="C21" s="105"/>
      <c r="D21" s="105"/>
      <c r="E21" s="105"/>
      <c r="F21" s="105"/>
      <c r="G21" s="105"/>
      <c r="H21" s="105"/>
      <c r="I21" s="105"/>
      <c r="J21" s="105"/>
    </row>
    <row r="22" spans="2:10">
      <c r="B22" s="105"/>
      <c r="C22" s="105"/>
      <c r="D22" s="105"/>
      <c r="E22" s="105"/>
      <c r="F22" s="105"/>
      <c r="G22" s="105"/>
      <c r="H22" s="105"/>
      <c r="I22" s="105"/>
      <c r="J22" s="105"/>
    </row>
    <row r="23" spans="2:10">
      <c r="B23" s="105"/>
      <c r="C23" s="105"/>
      <c r="D23" s="105"/>
      <c r="E23" s="105"/>
      <c r="F23" s="105"/>
      <c r="G23" s="105"/>
      <c r="H23" s="105"/>
      <c r="I23" s="105"/>
      <c r="J23" s="105"/>
    </row>
    <row r="24" spans="2:10">
      <c r="B24" s="105"/>
      <c r="C24" s="105"/>
      <c r="D24" s="105"/>
      <c r="E24" s="105"/>
      <c r="F24" s="105"/>
      <c r="G24" s="105"/>
      <c r="H24" s="105"/>
      <c r="I24" s="105"/>
      <c r="J24" s="105"/>
    </row>
    <row r="25" spans="2:10">
      <c r="B25" s="105"/>
      <c r="C25" s="105"/>
      <c r="D25" s="105"/>
      <c r="E25" s="105"/>
      <c r="F25" s="105"/>
      <c r="G25" s="105"/>
      <c r="H25" s="105"/>
      <c r="I25" s="105"/>
      <c r="J25" s="105"/>
    </row>
    <row r="26" spans="2:10">
      <c r="B26" s="105"/>
      <c r="C26" s="105"/>
      <c r="D26" s="105"/>
      <c r="E26" s="105"/>
      <c r="F26" s="105"/>
      <c r="G26" s="105"/>
      <c r="H26" s="105"/>
      <c r="I26" s="105"/>
      <c r="J26" s="105"/>
    </row>
    <row r="27" spans="2:10">
      <c r="B27" s="105"/>
      <c r="C27" s="105"/>
      <c r="D27" s="105"/>
      <c r="E27" s="105"/>
      <c r="F27" s="105"/>
      <c r="G27" s="105"/>
      <c r="H27" s="105"/>
      <c r="I27" s="105"/>
      <c r="J27" s="105"/>
    </row>
    <row r="28" spans="2:10">
      <c r="B28" s="105"/>
      <c r="C28" s="105"/>
      <c r="D28" s="105"/>
      <c r="E28" s="105"/>
      <c r="F28" s="105"/>
      <c r="G28" s="105"/>
      <c r="H28" s="105"/>
      <c r="I28" s="105"/>
      <c r="J28" s="105"/>
    </row>
    <row r="29" spans="2:10">
      <c r="B29" s="105"/>
      <c r="C29" s="105"/>
      <c r="D29" s="105"/>
      <c r="E29" s="105"/>
      <c r="F29" s="105"/>
      <c r="G29" s="105"/>
      <c r="H29" s="105"/>
      <c r="I29" s="105"/>
      <c r="J29" s="105"/>
    </row>
    <row r="30" spans="2:10">
      <c r="B30" s="105"/>
      <c r="C30" s="105"/>
      <c r="D30" s="105"/>
      <c r="E30" s="105"/>
      <c r="F30" s="105"/>
      <c r="G30" s="105"/>
      <c r="H30" s="105"/>
      <c r="I30" s="105"/>
      <c r="J30" s="105"/>
    </row>
    <row r="31" spans="2:10">
      <c r="B31" s="105"/>
      <c r="C31" s="105"/>
      <c r="D31" s="105"/>
      <c r="E31" s="105"/>
      <c r="F31" s="105"/>
      <c r="G31" s="105"/>
      <c r="H31" s="105"/>
      <c r="I31" s="105"/>
      <c r="J31" s="105"/>
    </row>
    <row r="32" spans="2:10">
      <c r="B32" s="105"/>
      <c r="C32" s="105"/>
      <c r="D32" s="105"/>
      <c r="E32" s="105"/>
      <c r="F32" s="105"/>
      <c r="G32" s="105"/>
      <c r="H32" s="105"/>
      <c r="I32" s="105"/>
      <c r="J32" s="105"/>
    </row>
    <row r="33" spans="2:10">
      <c r="B33" s="105"/>
      <c r="C33" s="105"/>
      <c r="D33" s="105"/>
      <c r="E33" s="105"/>
      <c r="F33" s="105"/>
      <c r="G33" s="105"/>
      <c r="H33" s="105"/>
      <c r="I33" s="105"/>
      <c r="J33" s="105"/>
    </row>
    <row r="34" spans="2:10">
      <c r="B34" s="105"/>
      <c r="C34" s="105"/>
      <c r="D34" s="105"/>
      <c r="E34" s="105"/>
      <c r="F34" s="105"/>
      <c r="G34" s="105"/>
      <c r="H34" s="105"/>
      <c r="I34" s="105"/>
      <c r="J34" s="105"/>
    </row>
    <row r="35" spans="2:10">
      <c r="B35" s="105"/>
      <c r="C35" s="105"/>
      <c r="D35" s="105"/>
      <c r="E35" s="105"/>
      <c r="F35" s="105"/>
      <c r="G35" s="105"/>
      <c r="H35" s="105"/>
      <c r="I35" s="105"/>
      <c r="J35" s="105"/>
    </row>
    <row r="36" spans="2:10">
      <c r="B36" s="105"/>
      <c r="C36" s="105"/>
      <c r="D36" s="105"/>
      <c r="E36" s="105"/>
      <c r="F36" s="105"/>
      <c r="G36" s="105"/>
      <c r="H36" s="105"/>
      <c r="I36" s="105"/>
      <c r="J36" s="105"/>
    </row>
    <row r="37" spans="2:10">
      <c r="B37" s="105"/>
      <c r="C37" s="105"/>
      <c r="D37" s="105"/>
      <c r="E37" s="105"/>
      <c r="F37" s="105"/>
      <c r="G37" s="105"/>
      <c r="H37" s="105"/>
      <c r="I37" s="105"/>
      <c r="J37" s="105"/>
    </row>
    <row r="38" spans="2:10">
      <c r="B38" s="105"/>
      <c r="C38" s="105"/>
      <c r="D38" s="105"/>
      <c r="E38" s="105"/>
      <c r="F38" s="105"/>
      <c r="G38" s="105"/>
      <c r="H38" s="105"/>
      <c r="I38" s="105"/>
      <c r="J38" s="105"/>
    </row>
    <row r="39" spans="2:10">
      <c r="B39" s="105"/>
      <c r="C39" s="105"/>
      <c r="D39" s="105"/>
      <c r="E39" s="105"/>
      <c r="F39" s="105"/>
      <c r="G39" s="105"/>
      <c r="H39" s="105"/>
      <c r="I39" s="105"/>
      <c r="J39" s="105"/>
    </row>
    <row r="40" spans="2:10">
      <c r="B40" s="105"/>
      <c r="C40" s="105"/>
      <c r="D40" s="105"/>
      <c r="E40" s="105"/>
      <c r="F40" s="105"/>
      <c r="G40" s="105"/>
      <c r="H40" s="105"/>
      <c r="I40" s="105"/>
      <c r="J40" s="105"/>
    </row>
    <row r="41" spans="2:10">
      <c r="B41" s="105"/>
      <c r="C41" s="105"/>
      <c r="D41" s="105"/>
      <c r="E41" s="105"/>
      <c r="F41" s="105"/>
      <c r="G41" s="105"/>
      <c r="H41" s="105"/>
      <c r="I41" s="105"/>
      <c r="J41" s="105"/>
    </row>
    <row r="42" spans="2:10">
      <c r="B42" s="105"/>
      <c r="C42" s="105"/>
      <c r="D42" s="105"/>
      <c r="E42" s="105"/>
      <c r="F42" s="105"/>
      <c r="G42" s="105"/>
      <c r="H42" s="105"/>
      <c r="I42" s="105"/>
      <c r="J42" s="105"/>
    </row>
    <row r="43" spans="2:10" ht="15.75">
      <c r="B43" s="110" t="s">
        <v>369</v>
      </c>
      <c r="C43" s="105"/>
      <c r="D43" s="105"/>
      <c r="E43" s="105"/>
      <c r="F43" s="105"/>
      <c r="G43" s="105"/>
      <c r="H43" s="105"/>
      <c r="I43" s="105"/>
      <c r="J43" s="105"/>
    </row>
    <row r="44" spans="2:10">
      <c r="B44" s="105"/>
      <c r="C44" s="52" t="s">
        <v>370</v>
      </c>
      <c r="D44" s="111">
        <v>36381</v>
      </c>
      <c r="E44" s="52" t="s">
        <v>371</v>
      </c>
      <c r="F44" s="112">
        <v>0.08</v>
      </c>
      <c r="G44" s="113"/>
      <c r="H44" s="114"/>
      <c r="I44" s="105"/>
      <c r="J44" s="105"/>
    </row>
    <row r="45" spans="2:10">
      <c r="B45" s="105"/>
      <c r="C45" s="52" t="s">
        <v>372</v>
      </c>
      <c r="D45" s="111">
        <v>37477</v>
      </c>
      <c r="E45" s="115" t="s">
        <v>373</v>
      </c>
      <c r="F45" s="52" t="s">
        <v>374</v>
      </c>
      <c r="G45" s="113"/>
      <c r="H45" s="114"/>
      <c r="I45" s="105"/>
      <c r="J45" s="105"/>
    </row>
    <row r="46" spans="2:10">
      <c r="B46" s="105"/>
      <c r="C46" s="116"/>
      <c r="D46" s="117"/>
      <c r="E46" s="118"/>
      <c r="F46" s="116"/>
      <c r="G46" s="113"/>
      <c r="H46" s="114"/>
      <c r="I46" s="105"/>
      <c r="J46" s="105"/>
    </row>
    <row r="47" spans="2:10" ht="15.75">
      <c r="B47" s="110" t="s">
        <v>375</v>
      </c>
      <c r="C47" s="105"/>
      <c r="D47" s="105"/>
      <c r="E47" s="105"/>
      <c r="F47" s="105"/>
      <c r="G47" s="105"/>
      <c r="H47" s="105"/>
      <c r="I47" s="105"/>
      <c r="J47" s="105"/>
    </row>
    <row r="48" spans="2:10">
      <c r="B48" s="105"/>
      <c r="C48" s="52" t="s">
        <v>376</v>
      </c>
      <c r="D48" s="111">
        <v>36803</v>
      </c>
      <c r="E48" s="52" t="s">
        <v>377</v>
      </c>
      <c r="F48" s="112">
        <v>0.10299999999999999</v>
      </c>
      <c r="G48" s="52" t="s">
        <v>378</v>
      </c>
      <c r="H48" s="119">
        <v>20000000000</v>
      </c>
      <c r="I48" s="105"/>
      <c r="J48" s="105"/>
    </row>
    <row r="49" spans="2:10">
      <c r="B49" s="105"/>
      <c r="C49" s="52" t="s">
        <v>379</v>
      </c>
      <c r="D49" s="120">
        <v>36</v>
      </c>
      <c r="E49" s="52" t="s">
        <v>380</v>
      </c>
      <c r="F49" s="120">
        <v>92</v>
      </c>
      <c r="G49" s="121" t="s">
        <v>381</v>
      </c>
      <c r="H49" s="122">
        <f>+H48*0.9737</f>
        <v>19474000000</v>
      </c>
      <c r="I49" s="105"/>
      <c r="J49" s="105"/>
    </row>
    <row r="50" spans="2:10">
      <c r="B50" s="105"/>
      <c r="C50" s="116"/>
      <c r="D50" s="123"/>
      <c r="E50" s="116"/>
      <c r="F50" s="123"/>
      <c r="G50" s="123"/>
      <c r="H50" s="123"/>
      <c r="I50" s="123"/>
      <c r="J50" s="105"/>
    </row>
    <row r="51" spans="2:10" ht="15.75">
      <c r="B51" s="110" t="s">
        <v>382</v>
      </c>
      <c r="C51" s="116"/>
      <c r="D51" s="123"/>
      <c r="E51" s="116"/>
      <c r="F51" s="124"/>
      <c r="G51" s="233"/>
      <c r="H51" s="234"/>
      <c r="I51" s="105"/>
      <c r="J51" s="105"/>
    </row>
    <row r="52" spans="2:10">
      <c r="B52" s="105"/>
      <c r="C52" s="116"/>
      <c r="D52" s="123"/>
      <c r="E52" s="116"/>
      <c r="F52" s="124"/>
      <c r="G52" s="125"/>
      <c r="H52" s="116"/>
      <c r="I52" s="105"/>
      <c r="J52" s="105"/>
    </row>
    <row r="53" spans="2:10">
      <c r="B53" s="105"/>
      <c r="C53" s="116"/>
      <c r="D53" s="123"/>
      <c r="E53" s="116"/>
      <c r="F53" s="124"/>
      <c r="G53" s="125"/>
      <c r="H53" s="116"/>
      <c r="I53" s="105"/>
      <c r="J53" s="105"/>
    </row>
    <row r="54" spans="2:10">
      <c r="B54" s="105"/>
      <c r="C54" s="116"/>
      <c r="D54" s="123"/>
      <c r="E54" s="116"/>
      <c r="F54" s="124"/>
      <c r="G54" s="125"/>
      <c r="H54" s="116"/>
      <c r="I54" s="105"/>
      <c r="J54" s="105"/>
    </row>
    <row r="55" spans="2:10">
      <c r="B55" s="105"/>
      <c r="C55" s="116"/>
      <c r="D55" s="123"/>
      <c r="E55" s="116"/>
      <c r="F55" s="124"/>
      <c r="G55" s="125"/>
      <c r="H55" s="116"/>
      <c r="I55" s="105"/>
      <c r="J55" s="105"/>
    </row>
    <row r="56" spans="2:10">
      <c r="B56" s="105"/>
      <c r="C56" s="116"/>
      <c r="D56" s="123"/>
      <c r="E56" s="116"/>
      <c r="F56" s="124"/>
      <c r="G56" s="125"/>
      <c r="H56" s="116"/>
      <c r="I56" s="105"/>
      <c r="J56" s="105"/>
    </row>
    <row r="57" spans="2:10">
      <c r="B57" s="105" t="s">
        <v>383</v>
      </c>
      <c r="C57" s="105"/>
      <c r="D57" s="105"/>
      <c r="E57" s="105"/>
      <c r="F57" s="105"/>
      <c r="G57" s="105"/>
      <c r="H57" s="105"/>
      <c r="I57" s="105"/>
      <c r="J57" s="105"/>
    </row>
    <row r="58" spans="2:10">
      <c r="B58" s="105" t="s">
        <v>384</v>
      </c>
      <c r="C58" s="105"/>
      <c r="D58" s="105"/>
      <c r="E58" s="105"/>
      <c r="F58" s="105"/>
      <c r="G58" s="105"/>
      <c r="H58" s="105"/>
      <c r="I58" s="105"/>
      <c r="J58" s="105"/>
    </row>
    <row r="59" spans="2:10">
      <c r="B59" s="105" t="s">
        <v>385</v>
      </c>
      <c r="C59" s="105"/>
      <c r="D59" s="105"/>
      <c r="E59" s="105"/>
      <c r="F59" s="105"/>
      <c r="G59" s="105"/>
      <c r="H59" s="105"/>
      <c r="I59" s="105"/>
      <c r="J59" s="105"/>
    </row>
    <row r="60" spans="2:10">
      <c r="B60" s="105" t="s">
        <v>386</v>
      </c>
      <c r="C60" s="105"/>
      <c r="D60" s="105"/>
      <c r="E60" s="105"/>
      <c r="F60" s="105"/>
      <c r="G60" s="105"/>
      <c r="H60" s="105"/>
      <c r="I60" s="105"/>
      <c r="J60" s="105"/>
    </row>
    <row r="61" spans="2:10">
      <c r="B61" s="105"/>
      <c r="C61" s="105"/>
      <c r="D61" s="105"/>
      <c r="E61" s="105"/>
      <c r="F61" s="105"/>
      <c r="G61" s="105"/>
      <c r="H61" s="105"/>
      <c r="I61" s="105"/>
      <c r="J61" s="105"/>
    </row>
    <row r="120" spans="2:9">
      <c r="B120" s="126"/>
      <c r="C120" s="126"/>
      <c r="D120" s="126"/>
      <c r="E120" s="126"/>
      <c r="F120" s="126"/>
      <c r="G120" s="126"/>
      <c r="H120" s="126"/>
      <c r="I120" s="126"/>
    </row>
    <row r="121" spans="2:9">
      <c r="B121" s="126"/>
      <c r="C121" s="126"/>
      <c r="D121" s="126"/>
      <c r="E121" s="126"/>
      <c r="F121" s="126"/>
      <c r="G121" s="126"/>
      <c r="H121" s="126"/>
      <c r="I121" s="126"/>
    </row>
  </sheetData>
  <mergeCells count="2">
    <mergeCell ref="G51:H51"/>
    <mergeCell ref="C5:L5"/>
  </mergeCells>
  <phoneticPr fontId="1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3D1369-2111-43A4-8DDC-FE2235170468}">
  <sheetPr codeName="Sheet1"/>
  <dimension ref="B3:F172"/>
  <sheetViews>
    <sheetView zoomScale="99" zoomScaleNormal="99" workbookViewId="0">
      <selection activeCell="E12" sqref="E12"/>
    </sheetView>
  </sheetViews>
  <sheetFormatPr defaultColWidth="8.6640625" defaultRowHeight="12.75"/>
  <cols>
    <col min="1" max="1" width="3.33203125" style="1" customWidth="1"/>
    <col min="2" max="2" width="19.33203125" style="1" bestFit="1" customWidth="1"/>
    <col min="3" max="3" width="30.1640625" style="1" bestFit="1" customWidth="1"/>
    <col min="4" max="4" width="20.6640625" style="4" customWidth="1"/>
    <col min="5" max="5" width="30.1640625" style="1" bestFit="1" customWidth="1"/>
    <col min="6" max="6" width="30.1640625" style="1" customWidth="1"/>
    <col min="7" max="16384" width="8.6640625" style="1"/>
  </cols>
  <sheetData>
    <row r="3" spans="2:6">
      <c r="C3" s="127"/>
    </row>
    <row r="5" spans="2:6" ht="13.5">
      <c r="B5" s="178" t="s">
        <v>116</v>
      </c>
      <c r="C5" s="178" t="s">
        <v>2</v>
      </c>
      <c r="D5" s="179" t="s">
        <v>117</v>
      </c>
      <c r="E5" s="178" t="s">
        <v>462</v>
      </c>
      <c r="F5" s="178" t="s">
        <v>463</v>
      </c>
    </row>
    <row r="6" spans="2:6" ht="13.5">
      <c r="B6" s="180" t="s">
        <v>100</v>
      </c>
      <c r="C6" s="105" t="s">
        <v>660</v>
      </c>
      <c r="D6" s="126">
        <v>0</v>
      </c>
      <c r="E6" s="126" t="s">
        <v>171</v>
      </c>
      <c r="F6" s="126" t="s">
        <v>464</v>
      </c>
    </row>
    <row r="7" spans="2:6" ht="13.5">
      <c r="B7" s="180" t="s">
        <v>100</v>
      </c>
      <c r="C7" s="105" t="s">
        <v>661</v>
      </c>
      <c r="D7" s="126">
        <v>1</v>
      </c>
      <c r="E7" s="126" t="s">
        <v>172</v>
      </c>
      <c r="F7" s="126" t="s">
        <v>466</v>
      </c>
    </row>
    <row r="8" spans="2:6" ht="13.5">
      <c r="B8" s="180" t="s">
        <v>100</v>
      </c>
      <c r="C8" s="105" t="s">
        <v>662</v>
      </c>
      <c r="D8" s="126">
        <v>2</v>
      </c>
      <c r="E8" s="126" t="s">
        <v>173</v>
      </c>
      <c r="F8" s="126" t="s">
        <v>467</v>
      </c>
    </row>
    <row r="9" spans="2:6" ht="13.5">
      <c r="B9" s="180" t="s">
        <v>100</v>
      </c>
      <c r="C9" s="105" t="s">
        <v>663</v>
      </c>
      <c r="D9" s="126">
        <v>3</v>
      </c>
      <c r="E9" s="126" t="s">
        <v>174</v>
      </c>
      <c r="F9" s="126" t="s">
        <v>468</v>
      </c>
    </row>
    <row r="10" spans="2:6" ht="13.5">
      <c r="B10" s="180" t="s">
        <v>100</v>
      </c>
      <c r="C10" s="105" t="s">
        <v>664</v>
      </c>
      <c r="D10" s="126">
        <v>4</v>
      </c>
      <c r="E10" s="126" t="s">
        <v>175</v>
      </c>
      <c r="F10" s="126" t="s">
        <v>469</v>
      </c>
    </row>
    <row r="11" spans="2:6" ht="13.5">
      <c r="B11" s="180" t="s">
        <v>100</v>
      </c>
      <c r="C11" s="105" t="s">
        <v>665</v>
      </c>
      <c r="D11" s="126">
        <v>5</v>
      </c>
      <c r="E11" s="126" t="s">
        <v>176</v>
      </c>
      <c r="F11" s="126" t="s">
        <v>470</v>
      </c>
    </row>
    <row r="12" spans="2:6" ht="13.5">
      <c r="B12" s="180" t="s">
        <v>100</v>
      </c>
      <c r="C12" s="105" t="s">
        <v>666</v>
      </c>
      <c r="D12" s="126">
        <v>6</v>
      </c>
      <c r="E12" s="126" t="s">
        <v>177</v>
      </c>
      <c r="F12" s="126" t="s">
        <v>471</v>
      </c>
    </row>
    <row r="13" spans="2:6" ht="13.5">
      <c r="B13" s="180" t="s">
        <v>100</v>
      </c>
      <c r="C13" s="105" t="s">
        <v>667</v>
      </c>
      <c r="D13" s="126">
        <v>7</v>
      </c>
      <c r="E13" s="126" t="s">
        <v>178</v>
      </c>
      <c r="F13" s="126" t="s">
        <v>472</v>
      </c>
    </row>
    <row r="14" spans="2:6" ht="13.5">
      <c r="B14" s="236" t="s">
        <v>100</v>
      </c>
      <c r="C14" s="127" t="s">
        <v>668</v>
      </c>
      <c r="D14" s="237">
        <v>8</v>
      </c>
      <c r="E14" s="237"/>
      <c r="F14" s="237" t="s">
        <v>669</v>
      </c>
    </row>
    <row r="15" spans="2:6" ht="13.5">
      <c r="B15" s="236" t="s">
        <v>100</v>
      </c>
      <c r="C15" s="127" t="s">
        <v>670</v>
      </c>
      <c r="D15" s="237">
        <v>9</v>
      </c>
      <c r="E15" s="237"/>
      <c r="F15" s="237" t="s">
        <v>671</v>
      </c>
    </row>
    <row r="16" spans="2:6" ht="13.5">
      <c r="B16" s="236" t="s">
        <v>100</v>
      </c>
      <c r="C16" s="127" t="s">
        <v>672</v>
      </c>
      <c r="D16" s="237">
        <v>10</v>
      </c>
      <c r="E16" s="237"/>
      <c r="F16" s="237" t="s">
        <v>673</v>
      </c>
    </row>
    <row r="17" spans="2:6" ht="13.5">
      <c r="B17" s="236" t="s">
        <v>100</v>
      </c>
      <c r="C17" s="127" t="s">
        <v>674</v>
      </c>
      <c r="D17" s="237">
        <v>11</v>
      </c>
      <c r="E17" s="237"/>
      <c r="F17" s="237" t="s">
        <v>675</v>
      </c>
    </row>
    <row r="18" spans="2:6" ht="13.5">
      <c r="B18" s="236" t="s">
        <v>100</v>
      </c>
      <c r="C18" s="127" t="s">
        <v>676</v>
      </c>
      <c r="D18" s="237">
        <v>12</v>
      </c>
      <c r="E18" s="237"/>
      <c r="F18" s="237" t="s">
        <v>677</v>
      </c>
    </row>
    <row r="19" spans="2:6" ht="13.5">
      <c r="B19" s="236" t="s">
        <v>100</v>
      </c>
      <c r="C19" s="127" t="s">
        <v>678</v>
      </c>
      <c r="D19" s="237">
        <v>13</v>
      </c>
      <c r="E19" s="237"/>
      <c r="F19" s="237" t="s">
        <v>679</v>
      </c>
    </row>
    <row r="20" spans="2:6" ht="13.5">
      <c r="B20" s="236" t="s">
        <v>100</v>
      </c>
      <c r="C20" s="127" t="s">
        <v>680</v>
      </c>
      <c r="D20" s="237">
        <v>14</v>
      </c>
      <c r="E20" s="237"/>
      <c r="F20" s="237" t="s">
        <v>681</v>
      </c>
    </row>
    <row r="21" spans="2:6" ht="13.5">
      <c r="B21" s="236" t="s">
        <v>100</v>
      </c>
      <c r="C21" s="127" t="s">
        <v>682</v>
      </c>
      <c r="D21" s="237">
        <v>15</v>
      </c>
      <c r="E21" s="237"/>
      <c r="F21" s="237" t="s">
        <v>683</v>
      </c>
    </row>
    <row r="22" spans="2:6" ht="13.5">
      <c r="B22" s="236" t="s">
        <v>100</v>
      </c>
      <c r="C22" s="127" t="s">
        <v>684</v>
      </c>
      <c r="D22" s="237">
        <v>16</v>
      </c>
      <c r="E22" s="237"/>
      <c r="F22" s="237" t="s">
        <v>685</v>
      </c>
    </row>
    <row r="23" spans="2:6" ht="13.5">
      <c r="B23" s="236" t="s">
        <v>100</v>
      </c>
      <c r="C23" s="127" t="s">
        <v>686</v>
      </c>
      <c r="D23" s="237">
        <v>17</v>
      </c>
      <c r="E23" s="237"/>
      <c r="F23" s="237" t="s">
        <v>687</v>
      </c>
    </row>
    <row r="24" spans="2:6" ht="13.5">
      <c r="B24" s="236" t="s">
        <v>100</v>
      </c>
      <c r="C24" s="127" t="s">
        <v>688</v>
      </c>
      <c r="D24" s="237">
        <v>18</v>
      </c>
      <c r="E24" s="237"/>
      <c r="F24" s="237" t="s">
        <v>689</v>
      </c>
    </row>
    <row r="25" spans="2:6" ht="13.5">
      <c r="B25" s="236" t="s">
        <v>100</v>
      </c>
      <c r="C25" s="127" t="s">
        <v>690</v>
      </c>
      <c r="D25" s="237">
        <v>19</v>
      </c>
      <c r="E25" s="237"/>
      <c r="F25" s="237" t="s">
        <v>691</v>
      </c>
    </row>
    <row r="26" spans="2:6" ht="13.5">
      <c r="B26" s="236" t="s">
        <v>100</v>
      </c>
      <c r="C26" s="127" t="s">
        <v>692</v>
      </c>
      <c r="D26" s="237">
        <v>20</v>
      </c>
      <c r="E26" s="237"/>
      <c r="F26" s="237" t="s">
        <v>693</v>
      </c>
    </row>
    <row r="27" spans="2:6" ht="13.5">
      <c r="B27" s="236" t="s">
        <v>100</v>
      </c>
      <c r="C27" s="127" t="s">
        <v>694</v>
      </c>
      <c r="D27" s="237">
        <v>21</v>
      </c>
      <c r="E27" s="237"/>
      <c r="F27" s="237" t="s">
        <v>695</v>
      </c>
    </row>
    <row r="28" spans="2:6" ht="13.5">
      <c r="B28" s="236" t="s">
        <v>100</v>
      </c>
      <c r="C28" s="127" t="s">
        <v>696</v>
      </c>
      <c r="D28" s="237">
        <v>22</v>
      </c>
      <c r="E28" s="237"/>
      <c r="F28" s="237" t="s">
        <v>697</v>
      </c>
    </row>
    <row r="29" spans="2:6" ht="13.5">
      <c r="B29" s="236" t="s">
        <v>100</v>
      </c>
      <c r="C29" s="127" t="s">
        <v>698</v>
      </c>
      <c r="D29" s="237">
        <v>23</v>
      </c>
      <c r="E29" s="237"/>
      <c r="F29" s="237" t="s">
        <v>699</v>
      </c>
    </row>
    <row r="30" spans="2:6" ht="13.5">
      <c r="B30" s="236" t="s">
        <v>100</v>
      </c>
      <c r="C30" s="127" t="s">
        <v>700</v>
      </c>
      <c r="D30" s="237">
        <v>24</v>
      </c>
      <c r="E30" s="237"/>
      <c r="F30" s="237" t="s">
        <v>701</v>
      </c>
    </row>
    <row r="31" spans="2:6" ht="13.5">
      <c r="B31" s="236" t="s">
        <v>100</v>
      </c>
      <c r="C31" s="127" t="s">
        <v>702</v>
      </c>
      <c r="D31" s="237">
        <v>25</v>
      </c>
      <c r="E31" s="237"/>
      <c r="F31" s="237" t="s">
        <v>703</v>
      </c>
    </row>
    <row r="32" spans="2:6" ht="13.5">
      <c r="B32" s="236" t="s">
        <v>100</v>
      </c>
      <c r="C32" s="127" t="s">
        <v>704</v>
      </c>
      <c r="D32" s="237">
        <v>26</v>
      </c>
      <c r="E32" s="237"/>
      <c r="F32" s="237" t="s">
        <v>705</v>
      </c>
    </row>
    <row r="33" spans="2:6" ht="13.5">
      <c r="B33" s="236" t="s">
        <v>100</v>
      </c>
      <c r="C33" s="127" t="s">
        <v>706</v>
      </c>
      <c r="D33" s="237">
        <v>27</v>
      </c>
      <c r="E33" s="237"/>
      <c r="F33" s="237" t="s">
        <v>707</v>
      </c>
    </row>
    <row r="34" spans="2:6" ht="13.5">
      <c r="B34" s="236" t="s">
        <v>100</v>
      </c>
      <c r="C34" s="127" t="s">
        <v>708</v>
      </c>
      <c r="D34" s="237">
        <v>28</v>
      </c>
      <c r="E34" s="237"/>
      <c r="F34" s="237" t="s">
        <v>709</v>
      </c>
    </row>
    <row r="35" spans="2:6" ht="13.5">
      <c r="B35" s="236" t="s">
        <v>100</v>
      </c>
      <c r="C35" s="127" t="s">
        <v>710</v>
      </c>
      <c r="D35" s="237">
        <v>29</v>
      </c>
      <c r="E35" s="237"/>
      <c r="F35" s="237" t="s">
        <v>711</v>
      </c>
    </row>
    <row r="36" spans="2:6" ht="13.5">
      <c r="B36" s="236" t="s">
        <v>100</v>
      </c>
      <c r="C36" s="127" t="s">
        <v>712</v>
      </c>
      <c r="D36" s="237">
        <v>30</v>
      </c>
      <c r="E36" s="237"/>
      <c r="F36" s="237" t="s">
        <v>713</v>
      </c>
    </row>
    <row r="37" spans="2:6" ht="13.5">
      <c r="B37" s="236" t="s">
        <v>100</v>
      </c>
      <c r="C37" s="127" t="s">
        <v>714</v>
      </c>
      <c r="D37" s="237">
        <v>31</v>
      </c>
      <c r="E37" s="237"/>
      <c r="F37" s="237" t="s">
        <v>715</v>
      </c>
    </row>
    <row r="38" spans="2:6" ht="13.5">
      <c r="B38" s="236" t="s">
        <v>100</v>
      </c>
      <c r="C38" s="127" t="s">
        <v>716</v>
      </c>
      <c r="D38" s="237">
        <v>32</v>
      </c>
      <c r="E38" s="237"/>
      <c r="F38" s="237" t="s">
        <v>717</v>
      </c>
    </row>
    <row r="39" spans="2:6" ht="13.5">
      <c r="B39" s="236" t="s">
        <v>100</v>
      </c>
      <c r="C39" s="127" t="s">
        <v>718</v>
      </c>
      <c r="D39" s="237">
        <v>33</v>
      </c>
      <c r="E39" s="237"/>
      <c r="F39" s="237" t="s">
        <v>719</v>
      </c>
    </row>
    <row r="40" spans="2:6" ht="13.5">
      <c r="B40" s="236" t="s">
        <v>100</v>
      </c>
      <c r="C40" s="127" t="s">
        <v>720</v>
      </c>
      <c r="D40" s="237">
        <v>34</v>
      </c>
      <c r="E40" s="237"/>
      <c r="F40" s="237" t="s">
        <v>721</v>
      </c>
    </row>
    <row r="41" spans="2:6" ht="13.5">
      <c r="B41" s="236" t="s">
        <v>100</v>
      </c>
      <c r="C41" s="127" t="s">
        <v>722</v>
      </c>
      <c r="D41" s="237">
        <v>35</v>
      </c>
      <c r="E41" s="237"/>
      <c r="F41" s="237" t="s">
        <v>723</v>
      </c>
    </row>
    <row r="42" spans="2:6" ht="13.5">
      <c r="B42" s="236" t="s">
        <v>100</v>
      </c>
      <c r="C42" s="127" t="s">
        <v>724</v>
      </c>
      <c r="D42" s="237">
        <v>36</v>
      </c>
      <c r="E42" s="237"/>
      <c r="F42" s="237" t="s">
        <v>725</v>
      </c>
    </row>
    <row r="43" spans="2:6" ht="13.5">
      <c r="B43" s="236" t="s">
        <v>100</v>
      </c>
      <c r="C43" s="127" t="s">
        <v>726</v>
      </c>
      <c r="D43" s="237">
        <v>37</v>
      </c>
      <c r="E43" s="237"/>
      <c r="F43" s="237" t="s">
        <v>727</v>
      </c>
    </row>
    <row r="44" spans="2:6" ht="13.5">
      <c r="B44" s="236" t="s">
        <v>100</v>
      </c>
      <c r="C44" s="127" t="s">
        <v>728</v>
      </c>
      <c r="D44" s="237">
        <v>38</v>
      </c>
      <c r="E44" s="237"/>
      <c r="F44" s="237" t="s">
        <v>729</v>
      </c>
    </row>
    <row r="45" spans="2:6" ht="13.5">
      <c r="B45" s="236" t="s">
        <v>100</v>
      </c>
      <c r="C45" s="127" t="s">
        <v>730</v>
      </c>
      <c r="D45" s="237">
        <v>39</v>
      </c>
      <c r="E45" s="237"/>
      <c r="F45" s="237" t="s">
        <v>731</v>
      </c>
    </row>
    <row r="46" spans="2:6" ht="13.5">
      <c r="B46" s="236" t="s">
        <v>100</v>
      </c>
      <c r="C46" s="127" t="s">
        <v>732</v>
      </c>
      <c r="D46" s="237">
        <v>40</v>
      </c>
      <c r="E46" s="237"/>
      <c r="F46" s="237" t="s">
        <v>733</v>
      </c>
    </row>
    <row r="47" spans="2:6" ht="13.5">
      <c r="B47" s="236" t="s">
        <v>100</v>
      </c>
      <c r="C47" s="127" t="s">
        <v>734</v>
      </c>
      <c r="D47" s="237">
        <v>41</v>
      </c>
      <c r="E47" s="237"/>
      <c r="F47" s="237" t="s">
        <v>735</v>
      </c>
    </row>
    <row r="48" spans="2:6" ht="13.5">
      <c r="B48" s="236" t="s">
        <v>100</v>
      </c>
      <c r="C48" s="127" t="s">
        <v>736</v>
      </c>
      <c r="D48" s="237">
        <v>42</v>
      </c>
      <c r="E48" s="237"/>
      <c r="F48" s="237" t="s">
        <v>737</v>
      </c>
    </row>
    <row r="49" spans="2:6" ht="13.5">
      <c r="B49" s="236" t="s">
        <v>100</v>
      </c>
      <c r="C49" s="127" t="s">
        <v>738</v>
      </c>
      <c r="D49" s="237">
        <v>43</v>
      </c>
      <c r="E49" s="237"/>
      <c r="F49" s="237" t="s">
        <v>739</v>
      </c>
    </row>
    <row r="50" spans="2:6" ht="13.5">
      <c r="B50" s="236" t="s">
        <v>100</v>
      </c>
      <c r="C50" s="127" t="s">
        <v>740</v>
      </c>
      <c r="D50" s="237">
        <v>44</v>
      </c>
      <c r="E50" s="237"/>
      <c r="F50" s="237" t="s">
        <v>741</v>
      </c>
    </row>
    <row r="51" spans="2:6" ht="13.5">
      <c r="B51" s="236" t="s">
        <v>100</v>
      </c>
      <c r="C51" s="127" t="s">
        <v>742</v>
      </c>
      <c r="D51" s="237">
        <v>45</v>
      </c>
      <c r="E51" s="237"/>
      <c r="F51" s="237" t="s">
        <v>743</v>
      </c>
    </row>
    <row r="52" spans="2:6" ht="13.5">
      <c r="B52" s="236" t="s">
        <v>100</v>
      </c>
      <c r="C52" s="127" t="s">
        <v>744</v>
      </c>
      <c r="D52" s="237">
        <v>46</v>
      </c>
      <c r="E52" s="237"/>
      <c r="F52" s="237" t="s">
        <v>745</v>
      </c>
    </row>
    <row r="53" spans="2:6" ht="13.5">
      <c r="B53" s="236" t="s">
        <v>100</v>
      </c>
      <c r="C53" s="127" t="s">
        <v>746</v>
      </c>
      <c r="D53" s="237">
        <v>47</v>
      </c>
      <c r="E53" s="237"/>
      <c r="F53" s="237" t="s">
        <v>747</v>
      </c>
    </row>
    <row r="54" spans="2:6" ht="13.5">
      <c r="B54" s="236" t="s">
        <v>100</v>
      </c>
      <c r="C54" s="127" t="s">
        <v>748</v>
      </c>
      <c r="D54" s="237">
        <v>48</v>
      </c>
      <c r="E54" s="237"/>
      <c r="F54" s="237" t="s">
        <v>749</v>
      </c>
    </row>
    <row r="55" spans="2:6" ht="13.5">
      <c r="B55" s="236" t="s">
        <v>100</v>
      </c>
      <c r="C55" s="127" t="s">
        <v>750</v>
      </c>
      <c r="D55" s="237">
        <v>49</v>
      </c>
      <c r="E55" s="237"/>
      <c r="F55" s="237" t="s">
        <v>751</v>
      </c>
    </row>
    <row r="56" spans="2:6" ht="13.5">
      <c r="B56" s="236" t="s">
        <v>100</v>
      </c>
      <c r="C56" s="127" t="s">
        <v>752</v>
      </c>
      <c r="D56" s="237">
        <v>50</v>
      </c>
      <c r="E56" s="237"/>
      <c r="F56" s="237" t="s">
        <v>753</v>
      </c>
    </row>
    <row r="57" spans="2:6" ht="13.5">
      <c r="B57" s="236" t="s">
        <v>100</v>
      </c>
      <c r="C57" s="127" t="s">
        <v>754</v>
      </c>
      <c r="D57" s="237">
        <v>51</v>
      </c>
      <c r="E57" s="237"/>
      <c r="F57" s="237" t="s">
        <v>755</v>
      </c>
    </row>
    <row r="58" spans="2:6" ht="13.5">
      <c r="B58" s="236" t="s">
        <v>100</v>
      </c>
      <c r="C58" s="127" t="s">
        <v>756</v>
      </c>
      <c r="D58" s="237">
        <v>52</v>
      </c>
      <c r="E58" s="237"/>
      <c r="F58" s="237" t="s">
        <v>757</v>
      </c>
    </row>
    <row r="59" spans="2:6" ht="13.5">
      <c r="B59" s="236" t="s">
        <v>100</v>
      </c>
      <c r="C59" s="127" t="s">
        <v>758</v>
      </c>
      <c r="D59" s="237">
        <v>53</v>
      </c>
      <c r="E59" s="237"/>
      <c r="F59" s="237" t="s">
        <v>759</v>
      </c>
    </row>
    <row r="60" spans="2:6" ht="13.5">
      <c r="B60" s="236" t="s">
        <v>100</v>
      </c>
      <c r="C60" s="127" t="s">
        <v>760</v>
      </c>
      <c r="D60" s="237">
        <v>54</v>
      </c>
      <c r="E60" s="237"/>
      <c r="F60" s="237" t="s">
        <v>761</v>
      </c>
    </row>
    <row r="61" spans="2:6" ht="13.5">
      <c r="B61" s="236" t="s">
        <v>100</v>
      </c>
      <c r="C61" s="127" t="s">
        <v>762</v>
      </c>
      <c r="D61" s="237">
        <v>55</v>
      </c>
      <c r="E61" s="237"/>
      <c r="F61" s="237" t="s">
        <v>763</v>
      </c>
    </row>
    <row r="62" spans="2:6" ht="13.5">
      <c r="B62" s="236" t="s">
        <v>100</v>
      </c>
      <c r="C62" s="127" t="s">
        <v>764</v>
      </c>
      <c r="D62" s="237">
        <v>56</v>
      </c>
      <c r="E62" s="237"/>
      <c r="F62" s="237" t="s">
        <v>765</v>
      </c>
    </row>
    <row r="63" spans="2:6" ht="13.5">
      <c r="B63" s="236" t="s">
        <v>100</v>
      </c>
      <c r="C63" s="127" t="s">
        <v>766</v>
      </c>
      <c r="D63" s="237">
        <v>57</v>
      </c>
      <c r="E63" s="237"/>
      <c r="F63" s="237" t="s">
        <v>767</v>
      </c>
    </row>
    <row r="64" spans="2:6" ht="13.5">
      <c r="B64" s="236" t="s">
        <v>100</v>
      </c>
      <c r="C64" s="127" t="s">
        <v>768</v>
      </c>
      <c r="D64" s="237">
        <v>58</v>
      </c>
      <c r="E64" s="237"/>
      <c r="F64" s="237" t="s">
        <v>769</v>
      </c>
    </row>
    <row r="65" spans="2:6" ht="13.5">
      <c r="B65" s="236" t="s">
        <v>100</v>
      </c>
      <c r="C65" s="127" t="s">
        <v>770</v>
      </c>
      <c r="D65" s="237">
        <v>59</v>
      </c>
      <c r="E65" s="237"/>
      <c r="F65" s="237" t="s">
        <v>771</v>
      </c>
    </row>
    <row r="66" spans="2:6" ht="13.5">
      <c r="B66" s="236" t="s">
        <v>100</v>
      </c>
      <c r="C66" s="127" t="s">
        <v>772</v>
      </c>
      <c r="D66" s="237">
        <v>60</v>
      </c>
      <c r="E66" s="237"/>
      <c r="F66" s="237" t="s">
        <v>773</v>
      </c>
    </row>
    <row r="67" spans="2:6" ht="13.5">
      <c r="B67" s="236" t="s">
        <v>100</v>
      </c>
      <c r="C67" s="127" t="s">
        <v>774</v>
      </c>
      <c r="D67" s="237">
        <v>61</v>
      </c>
      <c r="E67" s="237"/>
      <c r="F67" s="237" t="s">
        <v>775</v>
      </c>
    </row>
    <row r="68" spans="2:6" ht="13.5">
      <c r="B68" s="236" t="s">
        <v>100</v>
      </c>
      <c r="C68" s="127" t="s">
        <v>776</v>
      </c>
      <c r="D68" s="237">
        <v>62</v>
      </c>
      <c r="E68" s="237"/>
      <c r="F68" s="237" t="s">
        <v>777</v>
      </c>
    </row>
    <row r="69" spans="2:6" ht="13.5">
      <c r="B69" s="236" t="s">
        <v>100</v>
      </c>
      <c r="C69" s="127" t="s">
        <v>778</v>
      </c>
      <c r="D69" s="237">
        <v>63</v>
      </c>
      <c r="E69" s="237"/>
      <c r="F69" s="237" t="s">
        <v>779</v>
      </c>
    </row>
    <row r="70" spans="2:6" ht="13.5">
      <c r="B70" s="236" t="s">
        <v>100</v>
      </c>
      <c r="C70" s="127" t="s">
        <v>780</v>
      </c>
      <c r="D70" s="237">
        <v>64</v>
      </c>
      <c r="E70" s="237"/>
      <c r="F70" s="237" t="s">
        <v>781</v>
      </c>
    </row>
    <row r="71" spans="2:6" ht="13.5">
      <c r="B71" s="236" t="s">
        <v>100</v>
      </c>
      <c r="C71" s="127" t="s">
        <v>782</v>
      </c>
      <c r="D71" s="237">
        <v>65</v>
      </c>
      <c r="E71" s="237"/>
      <c r="F71" s="237" t="s">
        <v>783</v>
      </c>
    </row>
    <row r="72" spans="2:6" ht="13.5">
      <c r="B72" s="236" t="s">
        <v>100</v>
      </c>
      <c r="C72" s="127" t="s">
        <v>784</v>
      </c>
      <c r="D72" s="237">
        <v>66</v>
      </c>
      <c r="E72" s="237"/>
      <c r="F72" s="237" t="s">
        <v>785</v>
      </c>
    </row>
    <row r="73" spans="2:6" ht="13.5">
      <c r="B73" s="105" t="s">
        <v>473</v>
      </c>
      <c r="C73" s="105" t="s">
        <v>474</v>
      </c>
      <c r="D73" s="126">
        <v>0</v>
      </c>
      <c r="E73" s="126" t="s">
        <v>179</v>
      </c>
      <c r="F73" s="126" t="s">
        <v>179</v>
      </c>
    </row>
    <row r="74" spans="2:6" ht="13.5">
      <c r="B74" s="105" t="s">
        <v>473</v>
      </c>
      <c r="C74" s="105" t="s">
        <v>475</v>
      </c>
      <c r="D74" s="126">
        <v>1</v>
      </c>
      <c r="E74" s="126" t="s">
        <v>180</v>
      </c>
      <c r="F74" s="126" t="s">
        <v>180</v>
      </c>
    </row>
    <row r="75" spans="2:6" ht="13.5">
      <c r="B75" s="105" t="s">
        <v>473</v>
      </c>
      <c r="C75" s="105" t="s">
        <v>476</v>
      </c>
      <c r="D75" s="126">
        <v>2</v>
      </c>
      <c r="E75" s="126" t="s">
        <v>181</v>
      </c>
      <c r="F75" s="126" t="s">
        <v>181</v>
      </c>
    </row>
    <row r="76" spans="2:6" ht="13.5">
      <c r="B76" s="105" t="s">
        <v>473</v>
      </c>
      <c r="C76" s="105" t="s">
        <v>477</v>
      </c>
      <c r="D76" s="126">
        <v>3</v>
      </c>
      <c r="E76" s="126" t="s">
        <v>182</v>
      </c>
      <c r="F76" s="126" t="s">
        <v>182</v>
      </c>
    </row>
    <row r="77" spans="2:6" ht="13.5">
      <c r="B77" s="105" t="s">
        <v>473</v>
      </c>
      <c r="C77" s="105" t="s">
        <v>478</v>
      </c>
      <c r="D77" s="126">
        <v>4</v>
      </c>
      <c r="E77" s="126" t="s">
        <v>183</v>
      </c>
      <c r="F77" s="126" t="s">
        <v>183</v>
      </c>
    </row>
    <row r="78" spans="2:6" ht="13.5">
      <c r="B78" s="105" t="s">
        <v>473</v>
      </c>
      <c r="C78" s="105" t="s">
        <v>479</v>
      </c>
      <c r="D78" s="126">
        <v>5</v>
      </c>
      <c r="E78" s="126" t="s">
        <v>184</v>
      </c>
      <c r="F78" s="126" t="s">
        <v>184</v>
      </c>
    </row>
    <row r="79" spans="2:6" ht="13.5">
      <c r="B79" s="105" t="s">
        <v>473</v>
      </c>
      <c r="C79" s="105" t="s">
        <v>480</v>
      </c>
      <c r="D79" s="126">
        <v>6</v>
      </c>
      <c r="E79" s="126" t="s">
        <v>185</v>
      </c>
      <c r="F79" s="126" t="s">
        <v>185</v>
      </c>
    </row>
    <row r="80" spans="2:6" ht="13.5">
      <c r="B80" s="105" t="s">
        <v>473</v>
      </c>
      <c r="C80" s="105" t="s">
        <v>481</v>
      </c>
      <c r="D80" s="126">
        <v>7</v>
      </c>
      <c r="E80" s="126" t="s">
        <v>186</v>
      </c>
      <c r="F80" s="126" t="s">
        <v>186</v>
      </c>
    </row>
    <row r="81" spans="2:6" ht="13.5">
      <c r="B81" s="105" t="s">
        <v>473</v>
      </c>
      <c r="C81" s="105" t="s">
        <v>482</v>
      </c>
      <c r="D81" s="126">
        <v>8</v>
      </c>
      <c r="E81" s="126" t="s">
        <v>187</v>
      </c>
      <c r="F81" s="126" t="s">
        <v>187</v>
      </c>
    </row>
    <row r="82" spans="2:6" ht="13.5">
      <c r="B82" s="105" t="s">
        <v>473</v>
      </c>
      <c r="C82" s="105" t="s">
        <v>483</v>
      </c>
      <c r="D82" s="126">
        <v>9</v>
      </c>
      <c r="E82" s="126" t="s">
        <v>188</v>
      </c>
      <c r="F82" s="126" t="s">
        <v>188</v>
      </c>
    </row>
    <row r="83" spans="2:6" ht="13.5">
      <c r="B83" s="105" t="s">
        <v>473</v>
      </c>
      <c r="C83" s="105" t="s">
        <v>484</v>
      </c>
      <c r="D83" s="126">
        <v>10</v>
      </c>
      <c r="E83" s="126" t="s">
        <v>189</v>
      </c>
      <c r="F83" s="126" t="s">
        <v>189</v>
      </c>
    </row>
    <row r="84" spans="2:6" ht="13.5">
      <c r="B84" s="105" t="s">
        <v>473</v>
      </c>
      <c r="C84" s="105" t="s">
        <v>485</v>
      </c>
      <c r="D84" s="126">
        <v>11</v>
      </c>
      <c r="E84" s="126" t="s">
        <v>190</v>
      </c>
      <c r="F84" s="126" t="s">
        <v>190</v>
      </c>
    </row>
    <row r="85" spans="2:6" ht="13.5">
      <c r="B85" s="105" t="s">
        <v>473</v>
      </c>
      <c r="C85" s="105" t="s">
        <v>486</v>
      </c>
      <c r="D85" s="126">
        <v>12</v>
      </c>
      <c r="E85" s="126" t="s">
        <v>191</v>
      </c>
      <c r="F85" s="126" t="s">
        <v>191</v>
      </c>
    </row>
    <row r="86" spans="2:6" ht="13.5">
      <c r="B86" s="105" t="s">
        <v>473</v>
      </c>
      <c r="C86" s="105" t="s">
        <v>487</v>
      </c>
      <c r="D86" s="126">
        <v>13</v>
      </c>
      <c r="E86" s="126" t="s">
        <v>192</v>
      </c>
      <c r="F86" s="126" t="s">
        <v>192</v>
      </c>
    </row>
    <row r="87" spans="2:6" ht="13.5">
      <c r="B87" s="105" t="s">
        <v>473</v>
      </c>
      <c r="C87" s="105" t="s">
        <v>488</v>
      </c>
      <c r="D87" s="126">
        <v>14</v>
      </c>
      <c r="E87" s="126" t="s">
        <v>193</v>
      </c>
      <c r="F87" s="126" t="s">
        <v>193</v>
      </c>
    </row>
    <row r="88" spans="2:6" ht="13.5">
      <c r="B88" s="105" t="s">
        <v>473</v>
      </c>
      <c r="C88" s="105" t="s">
        <v>489</v>
      </c>
      <c r="D88" s="126">
        <v>15</v>
      </c>
      <c r="E88" s="126" t="s">
        <v>194</v>
      </c>
      <c r="F88" s="126" t="s">
        <v>194</v>
      </c>
    </row>
    <row r="89" spans="2:6" ht="13.5">
      <c r="B89" s="105" t="s">
        <v>473</v>
      </c>
      <c r="C89" s="105" t="s">
        <v>490</v>
      </c>
      <c r="D89" s="126">
        <v>16</v>
      </c>
      <c r="E89" s="126" t="s">
        <v>195</v>
      </c>
      <c r="F89" s="126" t="s">
        <v>195</v>
      </c>
    </row>
    <row r="90" spans="2:6" ht="13.5">
      <c r="B90" s="105" t="s">
        <v>473</v>
      </c>
      <c r="C90" s="105" t="s">
        <v>491</v>
      </c>
      <c r="D90" s="126">
        <v>17</v>
      </c>
      <c r="E90" s="126" t="s">
        <v>196</v>
      </c>
      <c r="F90" s="126" t="s">
        <v>196</v>
      </c>
    </row>
    <row r="91" spans="2:6" ht="13.5">
      <c r="B91" s="105" t="s">
        <v>473</v>
      </c>
      <c r="C91" s="105" t="s">
        <v>492</v>
      </c>
      <c r="D91" s="126">
        <v>18</v>
      </c>
      <c r="E91" s="126" t="s">
        <v>197</v>
      </c>
      <c r="F91" s="126" t="s">
        <v>197</v>
      </c>
    </row>
    <row r="92" spans="2:6" ht="13.5">
      <c r="B92" s="126" t="s">
        <v>126</v>
      </c>
      <c r="C92" s="105" t="s">
        <v>493</v>
      </c>
      <c r="D92" s="126">
        <v>0</v>
      </c>
      <c r="E92" s="126" t="s">
        <v>106</v>
      </c>
      <c r="F92" s="126" t="s">
        <v>494</v>
      </c>
    </row>
    <row r="93" spans="2:6" ht="13.5">
      <c r="B93" s="126" t="s">
        <v>128</v>
      </c>
      <c r="C93" s="105" t="s">
        <v>495</v>
      </c>
      <c r="D93" s="126">
        <v>0</v>
      </c>
      <c r="E93" s="126" t="s">
        <v>198</v>
      </c>
      <c r="F93" s="126" t="s">
        <v>496</v>
      </c>
    </row>
    <row r="94" spans="2:6" ht="13.5">
      <c r="B94" s="126" t="s">
        <v>128</v>
      </c>
      <c r="C94" s="105" t="s">
        <v>482</v>
      </c>
      <c r="D94" s="126">
        <v>1</v>
      </c>
      <c r="E94" s="126" t="s">
        <v>199</v>
      </c>
      <c r="F94" s="126" t="s">
        <v>497</v>
      </c>
    </row>
    <row r="95" spans="2:6" ht="13.5">
      <c r="B95" s="126" t="s">
        <v>128</v>
      </c>
      <c r="C95" s="105" t="s">
        <v>498</v>
      </c>
      <c r="D95" s="126">
        <v>2</v>
      </c>
      <c r="E95" s="126" t="s">
        <v>200</v>
      </c>
      <c r="F95" s="126" t="s">
        <v>499</v>
      </c>
    </row>
    <row r="96" spans="2:6" ht="13.5">
      <c r="B96" s="126" t="s">
        <v>128</v>
      </c>
      <c r="C96" s="105" t="s">
        <v>500</v>
      </c>
      <c r="D96" s="126">
        <v>3</v>
      </c>
      <c r="E96" s="126" t="s">
        <v>201</v>
      </c>
      <c r="F96" s="126" t="s">
        <v>501</v>
      </c>
    </row>
    <row r="97" spans="2:6" ht="13.5">
      <c r="B97" s="126" t="s">
        <v>128</v>
      </c>
      <c r="C97" s="105" t="s">
        <v>502</v>
      </c>
      <c r="D97" s="126">
        <v>4</v>
      </c>
      <c r="E97" s="126" t="s">
        <v>202</v>
      </c>
      <c r="F97" s="126" t="s">
        <v>503</v>
      </c>
    </row>
    <row r="98" spans="2:6" ht="13.5">
      <c r="B98" s="126" t="s">
        <v>130</v>
      </c>
      <c r="C98" s="105" t="s">
        <v>504</v>
      </c>
      <c r="D98" s="126">
        <v>0</v>
      </c>
      <c r="E98" s="126" t="s">
        <v>203</v>
      </c>
      <c r="F98" s="126" t="s">
        <v>505</v>
      </c>
    </row>
    <row r="99" spans="2:6" ht="13.5">
      <c r="B99" s="126" t="s">
        <v>130</v>
      </c>
      <c r="C99" s="105" t="s">
        <v>506</v>
      </c>
      <c r="D99" s="126">
        <v>1</v>
      </c>
      <c r="E99" s="126" t="s">
        <v>204</v>
      </c>
      <c r="F99" s="126" t="s">
        <v>507</v>
      </c>
    </row>
    <row r="100" spans="2:6" ht="13.5">
      <c r="B100" s="126" t="s">
        <v>130</v>
      </c>
      <c r="C100" s="105" t="s">
        <v>786</v>
      </c>
      <c r="D100" s="126">
        <v>2</v>
      </c>
      <c r="E100" s="126" t="s">
        <v>205</v>
      </c>
      <c r="F100" s="126" t="s">
        <v>508</v>
      </c>
    </row>
    <row r="101" spans="2:6" ht="13.5">
      <c r="B101" s="126" t="s">
        <v>130</v>
      </c>
      <c r="C101" s="105" t="s">
        <v>509</v>
      </c>
      <c r="D101" s="126">
        <v>3</v>
      </c>
      <c r="E101" s="126" t="s">
        <v>206</v>
      </c>
      <c r="F101" s="126" t="s">
        <v>510</v>
      </c>
    </row>
    <row r="102" spans="2:6" ht="13.5">
      <c r="B102" s="126" t="s">
        <v>130</v>
      </c>
      <c r="C102" s="105" t="s">
        <v>511</v>
      </c>
      <c r="D102" s="126">
        <v>4</v>
      </c>
      <c r="E102" s="126" t="s">
        <v>207</v>
      </c>
      <c r="F102" s="126" t="s">
        <v>512</v>
      </c>
    </row>
    <row r="103" spans="2:6" ht="13.5">
      <c r="B103" s="126" t="s">
        <v>130</v>
      </c>
      <c r="C103" s="105" t="s">
        <v>513</v>
      </c>
      <c r="D103" s="126">
        <v>5</v>
      </c>
      <c r="E103" s="126" t="s">
        <v>208</v>
      </c>
      <c r="F103" s="126" t="s">
        <v>514</v>
      </c>
    </row>
    <row r="104" spans="2:6" ht="13.5">
      <c r="B104" s="126" t="s">
        <v>130</v>
      </c>
      <c r="C104" s="105" t="s">
        <v>515</v>
      </c>
      <c r="D104" s="126">
        <v>6</v>
      </c>
      <c r="E104" s="126" t="s">
        <v>209</v>
      </c>
      <c r="F104" s="126" t="s">
        <v>516</v>
      </c>
    </row>
    <row r="105" spans="2:6" ht="13.5">
      <c r="B105" s="126" t="s">
        <v>130</v>
      </c>
      <c r="C105" s="105" t="s">
        <v>517</v>
      </c>
      <c r="D105" s="126">
        <v>7</v>
      </c>
      <c r="E105" s="126" t="s">
        <v>210</v>
      </c>
      <c r="F105" s="126" t="s">
        <v>518</v>
      </c>
    </row>
    <row r="106" spans="2:6" ht="13.5">
      <c r="B106" s="126" t="s">
        <v>130</v>
      </c>
      <c r="C106" s="105" t="s">
        <v>519</v>
      </c>
      <c r="D106" s="126">
        <v>8</v>
      </c>
      <c r="E106" s="126" t="s">
        <v>211</v>
      </c>
      <c r="F106" s="126" t="s">
        <v>520</v>
      </c>
    </row>
    <row r="107" spans="2:6" ht="13.5">
      <c r="B107" s="126" t="s">
        <v>130</v>
      </c>
      <c r="C107" s="105" t="s">
        <v>521</v>
      </c>
      <c r="D107" s="126">
        <v>9</v>
      </c>
      <c r="E107" s="126" t="s">
        <v>212</v>
      </c>
      <c r="F107" s="126" t="s">
        <v>522</v>
      </c>
    </row>
    <row r="108" spans="2:6" ht="13.5">
      <c r="B108" s="126" t="s">
        <v>130</v>
      </c>
      <c r="C108" s="105" t="s">
        <v>523</v>
      </c>
      <c r="D108" s="126">
        <v>10</v>
      </c>
      <c r="E108" s="126" t="s">
        <v>213</v>
      </c>
      <c r="F108" s="126" t="s">
        <v>524</v>
      </c>
    </row>
    <row r="109" spans="2:6" ht="13.5">
      <c r="B109" s="126" t="s">
        <v>130</v>
      </c>
      <c r="C109" s="105" t="s">
        <v>525</v>
      </c>
      <c r="D109" s="126">
        <v>11</v>
      </c>
      <c r="E109" s="126" t="s">
        <v>214</v>
      </c>
      <c r="F109" s="126" t="s">
        <v>787</v>
      </c>
    </row>
    <row r="110" spans="2:6" ht="13.5">
      <c r="B110" s="126" t="s">
        <v>99</v>
      </c>
      <c r="C110" s="105" t="s">
        <v>526</v>
      </c>
      <c r="D110" s="126">
        <v>0</v>
      </c>
      <c r="E110" s="126" t="s">
        <v>215</v>
      </c>
      <c r="F110" s="126" t="s">
        <v>215</v>
      </c>
    </row>
    <row r="111" spans="2:6" ht="13.5">
      <c r="B111" s="126" t="s">
        <v>99</v>
      </c>
      <c r="C111" s="105" t="s">
        <v>527</v>
      </c>
      <c r="D111" s="126">
        <v>1</v>
      </c>
      <c r="E111" s="126" t="s">
        <v>216</v>
      </c>
      <c r="F111" s="126" t="s">
        <v>216</v>
      </c>
    </row>
    <row r="112" spans="2:6" ht="13.5">
      <c r="B112" s="126" t="s">
        <v>99</v>
      </c>
      <c r="C112" s="105" t="s">
        <v>528</v>
      </c>
      <c r="D112" s="126">
        <v>2</v>
      </c>
      <c r="E112" s="126" t="s">
        <v>217</v>
      </c>
      <c r="F112" s="126" t="s">
        <v>217</v>
      </c>
    </row>
    <row r="113" spans="2:6" ht="13.5">
      <c r="B113" s="126" t="s">
        <v>99</v>
      </c>
      <c r="C113" s="105" t="s">
        <v>529</v>
      </c>
      <c r="D113" s="126">
        <v>3</v>
      </c>
      <c r="E113" s="126" t="s">
        <v>218</v>
      </c>
      <c r="F113" s="126" t="s">
        <v>218</v>
      </c>
    </row>
    <row r="114" spans="2:6" ht="13.5">
      <c r="B114" s="126" t="s">
        <v>99</v>
      </c>
      <c r="C114" s="105" t="s">
        <v>530</v>
      </c>
      <c r="D114" s="126">
        <v>4</v>
      </c>
      <c r="E114" s="126" t="s">
        <v>219</v>
      </c>
      <c r="F114" s="126" t="s">
        <v>219</v>
      </c>
    </row>
    <row r="115" spans="2:6" ht="13.5">
      <c r="B115" s="126" t="s">
        <v>99</v>
      </c>
      <c r="C115" s="105" t="s">
        <v>531</v>
      </c>
      <c r="D115" s="126">
        <v>5</v>
      </c>
      <c r="E115" s="126" t="s">
        <v>220</v>
      </c>
      <c r="F115" s="126" t="s">
        <v>220</v>
      </c>
    </row>
    <row r="116" spans="2:6" ht="13.5">
      <c r="B116" s="126" t="s">
        <v>99</v>
      </c>
      <c r="C116" s="105" t="s">
        <v>532</v>
      </c>
      <c r="D116" s="126">
        <v>6</v>
      </c>
      <c r="E116" s="126" t="s">
        <v>221</v>
      </c>
      <c r="F116" s="126" t="s">
        <v>220</v>
      </c>
    </row>
    <row r="117" spans="2:6" ht="13.5">
      <c r="B117" s="126" t="s">
        <v>82</v>
      </c>
      <c r="C117" s="105" t="s">
        <v>533</v>
      </c>
      <c r="D117" s="126">
        <v>0</v>
      </c>
      <c r="E117" s="105" t="s">
        <v>533</v>
      </c>
      <c r="F117" s="126" t="s">
        <v>534</v>
      </c>
    </row>
    <row r="118" spans="2:6" ht="13.5">
      <c r="B118" s="126" t="s">
        <v>82</v>
      </c>
      <c r="C118" s="105" t="s">
        <v>535</v>
      </c>
      <c r="D118" s="126">
        <v>1</v>
      </c>
      <c r="E118" s="105" t="s">
        <v>535</v>
      </c>
      <c r="F118" s="126" t="s">
        <v>536</v>
      </c>
    </row>
    <row r="119" spans="2:6" ht="13.5">
      <c r="B119" s="126" t="s">
        <v>82</v>
      </c>
      <c r="C119" s="105" t="s">
        <v>537</v>
      </c>
      <c r="D119" s="126">
        <v>2</v>
      </c>
      <c r="E119" s="105" t="s">
        <v>537</v>
      </c>
      <c r="F119" s="126" t="s">
        <v>538</v>
      </c>
    </row>
    <row r="120" spans="2:6" ht="13.5">
      <c r="B120" s="126" t="s">
        <v>82</v>
      </c>
      <c r="C120" s="105" t="s">
        <v>539</v>
      </c>
      <c r="D120" s="126">
        <v>3</v>
      </c>
      <c r="E120" s="105" t="s">
        <v>539</v>
      </c>
      <c r="F120" s="126" t="s">
        <v>540</v>
      </c>
    </row>
    <row r="121" spans="2:6" ht="13.5">
      <c r="B121" s="126" t="s">
        <v>82</v>
      </c>
      <c r="C121" s="105" t="s">
        <v>541</v>
      </c>
      <c r="D121" s="126">
        <v>4</v>
      </c>
      <c r="E121" s="105" t="s">
        <v>541</v>
      </c>
      <c r="F121" s="126" t="s">
        <v>542</v>
      </c>
    </row>
    <row r="122" spans="2:6" ht="13.5">
      <c r="B122" s="126" t="s">
        <v>158</v>
      </c>
      <c r="C122" s="181" t="s">
        <v>543</v>
      </c>
      <c r="D122" s="126">
        <v>0</v>
      </c>
      <c r="E122" s="181" t="b">
        <v>0</v>
      </c>
      <c r="F122" s="181" t="s">
        <v>544</v>
      </c>
    </row>
    <row r="123" spans="2:6" ht="13.5">
      <c r="B123" s="126" t="s">
        <v>158</v>
      </c>
      <c r="C123" s="181" t="s">
        <v>545</v>
      </c>
      <c r="D123" s="126">
        <v>1</v>
      </c>
      <c r="E123" s="181" t="b">
        <v>1</v>
      </c>
      <c r="F123" s="181" t="s">
        <v>546</v>
      </c>
    </row>
    <row r="124" spans="2:6" ht="13.5">
      <c r="B124" s="126" t="s">
        <v>159</v>
      </c>
      <c r="C124" s="105" t="s">
        <v>547</v>
      </c>
      <c r="D124" s="126">
        <v>0</v>
      </c>
      <c r="E124" s="126" t="s">
        <v>222</v>
      </c>
      <c r="F124" s="126" t="s">
        <v>548</v>
      </c>
    </row>
    <row r="125" spans="2:6" ht="13.5">
      <c r="B125" s="126" t="s">
        <v>159</v>
      </c>
      <c r="C125" s="105" t="s">
        <v>549</v>
      </c>
      <c r="D125" s="126">
        <v>1</v>
      </c>
      <c r="E125" s="126" t="s">
        <v>223</v>
      </c>
      <c r="F125" s="126" t="s">
        <v>550</v>
      </c>
    </row>
    <row r="126" spans="2:6" ht="13.5">
      <c r="B126" s="126" t="s">
        <v>160</v>
      </c>
      <c r="C126" s="105" t="s">
        <v>482</v>
      </c>
      <c r="D126" s="126">
        <v>0</v>
      </c>
      <c r="E126" s="126" t="s">
        <v>199</v>
      </c>
      <c r="F126" s="126" t="s">
        <v>497</v>
      </c>
    </row>
    <row r="127" spans="2:6" ht="13.5">
      <c r="B127" s="126" t="s">
        <v>160</v>
      </c>
      <c r="C127" s="105" t="s">
        <v>498</v>
      </c>
      <c r="D127" s="126">
        <v>1</v>
      </c>
      <c r="E127" s="126" t="s">
        <v>224</v>
      </c>
      <c r="F127" s="126" t="s">
        <v>499</v>
      </c>
    </row>
    <row r="128" spans="2:6" ht="13.5">
      <c r="B128" s="126" t="s">
        <v>161</v>
      </c>
      <c r="C128" s="105" t="s">
        <v>528</v>
      </c>
      <c r="D128" s="126">
        <v>0</v>
      </c>
      <c r="E128" s="126" t="s">
        <v>225</v>
      </c>
      <c r="F128" s="126" t="s">
        <v>551</v>
      </c>
    </row>
    <row r="129" spans="2:6" ht="13.5">
      <c r="B129" s="126" t="s">
        <v>161</v>
      </c>
      <c r="C129" s="105" t="s">
        <v>552</v>
      </c>
      <c r="D129" s="126">
        <v>1</v>
      </c>
      <c r="E129" s="126" t="s">
        <v>226</v>
      </c>
      <c r="F129" s="126" t="s">
        <v>553</v>
      </c>
    </row>
    <row r="130" spans="2:6" ht="13.5">
      <c r="B130" s="126" t="s">
        <v>162</v>
      </c>
      <c r="C130" s="105" t="s">
        <v>465</v>
      </c>
      <c r="D130" s="126">
        <v>0</v>
      </c>
      <c r="E130" s="105" t="s">
        <v>554</v>
      </c>
      <c r="F130" s="126" t="s">
        <v>555</v>
      </c>
    </row>
    <row r="131" spans="2:6" ht="13.5">
      <c r="B131" s="126" t="s">
        <v>162</v>
      </c>
      <c r="C131" s="105" t="s">
        <v>556</v>
      </c>
      <c r="D131" s="126">
        <v>1</v>
      </c>
      <c r="E131" s="126" t="s">
        <v>227</v>
      </c>
      <c r="F131" s="126" t="s">
        <v>557</v>
      </c>
    </row>
    <row r="132" spans="2:6" ht="13.5">
      <c r="B132" s="126" t="s">
        <v>163</v>
      </c>
      <c r="C132" s="126" t="s">
        <v>228</v>
      </c>
      <c r="D132" s="126">
        <v>0</v>
      </c>
      <c r="E132" s="105" t="s">
        <v>11</v>
      </c>
      <c r="F132" s="126" t="s">
        <v>558</v>
      </c>
    </row>
    <row r="133" spans="2:6" ht="13.5">
      <c r="B133" s="126" t="s">
        <v>163</v>
      </c>
      <c r="C133" s="126" t="s">
        <v>229</v>
      </c>
      <c r="D133" s="126">
        <v>1</v>
      </c>
      <c r="E133" s="105" t="s">
        <v>559</v>
      </c>
      <c r="F133" s="126" t="s">
        <v>510</v>
      </c>
    </row>
    <row r="134" spans="2:6" ht="13.5">
      <c r="B134" s="126" t="s">
        <v>163</v>
      </c>
      <c r="C134" s="126" t="s">
        <v>230</v>
      </c>
      <c r="D134" s="126">
        <v>2</v>
      </c>
      <c r="E134" s="105" t="s">
        <v>560</v>
      </c>
      <c r="F134" s="126" t="s">
        <v>505</v>
      </c>
    </row>
    <row r="135" spans="2:6" ht="13.5">
      <c r="B135" s="126" t="s">
        <v>164</v>
      </c>
      <c r="C135" s="182" t="s">
        <v>561</v>
      </c>
      <c r="D135" s="126">
        <v>0</v>
      </c>
      <c r="E135" s="105" t="s">
        <v>562</v>
      </c>
      <c r="F135" s="126" t="s">
        <v>231</v>
      </c>
    </row>
    <row r="136" spans="2:6" ht="13.5">
      <c r="B136" s="126" t="s">
        <v>164</v>
      </c>
      <c r="C136" s="182" t="s">
        <v>563</v>
      </c>
      <c r="D136" s="126">
        <v>1</v>
      </c>
      <c r="E136" s="126" t="s">
        <v>232</v>
      </c>
      <c r="F136" s="126" t="s">
        <v>232</v>
      </c>
    </row>
    <row r="137" spans="2:6" ht="13.5">
      <c r="B137" s="126" t="s">
        <v>164</v>
      </c>
      <c r="C137" s="182" t="s">
        <v>564</v>
      </c>
      <c r="D137" s="126">
        <v>2</v>
      </c>
      <c r="E137" s="126" t="s">
        <v>233</v>
      </c>
      <c r="F137" s="126" t="s">
        <v>233</v>
      </c>
    </row>
    <row r="138" spans="2:6" ht="13.5">
      <c r="B138" s="126" t="s">
        <v>164</v>
      </c>
      <c r="C138" s="182" t="s">
        <v>565</v>
      </c>
      <c r="D138" s="126">
        <v>3</v>
      </c>
      <c r="E138" s="126" t="s">
        <v>234</v>
      </c>
      <c r="F138" s="126" t="s">
        <v>234</v>
      </c>
    </row>
    <row r="139" spans="2:6" ht="13.5">
      <c r="B139" s="126" t="s">
        <v>164</v>
      </c>
      <c r="C139" s="182" t="s">
        <v>566</v>
      </c>
      <c r="D139" s="126">
        <v>4</v>
      </c>
      <c r="E139" s="126" t="s">
        <v>235</v>
      </c>
      <c r="F139" s="126" t="s">
        <v>235</v>
      </c>
    </row>
    <row r="140" spans="2:6" ht="13.5">
      <c r="B140" s="126" t="s">
        <v>164</v>
      </c>
      <c r="C140" s="182" t="s">
        <v>567</v>
      </c>
      <c r="D140" s="126">
        <v>5</v>
      </c>
      <c r="E140" s="126" t="s">
        <v>236</v>
      </c>
      <c r="F140" s="126" t="s">
        <v>236</v>
      </c>
    </row>
    <row r="141" spans="2:6" ht="13.5">
      <c r="B141" s="126" t="s">
        <v>164</v>
      </c>
      <c r="C141" s="182" t="s">
        <v>568</v>
      </c>
      <c r="D141" s="126">
        <v>6</v>
      </c>
      <c r="E141" s="126" t="s">
        <v>237</v>
      </c>
      <c r="F141" s="126" t="s">
        <v>237</v>
      </c>
    </row>
    <row r="142" spans="2:6" ht="13.5">
      <c r="B142" s="126" t="s">
        <v>165</v>
      </c>
      <c r="C142" s="105" t="s">
        <v>569</v>
      </c>
      <c r="D142" s="126">
        <v>0</v>
      </c>
      <c r="E142" s="126" t="s">
        <v>238</v>
      </c>
      <c r="F142" s="126" t="s">
        <v>238</v>
      </c>
    </row>
    <row r="143" spans="2:6" ht="13.5">
      <c r="B143" s="126" t="s">
        <v>165</v>
      </c>
      <c r="C143" s="105" t="s">
        <v>528</v>
      </c>
      <c r="D143" s="126">
        <v>1</v>
      </c>
      <c r="E143" s="126" t="s">
        <v>239</v>
      </c>
      <c r="F143" s="126" t="s">
        <v>239</v>
      </c>
    </row>
    <row r="144" spans="2:6" ht="13.5">
      <c r="B144" s="126" t="s">
        <v>166</v>
      </c>
      <c r="C144" s="105" t="s">
        <v>570</v>
      </c>
      <c r="D144" s="126">
        <v>0</v>
      </c>
      <c r="E144" s="126" t="s">
        <v>240</v>
      </c>
      <c r="F144" s="126" t="s">
        <v>571</v>
      </c>
    </row>
    <row r="145" spans="2:6" ht="13.5">
      <c r="B145" s="126" t="s">
        <v>166</v>
      </c>
      <c r="C145" s="105" t="s">
        <v>572</v>
      </c>
      <c r="D145" s="126">
        <v>1</v>
      </c>
      <c r="E145" s="126" t="s">
        <v>241</v>
      </c>
      <c r="F145" s="126" t="s">
        <v>573</v>
      </c>
    </row>
    <row r="146" spans="2:6" ht="13.5">
      <c r="B146" s="126" t="s">
        <v>167</v>
      </c>
      <c r="C146" s="105" t="s">
        <v>574</v>
      </c>
      <c r="D146" s="126">
        <v>0</v>
      </c>
      <c r="E146" s="126" t="s">
        <v>242</v>
      </c>
      <c r="F146" s="126" t="s">
        <v>575</v>
      </c>
    </row>
    <row r="147" spans="2:6" ht="13.5">
      <c r="B147" s="126" t="s">
        <v>167</v>
      </c>
      <c r="C147" s="105" t="s">
        <v>576</v>
      </c>
      <c r="D147" s="126">
        <v>1</v>
      </c>
      <c r="E147" s="126" t="s">
        <v>243</v>
      </c>
      <c r="F147" s="126" t="s">
        <v>577</v>
      </c>
    </row>
    <row r="148" spans="2:6" ht="13.5">
      <c r="B148" s="126" t="s">
        <v>168</v>
      </c>
      <c r="C148" s="105" t="s">
        <v>578</v>
      </c>
      <c r="D148" s="126">
        <v>0</v>
      </c>
      <c r="E148" s="126" t="s">
        <v>244</v>
      </c>
      <c r="F148" s="126" t="s">
        <v>579</v>
      </c>
    </row>
    <row r="149" spans="2:6" ht="13.5">
      <c r="B149" s="126" t="s">
        <v>168</v>
      </c>
      <c r="C149" s="105" t="s">
        <v>580</v>
      </c>
      <c r="D149" s="126">
        <v>1</v>
      </c>
      <c r="E149" s="126" t="s">
        <v>245</v>
      </c>
      <c r="F149" s="126" t="s">
        <v>581</v>
      </c>
    </row>
    <row r="150" spans="2:6" ht="13.5">
      <c r="B150" s="126" t="s">
        <v>169</v>
      </c>
      <c r="C150" s="105" t="s">
        <v>582</v>
      </c>
      <c r="D150" s="126">
        <v>0</v>
      </c>
      <c r="E150" s="126" t="s">
        <v>246</v>
      </c>
      <c r="F150" s="126" t="s">
        <v>246</v>
      </c>
    </row>
    <row r="151" spans="2:6" ht="13.5">
      <c r="B151" s="126" t="s">
        <v>169</v>
      </c>
      <c r="C151" s="105" t="s">
        <v>583</v>
      </c>
      <c r="D151" s="126">
        <v>1</v>
      </c>
      <c r="E151" s="126" t="s">
        <v>247</v>
      </c>
      <c r="F151" s="126" t="s">
        <v>247</v>
      </c>
    </row>
    <row r="152" spans="2:6" ht="13.5">
      <c r="B152" s="126" t="s">
        <v>169</v>
      </c>
      <c r="C152" s="105" t="s">
        <v>584</v>
      </c>
      <c r="D152" s="126">
        <v>2</v>
      </c>
      <c r="E152" s="126" t="s">
        <v>248</v>
      </c>
      <c r="F152" s="126" t="s">
        <v>248</v>
      </c>
    </row>
    <row r="153" spans="2:6" ht="13.5">
      <c r="B153" s="126" t="s">
        <v>169</v>
      </c>
      <c r="C153" s="105" t="s">
        <v>585</v>
      </c>
      <c r="D153" s="126">
        <v>3</v>
      </c>
      <c r="E153" s="126" t="s">
        <v>249</v>
      </c>
      <c r="F153" s="126" t="s">
        <v>249</v>
      </c>
    </row>
    <row r="154" spans="2:6" ht="13.5">
      <c r="B154" s="126" t="s">
        <v>169</v>
      </c>
      <c r="C154" s="105" t="s">
        <v>586</v>
      </c>
      <c r="D154" s="126">
        <v>4</v>
      </c>
      <c r="E154" s="126" t="s">
        <v>250</v>
      </c>
      <c r="F154" s="126" t="s">
        <v>250</v>
      </c>
    </row>
    <row r="155" spans="2:6" ht="13.5">
      <c r="B155" s="126" t="s">
        <v>170</v>
      </c>
      <c r="C155" s="105" t="s">
        <v>587</v>
      </c>
      <c r="D155" s="126">
        <v>0</v>
      </c>
      <c r="E155" s="126" t="s">
        <v>251</v>
      </c>
      <c r="F155" s="126" t="s">
        <v>251</v>
      </c>
    </row>
    <row r="156" spans="2:6" ht="13.5">
      <c r="B156" s="126" t="s">
        <v>170</v>
      </c>
      <c r="C156" s="105" t="s">
        <v>588</v>
      </c>
      <c r="D156" s="126">
        <v>1</v>
      </c>
      <c r="E156" s="126" t="s">
        <v>252</v>
      </c>
      <c r="F156" s="126" t="s">
        <v>252</v>
      </c>
    </row>
    <row r="157" spans="2:6" ht="13.5">
      <c r="B157" s="126" t="s">
        <v>170</v>
      </c>
      <c r="C157" s="105" t="s">
        <v>589</v>
      </c>
      <c r="D157" s="126">
        <v>2</v>
      </c>
      <c r="E157" s="126" t="s">
        <v>253</v>
      </c>
      <c r="F157" s="126" t="s">
        <v>253</v>
      </c>
    </row>
    <row r="158" spans="2:6" ht="13.5">
      <c r="B158" s="126" t="s">
        <v>170</v>
      </c>
      <c r="C158" s="105" t="s">
        <v>590</v>
      </c>
      <c r="D158" s="126">
        <v>3</v>
      </c>
      <c r="E158" s="126" t="s">
        <v>254</v>
      </c>
      <c r="F158" s="126" t="s">
        <v>254</v>
      </c>
    </row>
    <row r="159" spans="2:6" ht="13.5">
      <c r="B159" s="126" t="s">
        <v>170</v>
      </c>
      <c r="C159" s="105" t="s">
        <v>591</v>
      </c>
      <c r="D159" s="126">
        <v>4</v>
      </c>
      <c r="E159" s="126" t="s">
        <v>255</v>
      </c>
      <c r="F159" s="126" t="s">
        <v>255</v>
      </c>
    </row>
    <row r="160" spans="2:6" ht="13.5">
      <c r="B160" s="126" t="s">
        <v>170</v>
      </c>
      <c r="C160" s="105" t="s">
        <v>592</v>
      </c>
      <c r="D160" s="126">
        <v>5</v>
      </c>
      <c r="E160" s="126" t="s">
        <v>256</v>
      </c>
      <c r="F160" s="126" t="s">
        <v>256</v>
      </c>
    </row>
    <row r="161" spans="2:6" ht="13.5">
      <c r="B161" s="126" t="s">
        <v>170</v>
      </c>
      <c r="C161" s="105" t="s">
        <v>593</v>
      </c>
      <c r="D161" s="126">
        <v>6</v>
      </c>
      <c r="E161" s="126" t="s">
        <v>257</v>
      </c>
      <c r="F161" s="126" t="s">
        <v>257</v>
      </c>
    </row>
    <row r="162" spans="2:6" ht="13.5">
      <c r="B162" s="126" t="s">
        <v>98</v>
      </c>
      <c r="C162" s="105" t="s">
        <v>594</v>
      </c>
      <c r="D162" s="126">
        <v>0</v>
      </c>
      <c r="E162" s="126" t="s">
        <v>132</v>
      </c>
      <c r="F162" s="126" t="s">
        <v>595</v>
      </c>
    </row>
    <row r="163" spans="2:6" ht="13.5">
      <c r="B163" s="126" t="s">
        <v>98</v>
      </c>
      <c r="C163" s="105" t="s">
        <v>596</v>
      </c>
      <c r="D163" s="126">
        <v>0</v>
      </c>
      <c r="E163" s="126" t="s">
        <v>133</v>
      </c>
      <c r="F163" s="126" t="s">
        <v>597</v>
      </c>
    </row>
    <row r="164" spans="2:6" ht="13.5">
      <c r="B164" s="126" t="s">
        <v>98</v>
      </c>
      <c r="C164" s="105" t="s">
        <v>598</v>
      </c>
      <c r="D164" s="126">
        <v>1</v>
      </c>
      <c r="E164" s="126" t="s">
        <v>134</v>
      </c>
      <c r="F164" s="126" t="s">
        <v>599</v>
      </c>
    </row>
    <row r="165" spans="2:6" ht="13.5">
      <c r="B165" s="126" t="s">
        <v>98</v>
      </c>
      <c r="C165" s="105" t="s">
        <v>600</v>
      </c>
      <c r="D165" s="126">
        <v>2</v>
      </c>
      <c r="E165" s="126" t="s">
        <v>135</v>
      </c>
      <c r="F165" s="126" t="s">
        <v>601</v>
      </c>
    </row>
    <row r="166" spans="2:6" ht="13.5">
      <c r="B166" s="126" t="s">
        <v>98</v>
      </c>
      <c r="C166" s="105" t="s">
        <v>602</v>
      </c>
      <c r="D166" s="126">
        <v>3</v>
      </c>
      <c r="E166" s="126" t="s">
        <v>136</v>
      </c>
      <c r="F166" s="126" t="s">
        <v>603</v>
      </c>
    </row>
    <row r="167" spans="2:6" ht="13.5">
      <c r="B167" s="126" t="s">
        <v>98</v>
      </c>
      <c r="C167" s="105" t="s">
        <v>604</v>
      </c>
      <c r="D167" s="126">
        <v>4</v>
      </c>
      <c r="E167" s="126" t="s">
        <v>137</v>
      </c>
      <c r="F167" s="126" t="s">
        <v>605</v>
      </c>
    </row>
    <row r="168" spans="2:6" ht="13.5">
      <c r="B168" s="126" t="s">
        <v>98</v>
      </c>
      <c r="C168" s="105" t="s">
        <v>606</v>
      </c>
      <c r="D168" s="126">
        <v>5</v>
      </c>
      <c r="E168" s="126" t="s">
        <v>138</v>
      </c>
      <c r="F168" s="126" t="s">
        <v>607</v>
      </c>
    </row>
    <row r="169" spans="2:6" ht="13.5">
      <c r="B169" s="126" t="s">
        <v>98</v>
      </c>
      <c r="C169" s="105" t="s">
        <v>608</v>
      </c>
      <c r="D169" s="126">
        <v>6</v>
      </c>
      <c r="E169" s="126" t="s">
        <v>139</v>
      </c>
      <c r="F169" s="126" t="s">
        <v>609</v>
      </c>
    </row>
    <row r="170" spans="2:6" ht="13.5">
      <c r="B170" s="126" t="s">
        <v>98</v>
      </c>
      <c r="C170" s="105" t="s">
        <v>610</v>
      </c>
      <c r="D170" s="126">
        <v>7</v>
      </c>
      <c r="E170" s="126" t="s">
        <v>140</v>
      </c>
      <c r="F170" s="126" t="s">
        <v>611</v>
      </c>
    </row>
    <row r="171" spans="2:6" ht="13.5">
      <c r="B171" s="181" t="s">
        <v>141</v>
      </c>
      <c r="C171" s="105" t="s">
        <v>527</v>
      </c>
      <c r="D171" s="183">
        <v>0</v>
      </c>
      <c r="E171" s="180" t="b">
        <v>0</v>
      </c>
      <c r="F171" s="126" t="s">
        <v>612</v>
      </c>
    </row>
    <row r="172" spans="2:6" ht="13.5">
      <c r="B172" s="181" t="s">
        <v>141</v>
      </c>
      <c r="C172" s="105" t="s">
        <v>613</v>
      </c>
      <c r="D172" s="183">
        <v>1</v>
      </c>
      <c r="E172" s="180" t="b">
        <v>1</v>
      </c>
      <c r="F172" s="126" t="s">
        <v>614</v>
      </c>
    </row>
  </sheetData>
  <dataConsolidate/>
  <phoneticPr fontId="1" type="noConversion"/>
  <conditionalFormatting sqref="B122:B123 E132:E135">
    <cfRule type="expression" dxfId="29" priority="29">
      <formula>$K122="GROUP"</formula>
    </cfRule>
  </conditionalFormatting>
  <conditionalFormatting sqref="B124:B125">
    <cfRule type="expression" dxfId="28" priority="28">
      <formula>$K124="GROUP"</formula>
    </cfRule>
  </conditionalFormatting>
  <conditionalFormatting sqref="B126:B127">
    <cfRule type="expression" dxfId="27" priority="27">
      <formula>$K126="GROUP"</formula>
    </cfRule>
  </conditionalFormatting>
  <conditionalFormatting sqref="B128:B129">
    <cfRule type="expression" dxfId="26" priority="26">
      <formula>$K128="GROUP"</formula>
    </cfRule>
  </conditionalFormatting>
  <conditionalFormatting sqref="B130:B131">
    <cfRule type="expression" dxfId="25" priority="25">
      <formula>$K130="GROUP"</formula>
    </cfRule>
  </conditionalFormatting>
  <conditionalFormatting sqref="B132:B134">
    <cfRule type="expression" dxfId="24" priority="24">
      <formula>$K132="GROUP"</formula>
    </cfRule>
  </conditionalFormatting>
  <conditionalFormatting sqref="C6:C72">
    <cfRule type="expression" dxfId="23" priority="23">
      <formula>$K6="GROUP"</formula>
    </cfRule>
  </conditionalFormatting>
  <conditionalFormatting sqref="B73:B91">
    <cfRule type="expression" dxfId="22" priority="22">
      <formula>$K73="GROUP"</formula>
    </cfRule>
  </conditionalFormatting>
  <conditionalFormatting sqref="C73:C80">
    <cfRule type="expression" dxfId="21" priority="21">
      <formula>$K73="GROUP"</formula>
    </cfRule>
  </conditionalFormatting>
  <conditionalFormatting sqref="C92">
    <cfRule type="expression" dxfId="20" priority="20">
      <formula>$K92="GROUP"</formula>
    </cfRule>
  </conditionalFormatting>
  <conditionalFormatting sqref="C93:C97">
    <cfRule type="expression" dxfId="19" priority="19">
      <formula>$K93="GROUP"</formula>
    </cfRule>
  </conditionalFormatting>
  <conditionalFormatting sqref="C98:C105">
    <cfRule type="expression" dxfId="18" priority="18">
      <formula>$K98="GROUP"</formula>
    </cfRule>
  </conditionalFormatting>
  <conditionalFormatting sqref="C110:C116">
    <cfRule type="expression" dxfId="17" priority="17">
      <formula>$K110="GROUP"</formula>
    </cfRule>
  </conditionalFormatting>
  <conditionalFormatting sqref="C117:C121">
    <cfRule type="expression" dxfId="16" priority="16">
      <formula>$K117="GROUP"</formula>
    </cfRule>
  </conditionalFormatting>
  <conditionalFormatting sqref="C124:C125">
    <cfRule type="expression" dxfId="15" priority="15">
      <formula>$K124="GROUP"</formula>
    </cfRule>
  </conditionalFormatting>
  <conditionalFormatting sqref="C126:C127">
    <cfRule type="expression" dxfId="14" priority="14">
      <formula>$K126="GROUP"</formula>
    </cfRule>
  </conditionalFormatting>
  <conditionalFormatting sqref="C128:C129">
    <cfRule type="expression" dxfId="13" priority="13">
      <formula>$K128="GROUP"</formula>
    </cfRule>
  </conditionalFormatting>
  <conditionalFormatting sqref="C130:C131">
    <cfRule type="expression" dxfId="12" priority="12">
      <formula>$K130="GROUP"</formula>
    </cfRule>
  </conditionalFormatting>
  <conditionalFormatting sqref="C142:C143">
    <cfRule type="expression" dxfId="11" priority="11">
      <formula>$K142="GROUP"</formula>
    </cfRule>
  </conditionalFormatting>
  <conditionalFormatting sqref="C144:C145">
    <cfRule type="expression" dxfId="10" priority="10">
      <formula>$K144="GROUP"</formula>
    </cfRule>
  </conditionalFormatting>
  <conditionalFormatting sqref="C146:C147">
    <cfRule type="expression" dxfId="9" priority="9">
      <formula>$K146="GROUP"</formula>
    </cfRule>
  </conditionalFormatting>
  <conditionalFormatting sqref="C148:C149">
    <cfRule type="expression" dxfId="8" priority="8">
      <formula>$K148="GROUP"</formula>
    </cfRule>
  </conditionalFormatting>
  <conditionalFormatting sqref="C150:C154">
    <cfRule type="expression" dxfId="7" priority="7">
      <formula>$K150="GROUP"</formula>
    </cfRule>
  </conditionalFormatting>
  <conditionalFormatting sqref="C155:C161">
    <cfRule type="expression" dxfId="6" priority="6">
      <formula>$K155="GROUP"</formula>
    </cfRule>
  </conditionalFormatting>
  <conditionalFormatting sqref="C162:C170">
    <cfRule type="expression" dxfId="5" priority="5">
      <formula>$K162="GROUP"</formula>
    </cfRule>
  </conditionalFormatting>
  <conditionalFormatting sqref="C171:C172">
    <cfRule type="expression" dxfId="4" priority="4">
      <formula>$K171="GROUP"</formula>
    </cfRule>
  </conditionalFormatting>
  <conditionalFormatting sqref="E117:E121">
    <cfRule type="expression" dxfId="3" priority="3">
      <formula>$K117="GROUP"</formula>
    </cfRule>
  </conditionalFormatting>
  <conditionalFormatting sqref="C135:C141">
    <cfRule type="expression" dxfId="2" priority="1">
      <formula>$K135="GROUP"</formula>
    </cfRule>
  </conditionalFormatting>
  <conditionalFormatting sqref="C135:C141">
    <cfRule type="expression" dxfId="1" priority="2">
      <formula>$K135="GROUP"</formula>
    </cfRule>
  </conditionalFormatting>
  <conditionalFormatting sqref="E130">
    <cfRule type="expression" dxfId="0" priority="30">
      <formula>$K131="GROUP"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5</vt:i4>
      </vt:variant>
    </vt:vector>
  </HeadingPairs>
  <TitlesOfParts>
    <vt:vector size="5" baseType="lpstr">
      <vt:lpstr>Trade</vt:lpstr>
      <vt:lpstr>Result</vt:lpstr>
      <vt:lpstr>Verify</vt:lpstr>
      <vt:lpstr>Doc</vt:lpstr>
      <vt:lpstr>ConvData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junghwan Park</dc:creator>
  <cp:lastModifiedBy>icis</cp:lastModifiedBy>
  <cp:lastPrinted>2025-06-16T08:26:39Z</cp:lastPrinted>
  <dcterms:created xsi:type="dcterms:W3CDTF">2025-03-04T05:07:27Z</dcterms:created>
  <dcterms:modified xsi:type="dcterms:W3CDTF">2025-07-29T13:11:51Z</dcterms:modified>
</cp:coreProperties>
</file>