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ueen\Desktop\Dev\Storage\pricingmodule\docs\Verify\"/>
    </mc:Choice>
  </mc:AlternateContent>
  <xr:revisionPtr revIDLastSave="0" documentId="13_ncr:1_{4D13AEC4-F2DB-489B-918D-F564BC7F2465}" xr6:coauthVersionLast="47" xr6:coauthVersionMax="47" xr10:uidLastSave="{00000000-0000-0000-0000-000000000000}"/>
  <bookViews>
    <workbookView xWindow="-108" yWindow="-108" windowWidth="30936" windowHeight="16776" activeTab="2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_xlpm.e" hidden="1" xlm="1">#NAME?</definedName>
    <definedName name="_xlpm.s" hidden="1" xlm="1">#NAME?</definedName>
    <definedName name="_xlpm.y0" hidden="1" xlm="1">#NAME?</definedName>
    <definedName name="solver_adj" localSheetId="2" hidden="1">Verify!$K$20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Verify!$J$23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1" i="22" l="1"/>
  <c r="K9" i="22"/>
  <c r="C11" i="22"/>
  <c r="B2" i="23"/>
  <c r="K26" i="21"/>
  <c r="T5" i="21"/>
  <c r="Q5" i="21"/>
  <c r="N5" i="21"/>
  <c r="K5" i="21"/>
  <c r="C5" i="23"/>
  <c r="J5" i="23"/>
  <c r="M5" i="23"/>
  <c r="S5" i="23"/>
  <c r="T7" i="23" s="1"/>
  <c r="J22" i="23"/>
  <c r="M22" i="23"/>
  <c r="C15" i="22" l="1"/>
  <c r="J13" i="22" s="1"/>
  <c r="K13" i="22" s="1"/>
  <c r="K4" i="22"/>
  <c r="V4" i="22" l="1"/>
  <c r="U4" i="22"/>
  <c r="T4" i="22"/>
  <c r="S4" i="22"/>
  <c r="R4" i="22"/>
  <c r="Q4" i="22"/>
  <c r="P4" i="22"/>
  <c r="O4" i="22"/>
  <c r="N4" i="22"/>
  <c r="M4" i="22"/>
  <c r="L4" i="22"/>
  <c r="L7" i="22" s="1"/>
  <c r="C5" i="22"/>
  <c r="J4" i="22" s="1"/>
  <c r="AA11" i="22" s="1"/>
  <c r="K5" i="22" l="1"/>
  <c r="K6" i="22" s="1"/>
  <c r="K60" i="22"/>
  <c r="L60" i="22" s="1"/>
  <c r="L62" i="22" s="1"/>
  <c r="L5" i="22"/>
  <c r="M44" i="22"/>
  <c r="I44" i="22" s="1"/>
  <c r="I51" i="22"/>
  <c r="J54" i="22"/>
  <c r="AI54" i="22"/>
  <c r="AI53" i="22"/>
  <c r="AI52" i="22"/>
  <c r="L51" i="22"/>
  <c r="AL50" i="22" s="1"/>
  <c r="AI49" i="22" l="1"/>
  <c r="AI50" i="22"/>
  <c r="AI55" i="22"/>
  <c r="AI48" i="22"/>
  <c r="AI51" i="22"/>
  <c r="AI46" i="22"/>
  <c r="AI47" i="22"/>
  <c r="AL49" i="22"/>
  <c r="AL46" i="22"/>
  <c r="AL47" i="22"/>
  <c r="AL48" i="22"/>
  <c r="I42" i="22" l="1"/>
  <c r="I41" i="22"/>
  <c r="I40" i="22"/>
  <c r="I39" i="22"/>
  <c r="J47" i="22"/>
  <c r="AD50" i="22" l="1"/>
  <c r="AF50" i="22" s="1"/>
  <c r="AD49" i="22"/>
  <c r="AF49" i="22" s="1"/>
  <c r="AD48" i="22"/>
  <c r="AF48" i="22" s="1"/>
  <c r="AD47" i="22"/>
  <c r="AF47" i="22" s="1"/>
  <c r="AD46" i="22"/>
  <c r="AF46" i="22" s="1"/>
  <c r="Z55" i="22"/>
  <c r="AB55" i="22" s="1"/>
  <c r="Z54" i="22"/>
  <c r="AB5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H49" i="25" l="1"/>
  <c r="J20" i="22"/>
  <c r="L20" i="22"/>
  <c r="M20" i="22" s="1"/>
  <c r="C14" i="22"/>
  <c r="C13" i="22"/>
  <c r="C12" i="22"/>
  <c r="C7" i="22"/>
  <c r="C6" i="22"/>
  <c r="K11" i="22" l="1"/>
  <c r="K63" i="22"/>
  <c r="J38" i="22"/>
  <c r="I38" i="22"/>
  <c r="N20" i="22"/>
  <c r="H38" i="22" l="1"/>
  <c r="L13" i="22"/>
  <c r="M13" i="22" s="1"/>
  <c r="N13" i="22" s="1"/>
  <c r="O13" i="22" s="1"/>
  <c r="P13" i="22" s="1"/>
  <c r="Q13" i="22" s="1"/>
  <c r="R13" i="22" s="1"/>
  <c r="S13" i="22" s="1"/>
  <c r="T13" i="22" s="1"/>
  <c r="U13" i="22" s="1"/>
  <c r="V13" i="22" s="1"/>
  <c r="O20" i="22"/>
  <c r="P20" i="22" l="1"/>
  <c r="Q20" i="22" s="1"/>
  <c r="R20" i="22" l="1"/>
  <c r="S20" i="22" l="1"/>
  <c r="T20" i="22" l="1"/>
  <c r="L9" i="22"/>
  <c r="T7" i="22" l="1"/>
  <c r="T9" i="22" s="1"/>
  <c r="T11" i="22" s="1"/>
  <c r="O7" i="22"/>
  <c r="O9" i="22" s="1"/>
  <c r="O11" i="22" s="1"/>
  <c r="R7" i="22"/>
  <c r="R9" i="22" s="1"/>
  <c r="R11" i="22" s="1"/>
  <c r="V7" i="22"/>
  <c r="V9" i="22" s="1"/>
  <c r="V11" i="22" s="1"/>
  <c r="S7" i="22"/>
  <c r="S9" i="22" s="1"/>
  <c r="S11" i="22" s="1"/>
  <c r="M7" i="22"/>
  <c r="M9" i="22" s="1"/>
  <c r="M11" i="22" s="1"/>
  <c r="N7" i="22"/>
  <c r="N9" i="22" s="1"/>
  <c r="N11" i="22" s="1"/>
  <c r="P7" i="22"/>
  <c r="P9" i="22" s="1"/>
  <c r="P11" i="22" s="1"/>
  <c r="Q7" i="22"/>
  <c r="Q9" i="22" s="1"/>
  <c r="Q11" i="22" s="1"/>
  <c r="U7" i="22"/>
  <c r="U9" i="22" s="1"/>
  <c r="U11" i="22" s="1"/>
  <c r="AE15" i="22"/>
  <c r="AE50" i="22" s="1"/>
  <c r="AK50" i="22" s="1"/>
  <c r="AA18" i="22"/>
  <c r="AA53" i="22" s="1"/>
  <c r="AH53" i="22" s="1"/>
  <c r="AA17" i="22"/>
  <c r="AA52" i="22" s="1"/>
  <c r="AH52" i="22" s="1"/>
  <c r="AA16" i="22"/>
  <c r="AA51" i="22" s="1"/>
  <c r="AH51" i="22" s="1"/>
  <c r="AA15" i="22"/>
  <c r="AA50" i="22" s="1"/>
  <c r="AH50" i="22" s="1"/>
  <c r="AA14" i="22"/>
  <c r="AA49" i="22" s="1"/>
  <c r="AH49" i="22" s="1"/>
  <c r="AE14" i="22"/>
  <c r="AE49" i="22" s="1"/>
  <c r="AK49" i="22" s="1"/>
  <c r="AE13" i="22"/>
  <c r="AE48" i="22" s="1"/>
  <c r="AK48" i="22" s="1"/>
  <c r="AE12" i="22"/>
  <c r="AE47" i="22" s="1"/>
  <c r="AK47" i="22" s="1"/>
  <c r="AE11" i="22"/>
  <c r="AE46" i="22" s="1"/>
  <c r="AK46" i="22" s="1"/>
  <c r="AA20" i="22"/>
  <c r="AA55" i="22" s="1"/>
  <c r="AH55" i="22" s="1"/>
  <c r="AA19" i="22"/>
  <c r="AA54" i="22" s="1"/>
  <c r="AH54" i="22" s="1"/>
  <c r="AA13" i="22"/>
  <c r="AA48" i="22" s="1"/>
  <c r="AH48" i="22" s="1"/>
  <c r="AA12" i="22"/>
  <c r="AA47" i="22" s="1"/>
  <c r="AH47" i="22" s="1"/>
  <c r="U20" i="22"/>
  <c r="J5" i="22"/>
  <c r="J18" i="22" s="1"/>
  <c r="Q5" i="22"/>
  <c r="R5" i="22"/>
  <c r="N5" i="22"/>
  <c r="O5" i="22"/>
  <c r="P5" i="22"/>
  <c r="S5" i="22"/>
  <c r="L11" i="22"/>
  <c r="T5" i="22"/>
  <c r="M5" i="22"/>
  <c r="U5" i="22"/>
  <c r="V5" i="22"/>
  <c r="O12" i="22" a="1"/>
  <c r="Q12" i="22" a="1"/>
  <c r="T12" i="22" a="1"/>
  <c r="N12" i="22" a="1"/>
  <c r="S12" i="22" a="1"/>
  <c r="M12" i="22" a="1"/>
  <c r="V12" i="22" a="1"/>
  <c r="K12" i="22" a="1"/>
  <c r="U12" i="22" a="1"/>
  <c r="L12" i="22" a="1"/>
  <c r="P12" i="22" a="1"/>
  <c r="R12" i="22" a="1"/>
  <c r="K12" i="22" l="1"/>
  <c r="K14" i="22" s="1"/>
  <c r="T6" i="22"/>
  <c r="R6" i="22"/>
  <c r="M6" i="22"/>
  <c r="L6" i="22"/>
  <c r="S6" i="22"/>
  <c r="P6" i="22"/>
  <c r="O6" i="22"/>
  <c r="N6" i="22"/>
  <c r="Q6" i="22"/>
  <c r="V6" i="22"/>
  <c r="U6" i="22"/>
  <c r="U26" i="22" s="1"/>
  <c r="V12" i="22"/>
  <c r="V14" i="22" s="1"/>
  <c r="U12" i="22"/>
  <c r="U14" i="22" s="1"/>
  <c r="T12" i="22"/>
  <c r="T14" i="22" s="1"/>
  <c r="M12" i="22"/>
  <c r="M14" i="22" s="1"/>
  <c r="M15" i="22" s="1"/>
  <c r="M16" i="22" s="1"/>
  <c r="P12" i="22"/>
  <c r="P14" i="22" s="1"/>
  <c r="S12" i="22"/>
  <c r="S14" i="22" s="1"/>
  <c r="R12" i="22"/>
  <c r="R14" i="22" s="1"/>
  <c r="Q12" i="22"/>
  <c r="Q14" i="22" s="1"/>
  <c r="O12" i="22"/>
  <c r="O14" i="22" s="1"/>
  <c r="N12" i="22"/>
  <c r="N14" i="22" s="1"/>
  <c r="L12" i="22"/>
  <c r="L14" i="22" s="1"/>
  <c r="AA46" i="22"/>
  <c r="V20" i="22"/>
  <c r="J11" i="22"/>
  <c r="V45" i="22" a="1"/>
  <c r="U45" i="22" a="1"/>
  <c r="L45" i="22" a="1"/>
  <c r="S45" i="22" a="1"/>
  <c r="P45" i="22" a="1"/>
  <c r="N45" i="22" a="1"/>
  <c r="Q45" i="22" a="1"/>
  <c r="K45" i="22" a="1"/>
  <c r="M45" i="22" a="1"/>
  <c r="R45" i="22" a="1"/>
  <c r="O45" i="22" a="1"/>
  <c r="T45" i="22" a="1"/>
  <c r="T15" i="22" l="1"/>
  <c r="T16" i="22" s="1"/>
  <c r="U15" i="22"/>
  <c r="U16" i="22" s="1"/>
  <c r="S15" i="22"/>
  <c r="S16" i="22" s="1"/>
  <c r="L15" i="22"/>
  <c r="L16" i="22" s="1"/>
  <c r="V15" i="22"/>
  <c r="V16" i="22" s="1"/>
  <c r="K15" i="22"/>
  <c r="K16" i="22" s="1"/>
  <c r="K45" i="22"/>
  <c r="K46" i="22" s="1"/>
  <c r="K47" i="22" s="1"/>
  <c r="K48" i="22" s="1"/>
  <c r="AH46" i="22"/>
  <c r="O15" i="22"/>
  <c r="O16" i="22" s="1"/>
  <c r="N15" i="22"/>
  <c r="N16" i="22" s="1"/>
  <c r="Q15" i="22"/>
  <c r="Q16" i="22" s="1"/>
  <c r="R15" i="22"/>
  <c r="R16" i="22" s="1"/>
  <c r="P15" i="22"/>
  <c r="P16" i="22" s="1"/>
  <c r="U45" i="22"/>
  <c r="U46" i="22" s="1"/>
  <c r="R45" i="22"/>
  <c r="R46" i="22" s="1"/>
  <c r="N45" i="22"/>
  <c r="N46" i="22" s="1"/>
  <c r="V45" i="22"/>
  <c r="V46" i="22" s="1"/>
  <c r="T45" i="22"/>
  <c r="T46" i="22" s="1"/>
  <c r="S45" i="22"/>
  <c r="S46" i="22" s="1"/>
  <c r="Q45" i="22"/>
  <c r="Q46" i="22" s="1"/>
  <c r="P45" i="22"/>
  <c r="P46" i="22" s="1"/>
  <c r="O45" i="22"/>
  <c r="O46" i="22" s="1"/>
  <c r="M45" i="22"/>
  <c r="M46" i="22" s="1"/>
  <c r="L45" i="22"/>
  <c r="L46" i="22" s="1"/>
  <c r="M32" i="22"/>
  <c r="M33" i="22" s="1"/>
  <c r="M34" i="22" s="1"/>
  <c r="V32" i="22"/>
  <c r="V33" i="22" s="1"/>
  <c r="V34" i="22" s="1"/>
  <c r="R32" i="22"/>
  <c r="R33" i="22" s="1"/>
  <c r="R34" i="22" s="1"/>
  <c r="N32" i="22"/>
  <c r="N33" i="22" s="1"/>
  <c r="N34" i="22" s="1"/>
  <c r="Q32" i="22"/>
  <c r="Q33" i="22" s="1"/>
  <c r="Q34" i="22" s="1"/>
  <c r="O32" i="22"/>
  <c r="O33" i="22" s="1"/>
  <c r="O34" i="22" s="1"/>
  <c r="P32" i="22"/>
  <c r="P33" i="22" s="1"/>
  <c r="P34" i="22" s="1"/>
  <c r="S32" i="22"/>
  <c r="S33" i="22" s="1"/>
  <c r="S34" i="22" s="1"/>
  <c r="T32" i="22"/>
  <c r="T33" i="22" s="1"/>
  <c r="T34" i="22" s="1"/>
  <c r="L32" i="22"/>
  <c r="L33" i="22" s="1"/>
  <c r="L34" i="22" s="1"/>
  <c r="U32" i="22"/>
  <c r="U33" i="22" s="1"/>
  <c r="U34" i="22" s="1"/>
  <c r="M21" i="22"/>
  <c r="M22" i="22" s="1"/>
  <c r="M26" i="22"/>
  <c r="M27" i="22" s="1"/>
  <c r="K32" i="22"/>
  <c r="K33" i="22" s="1"/>
  <c r="K34" i="22" s="1"/>
  <c r="K26" i="22"/>
  <c r="K27" i="22" s="1"/>
  <c r="K21" i="22"/>
  <c r="K29" i="22" s="1"/>
  <c r="R21" i="22"/>
  <c r="R22" i="22" s="1"/>
  <c r="R26" i="22"/>
  <c r="R27" i="22" s="1"/>
  <c r="N21" i="22"/>
  <c r="N22" i="22" s="1"/>
  <c r="N26" i="22"/>
  <c r="N27" i="22" s="1"/>
  <c r="Q21" i="22"/>
  <c r="Q22" i="22" s="1"/>
  <c r="Q26" i="22"/>
  <c r="Q27" i="22" s="1"/>
  <c r="O21" i="22"/>
  <c r="O22" i="22" s="1"/>
  <c r="O26" i="22"/>
  <c r="O27" i="22" s="1"/>
  <c r="P21" i="22"/>
  <c r="P22" i="22" s="1"/>
  <c r="P26" i="22"/>
  <c r="P27" i="22" s="1"/>
  <c r="T21" i="22"/>
  <c r="T22" i="22" s="1"/>
  <c r="T26" i="22"/>
  <c r="T27" i="22" s="1"/>
  <c r="L21" i="22"/>
  <c r="L22" i="22" s="1"/>
  <c r="L26" i="22"/>
  <c r="L27" i="22" s="1"/>
  <c r="U21" i="22"/>
  <c r="U22" i="22" s="1"/>
  <c r="U27" i="22"/>
  <c r="V26" i="22"/>
  <c r="V27" i="22" s="1"/>
  <c r="S21" i="22"/>
  <c r="S22" i="22" s="1"/>
  <c r="S26" i="22"/>
  <c r="S27" i="22" s="1"/>
  <c r="V21" i="22"/>
  <c r="V22" i="22" s="1"/>
  <c r="L52" i="22" a="1"/>
  <c r="Q52" i="22" a="1"/>
  <c r="T52" i="22" a="1"/>
  <c r="R52" i="22" a="1"/>
  <c r="M52" i="22" a="1"/>
  <c r="K52" i="22" a="1"/>
  <c r="N52" i="22" a="1"/>
  <c r="S52" i="22" a="1"/>
  <c r="O52" i="22" a="1"/>
  <c r="U52" i="22" a="1"/>
  <c r="V52" i="22" a="1"/>
  <c r="P52" i="22" a="1"/>
  <c r="U52" i="22" l="1"/>
  <c r="U53" i="22" s="1"/>
  <c r="U54" i="22" s="1"/>
  <c r="U55" i="22" s="1"/>
  <c r="V52" i="22"/>
  <c r="V53" i="22" s="1"/>
  <c r="V54" i="22" s="1"/>
  <c r="V55" i="22" s="1"/>
  <c r="K52" i="22"/>
  <c r="K53" i="22" s="1"/>
  <c r="K54" i="22" s="1"/>
  <c r="K55" i="22" s="1"/>
  <c r="Q52" i="22"/>
  <c r="Q53" i="22" s="1"/>
  <c r="Q54" i="22" s="1"/>
  <c r="Q55" i="22" s="1"/>
  <c r="N52" i="22"/>
  <c r="N53" i="22" s="1"/>
  <c r="N54" i="22" s="1"/>
  <c r="N55" i="22" s="1"/>
  <c r="O52" i="22"/>
  <c r="O53" i="22" s="1"/>
  <c r="O54" i="22" s="1"/>
  <c r="O55" i="22" s="1"/>
  <c r="P52" i="22"/>
  <c r="P53" i="22" s="1"/>
  <c r="P54" i="22" s="1"/>
  <c r="P55" i="22" s="1"/>
  <c r="S52" i="22"/>
  <c r="S53" i="22" s="1"/>
  <c r="S54" i="22" s="1"/>
  <c r="S55" i="22" s="1"/>
  <c r="L52" i="22"/>
  <c r="L53" i="22" s="1"/>
  <c r="L54" i="22" s="1"/>
  <c r="L55" i="22" s="1"/>
  <c r="M52" i="22"/>
  <c r="M53" i="22" s="1"/>
  <c r="M54" i="22" s="1"/>
  <c r="M55" i="22" s="1"/>
  <c r="R52" i="22"/>
  <c r="R53" i="22" s="1"/>
  <c r="R54" i="22" s="1"/>
  <c r="R55" i="22" s="1"/>
  <c r="T52" i="22"/>
  <c r="T53" i="22" s="1"/>
  <c r="T54" i="22" s="1"/>
  <c r="T55" i="22" s="1"/>
  <c r="M47" i="22"/>
  <c r="M48" i="22" s="1"/>
  <c r="V47" i="22"/>
  <c r="V48" i="22" s="1"/>
  <c r="R47" i="22"/>
  <c r="R48" i="22" s="1"/>
  <c r="L47" i="22"/>
  <c r="L48" i="22" s="1"/>
  <c r="P47" i="22"/>
  <c r="P48" i="22" s="1"/>
  <c r="Q47" i="22"/>
  <c r="Q48" i="22" s="1"/>
  <c r="S47" i="22"/>
  <c r="S48" i="22" s="1"/>
  <c r="T47" i="22"/>
  <c r="T48" i="22" s="1"/>
  <c r="N47" i="22"/>
  <c r="N48" i="22" s="1"/>
  <c r="U47" i="22"/>
  <c r="U48" i="22" s="1"/>
  <c r="O47" i="22"/>
  <c r="O48" i="22" s="1"/>
  <c r="P29" i="22"/>
  <c r="U24" i="22"/>
  <c r="Q29" i="22"/>
  <c r="L29" i="22"/>
  <c r="L24" i="22"/>
  <c r="P24" i="22"/>
  <c r="R24" i="22"/>
  <c r="R29" i="22"/>
  <c r="M29" i="22"/>
  <c r="M24" i="22"/>
  <c r="O24" i="22"/>
  <c r="O29" i="22"/>
  <c r="S24" i="22"/>
  <c r="U29" i="22"/>
  <c r="V24" i="22"/>
  <c r="T24" i="22"/>
  <c r="V29" i="22"/>
  <c r="Q24" i="22"/>
  <c r="K24" i="22"/>
  <c r="K22" i="22"/>
  <c r="J22" i="22" s="1"/>
  <c r="T29" i="22"/>
  <c r="N24" i="22"/>
  <c r="J34" i="22"/>
  <c r="S29" i="22"/>
  <c r="N29" i="22"/>
  <c r="J27" i="22"/>
  <c r="J55" i="22" l="1"/>
  <c r="J48" i="22"/>
  <c r="J29" i="22"/>
  <c r="J24" i="22"/>
  <c r="J25" i="22" s="1"/>
  <c r="J40" i="22" s="1"/>
  <c r="H40" i="22" s="1"/>
  <c r="G40" i="22" s="1"/>
  <c r="J16" i="22" l="1"/>
  <c r="J51" i="22" l="1"/>
  <c r="H51" i="22" s="1"/>
  <c r="G51" i="22" s="1"/>
  <c r="J44" i="22"/>
  <c r="H44" i="22" s="1"/>
  <c r="G44" i="22" s="1"/>
  <c r="J23" i="22"/>
  <c r="J19" i="22"/>
  <c r="J35" i="22"/>
  <c r="J42" i="22" s="1"/>
  <c r="H42" i="22" s="1"/>
  <c r="G42" i="22" s="1"/>
  <c r="J28" i="22"/>
  <c r="J39" i="22"/>
  <c r="H39" i="22" s="1"/>
  <c r="G39" i="22" s="1"/>
  <c r="J17" i="22"/>
  <c r="J30" i="22"/>
  <c r="J31" i="22" l="1"/>
  <c r="J41" i="22"/>
  <c r="H41" i="22" s="1"/>
  <c r="G4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5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7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4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<sst xmlns="http://schemas.openxmlformats.org/spreadsheetml/2006/main" count="1260" uniqueCount="780">
  <si>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</si>
  <si>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</si>
  <si>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</si>
  <si>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</si>
  <si>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</si>
  <si>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</si>
  <si>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</si>
  <si>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</si>
  <si>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</si>
  <si>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</si>
  <si>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</si>
  <si>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</si>
  <si>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</si>
  <si>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</si>
  <si>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</si>
  <si>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</si>
  <si>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</si>
  <si>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</si>
  <si>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</si>
  <si>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</si>
  <si>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</si>
  <si>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</si>
  <si>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</si>
  <si>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</si>
  <si>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</si>
  <si>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</si>
  <si>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</si>
  <si>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</si>
  <si>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</si>
  <si>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</si>
  <si>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</si>
  <si>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</si>
  <si>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</si>
  <si>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</si>
  <si>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</si>
  <si>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</si>
  <si>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</si>
  <si>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</si>
  <si>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</si>
  <si>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</si>
  <si>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</si>
  <si>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</si>
  <si>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</si>
  <si>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</si>
  <si>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</si>
  <si>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</si>
  <si>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</si>
  <si>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</si>
  <si>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</si>
  <si>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</si>
  <si>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</si>
  <si>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</si>
  <si>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</si>
  <si>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</si>
  <si>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</si>
  <si>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</si>
  <si>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</si>
  <si>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</si>
  <si>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</si>
  <si>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</si>
  <si>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</si>
  <si>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</si>
  <si>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</si>
  <si>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</si>
  <si>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</si>
  <si>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</si>
  <si>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</si>
  <si>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</si>
  <si>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</si>
  <si>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</si>
  <si>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</si>
  <si>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</si>
  <si>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</si>
  <si>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</si>
  <si>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</si>
  <si>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</si>
  <si>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</si>
  <si>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</si>
  <si>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</si>
  <si>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</si>
  <si>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</si>
  <si>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</si>
  <si>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</si>
  <si>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</si>
  <si>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</si>
  <si>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</si>
  <si>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</si>
  <si>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</si>
  <si>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</si>
  <si>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</si>
  <si>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</si>
  <si>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</si>
  <si>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</si>
  <si>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</si>
  <si>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</si>
  <si>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</si>
  <si>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</si>
  <si>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</si>
  <si>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</si>
  <si>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</si>
  <si>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</si>
  <si>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</si>
  <si>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</si>
  <si>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</si>
  <si>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</si>
  <si>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</si>
  <si>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</si>
  <si>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</si>
  <si>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</si>
  <si>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</si>
  <si>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</si>
  <si>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</si>
  <si>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</si>
  <si>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</si>
  <si>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</si>
  <si>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</si>
  <si>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</si>
  <si>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</si>
  <si>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CSR_BUCKET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</si>
  <si>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</si>
  <si>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</si>
  <si>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</si>
  <si>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</si>
  <si>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</si>
  <si>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</si>
  <si>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</si>
  <si>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</si>
  <si>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</si>
  <si>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</si>
  <si>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</si>
  <si>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</si>
  <si>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</si>
  <si>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</si>
  <si>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</si>
  <si>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</si>
  <si>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</si>
  <si>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</si>
  <si>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</si>
  <si>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</si>
  <si>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</si>
  <si>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</si>
  <si>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</si>
  <si>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</si>
  <si>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</si>
  <si>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</si>
  <si>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</si>
  <si>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</si>
  <si>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</si>
  <si>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</si>
  <si>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</si>
  <si>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</si>
  <si>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</si>
  <si>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</si>
  <si>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</si>
  <si>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</si>
  <si>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</si>
  <si>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</si>
  <si>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</si>
  <si>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</si>
  <si>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</si>
  <si>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</si>
  <si>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</si>
  <si>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</si>
  <si>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</si>
  <si>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</si>
  <si>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</si>
  <si>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</si>
  <si>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</si>
  <si>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</si>
  <si>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</si>
  <si>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</si>
  <si>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</si>
  <si>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</si>
  <si>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</si>
  <si>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</si>
  <si>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</si>
  <si>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</si>
  <si>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</si>
  <si>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</si>
  <si>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</si>
  <si>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</si>
  <si>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</si>
  <si>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</si>
  <si>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</si>
  <si>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</si>
  <si>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</si>
  <si>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</si>
  <si>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</si>
  <si>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</si>
  <si>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</si>
  <si>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</si>
  <si>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</si>
  <si>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</si>
  <si>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</si>
  <si>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</si>
  <si>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</si>
  <si>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</si>
  <si>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</si>
  <si>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</si>
  <si>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</si>
  <si>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</si>
  <si>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</si>
  <si>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</si>
  <si>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</si>
  <si>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</si>
  <si>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</si>
  <si>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</si>
  <si>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</si>
  <si>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</si>
  <si>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</si>
  <si>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</si>
  <si>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</si>
  <si>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</si>
  <si>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</si>
  <si>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</si>
  <si>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</si>
  <si>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</si>
  <si>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</si>
  <si>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</si>
  <si>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</si>
  <si>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</si>
  <si>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</si>
  <si>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</si>
  <si>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</si>
  <si>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</si>
  <si>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</si>
  <si>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</si>
  <si>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</si>
  <si>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</si>
  <si>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</si>
  <si>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</si>
  <si>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</si>
  <si>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</si>
  <si>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</si>
  <si>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</si>
  <si>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</si>
  <si>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</si>
  <si>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</si>
  <si>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</si>
  <si>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</si>
  <si>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</si>
  <si>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</si>
  <si>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</si>
  <si>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</si>
  <si>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</si>
  <si>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</si>
  <si>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</si>
  <si>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</si>
  <si>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</si>
  <si>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</si>
  <si>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</si>
  <si>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</si>
  <si>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</si>
  <si>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</si>
  <si>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</si>
  <si>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</si>
  <si>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</si>
  <si>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</si>
  <si>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</si>
  <si>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</si>
  <si>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</si>
  <si>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</si>
  <si>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</si>
  <si>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</si>
  <si>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</si>
  <si>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</si>
  <si>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</si>
  <si>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</si>
  <si>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</si>
  <si>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</si>
  <si>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</si>
  <si>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</si>
  <si>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</si>
  <si>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</si>
  <si>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</si>
  <si>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</si>
  <si>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</si>
  <si>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</si>
  <si>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</si>
  <si>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</si>
  <si>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</si>
  <si>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</si>
  <si>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</si>
  <si>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</si>
  <si>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</si>
  <si>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</si>
  <si>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</si>
  <si>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</si>
  <si>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</si>
  <si>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</si>
  <si>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</si>
  <si>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</si>
  <si>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</si>
  <si>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</si>
  <si>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</si>
  <si>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</si>
  <si>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</si>
  <si>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</si>
  <si>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</si>
  <si>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</si>
  <si>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</si>
  <si>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</si>
  <si>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</si>
  <si>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</si>
  <si>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</si>
  <si>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</si>
  <si>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</si>
  <si>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</si>
  <si>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</si>
  <si>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</si>
  <si>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</si>
  <si>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</si>
  <si>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</si>
  <si>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</si>
  <si>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</si>
  <si>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</si>
  <si>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</si>
  <si>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</si>
  <si>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</si>
  <si>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</si>
  <si>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</si>
  <si>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</si>
  <si>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</si>
  <si>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</si>
  <si>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</si>
  <si>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</si>
  <si>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</si>
  <si>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</si>
  <si>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</si>
  <si>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</si>
  <si>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</si>
  <si>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</si>
  <si>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</si>
  <si>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</si>
  <si>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</si>
  <si>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</si>
  <si>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</si>
  <si>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</si>
  <si>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</si>
  <si>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</si>
  <si>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</si>
  <si>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</si>
  <si>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</si>
  <si>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</si>
  <si>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</si>
  <si>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</si>
  <si>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</si>
  <si>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</si>
  <si>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</si>
  <si>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</si>
  <si>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</si>
  <si>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</si>
  <si>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</si>
  <si>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</si>
  <si>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</si>
  <si>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</si>
  <si>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</si>
  <si>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</si>
  <si>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</si>
  <si>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</si>
  <si>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</si>
  <si>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</si>
  <si>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</si>
  <si>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</si>
  <si>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</si>
  <si>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</si>
  <si>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</si>
  <si>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</si>
  <si>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</si>
  <si>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</si>
  <si>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</si>
  <si>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</si>
  <si>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</si>
  <si>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</si>
  <si>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</si>
  <si>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</si>
  <si>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</si>
  <si>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</si>
  <si>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</si>
  <si>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</si>
  <si>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</si>
  <si>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</si>
  <si>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</si>
  <si>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</si>
  <si>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</si>
  <si>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</si>
  <si>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</si>
  <si>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</si>
  <si>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</si>
  <si>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</si>
  <si>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</si>
  <si>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</si>
  <si>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</si>
  <si>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</si>
  <si>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</si>
  <si>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</si>
  <si>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</si>
  <si>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</si>
  <si>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</si>
  <si>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</si>
  <si>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</si>
  <si>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</si>
  <si>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</si>
  <si>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</si>
  <si>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</si>
  <si>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</si>
  <si>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</si>
  <si>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</si>
  <si>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</si>
  <si>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</si>
  <si>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</si>
  <si>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</si>
  <si>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</si>
  <si>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</si>
  <si>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</si>
  <si>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</si>
  <si>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</si>
  <si>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</si>
  <si>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</si>
  <si>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</si>
  <si>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</si>
  <si>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</si>
  <si>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</si>
  <si>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</si>
  <si>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</si>
  <si>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</si>
  <si>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</si>
  <si>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</si>
  <si>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</si>
  <si>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</si>
  <si>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</si>
  <si>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</si>
  <si>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</si>
  <si>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</si>
  <si>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</si>
  <si>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</si>
  <si>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</si>
  <si>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</si>
  <si>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</si>
  <si>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</si>
  <si>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</si>
  <si>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</si>
  <si>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</si>
  <si>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</si>
  <si>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</si>
  <si>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</si>
  <si>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</si>
  <si>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</si>
  <si>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</si>
  <si>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</si>
  <si>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</si>
  <si>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</si>
  <si>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</si>
  <si>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</si>
  <si>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</si>
  <si>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</si>
  <si>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</si>
  <si>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</si>
  <si>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</si>
  <si>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</si>
  <si>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</si>
  <si>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</si>
  <si>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</si>
  <si>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</si>
  <si>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</si>
  <si>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</si>
  <si>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</si>
  <si>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</si>
  <si>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</si>
  <si>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</si>
  <si>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</si>
  <si>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</si>
  <si>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</si>
  <si>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</si>
  <si>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</si>
  <si>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</si>
  <si>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</si>
  <si>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</si>
  <si>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</si>
  <si>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</si>
  <si>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</si>
  <si>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</si>
  <si>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</si>
  <si>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</si>
  <si>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</si>
  <si>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</si>
  <si>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</si>
  <si>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</si>
  <si>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</si>
  <si>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</si>
  <si>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</si>
  <si>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</si>
  <si>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</si>
  <si>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</si>
  <si>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</si>
  <si>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</si>
  <si>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</si>
  <si>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</si>
  <si>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</si>
  <si>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</si>
  <si>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</si>
  <si>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</si>
  <si>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</si>
  <si>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</si>
  <si>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</si>
  <si>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</si>
  <si>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</si>
  <si>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</si>
  <si>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</si>
  <si>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</si>
  <si>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</si>
  <si>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</si>
  <si>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</si>
  <si>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</si>
  <si>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</si>
  <si>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</si>
  <si>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</si>
  <si>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</si>
  <si>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</si>
  <si>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</si>
  <si>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</si>
  <si>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</si>
  <si>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</si>
  <si>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</si>
  <si>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</si>
  <si>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</si>
  <si>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</si>
  <si>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</si>
  <si>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</si>
  <si>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</si>
  <si>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</si>
  <si>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</si>
  <si>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</si>
  <si>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</si>
  <si>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</si>
  <si>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</si>
  <si>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</si>
  <si>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</si>
  <si>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</si>
  <si>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</si>
  <si>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</si>
  <si>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</si>
  <si>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</si>
  <si>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</si>
  <si>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</si>
  <si>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</si>
  <si>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</si>
  <si>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</si>
  <si>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</si>
  <si>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</si>
  <si>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</si>
  <si>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</si>
  <si>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</si>
  <si>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</si>
  <si>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</si>
  <si>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</si>
  <si>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</si>
  <si>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</si>
  <si>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</si>
  <si>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</si>
  <si>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</si>
  <si>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</si>
  <si>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</si>
  <si>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</si>
  <si>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</si>
  <si>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</si>
  <si>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</si>
  <si>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</si>
  <si>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</si>
  <si>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</si>
  <si>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</si>
  <si>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</si>
  <si>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</si>
  <si>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</si>
  <si>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</si>
  <si>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</si>
  <si>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</si>
  <si>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</si>
  <si>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</si>
  <si>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</si>
  <si>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</si>
  <si>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</si>
  <si>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</si>
  <si>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</si>
  <si>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</si>
  <si>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</si>
  <si>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</si>
  <si>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</si>
  <si>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</si>
  <si>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</si>
  <si>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</si>
  <si>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</si>
  <si>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</si>
  <si>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20201210</t>
  </si>
  <si>
    <t>20301210</t>
  </si>
  <si>
    <t>Rate</t>
    <phoneticPr fontId="1" type="noConversion"/>
  </si>
  <si>
    <t>BASE_DT</t>
    <phoneticPr fontId="1" type="noConversion"/>
  </si>
  <si>
    <t>SrtDT</t>
    <phoneticPr fontId="1" type="noConversion"/>
  </si>
  <si>
    <t>EndDT</t>
    <phoneticPr fontId="1" type="noConversion"/>
  </si>
  <si>
    <t>Noti</t>
    <phoneticPr fontId="1" type="noConversion"/>
  </si>
  <si>
    <t>PayDT</t>
    <phoneticPr fontId="1" type="noConversion"/>
  </si>
  <si>
    <t>SCHE_FG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</si>
  <si>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</si>
  <si>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개월수</t>
    <phoneticPr fontId="1" type="noConversion"/>
  </si>
  <si>
    <t>금리확정일수</t>
    <phoneticPr fontId="1" type="noConversion"/>
  </si>
  <si>
    <t>통화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</si>
  <si>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</si>
  <si>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</si>
  <si>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</si>
  <si>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</si>
  <si>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GIRR_CVR_SHOCK</t>
    <phoneticPr fontId="1" type="noConversion"/>
  </si>
  <si>
    <t>CSR_CVR_SHOCK</t>
    <phoneticPr fontId="1" type="noConversion"/>
  </si>
  <si>
    <t>DSC_CURV</t>
    <phoneticPr fontId="1" type="noConversion"/>
  </si>
  <si>
    <t>CSR_CURV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</si>
  <si>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</si>
  <si>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</si>
  <si>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</si>
  <si>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</si>
  <si>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</si>
  <si>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</si>
  <si>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</si>
  <si>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</si>
  <si>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</si>
  <si>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아랍에미리트</t>
  </si>
  <si>
    <t>CalATS</t>
  </si>
  <si>
    <t>오스트리아</t>
  </si>
  <si>
    <t>CalAUD</t>
  </si>
  <si>
    <t>오스트레일리아</t>
  </si>
  <si>
    <t>CalBDT</t>
  </si>
  <si>
    <t>방글라데시</t>
  </si>
  <si>
    <t>CalBEF</t>
  </si>
  <si>
    <t>벨기에</t>
  </si>
  <si>
    <t>CalBHD</t>
  </si>
  <si>
    <t>바레인</t>
  </si>
  <si>
    <t>CalBND</t>
  </si>
  <si>
    <t>브루나이</t>
  </si>
  <si>
    <t>CalBRL</t>
  </si>
  <si>
    <t>브라질</t>
  </si>
  <si>
    <t>CalCAD</t>
  </si>
  <si>
    <t>캐나다</t>
  </si>
  <si>
    <t>CalCHF</t>
  </si>
  <si>
    <t>스위스</t>
  </si>
  <si>
    <t>CalCLP</t>
  </si>
  <si>
    <t>칠레</t>
  </si>
  <si>
    <t>CalCNH</t>
  </si>
  <si>
    <t>홍콩 오프쇼어 위안화</t>
  </si>
  <si>
    <t>CalCNY</t>
  </si>
  <si>
    <t>중국</t>
  </si>
  <si>
    <t>CalCZK</t>
  </si>
  <si>
    <t>체코</t>
  </si>
  <si>
    <t>CalDEM</t>
  </si>
  <si>
    <t>독일</t>
  </si>
  <si>
    <t>CalDKK</t>
  </si>
  <si>
    <t>덴마크</t>
  </si>
  <si>
    <t>CalEGP</t>
  </si>
  <si>
    <t>이집트</t>
  </si>
  <si>
    <t>CalESP</t>
  </si>
  <si>
    <t>스페인</t>
  </si>
  <si>
    <t>CalEUR</t>
  </si>
  <si>
    <t>유럽연합</t>
  </si>
  <si>
    <t>CalFIM</t>
  </si>
  <si>
    <t>핀란드</t>
  </si>
  <si>
    <t>CalFJD</t>
  </si>
  <si>
    <t>피지</t>
  </si>
  <si>
    <t>CalFRF</t>
  </si>
  <si>
    <t>프랑스</t>
  </si>
  <si>
    <t>CalGBP</t>
  </si>
  <si>
    <t>영국</t>
  </si>
  <si>
    <t>CalHKD</t>
  </si>
  <si>
    <t>홍콩</t>
  </si>
  <si>
    <t>CalHUF</t>
  </si>
  <si>
    <t>헝가리</t>
  </si>
  <si>
    <t>CalIDR</t>
  </si>
  <si>
    <t>인도네시아</t>
  </si>
  <si>
    <t>CalILS</t>
  </si>
  <si>
    <t>이스라엘</t>
  </si>
  <si>
    <t>CalINR</t>
  </si>
  <si>
    <t>인도</t>
  </si>
  <si>
    <t>CalITL</t>
  </si>
  <si>
    <t>이탈리아</t>
  </si>
  <si>
    <t>CalJOD</t>
  </si>
  <si>
    <t>요르단</t>
  </si>
  <si>
    <t>CalJPY</t>
  </si>
  <si>
    <t>일본</t>
  </si>
  <si>
    <t>CalKES</t>
  </si>
  <si>
    <t>케냐</t>
  </si>
  <si>
    <t>CalKHR</t>
  </si>
  <si>
    <t>캄보디아</t>
  </si>
  <si>
    <t>CalKWD</t>
  </si>
  <si>
    <t>쿠웨이트</t>
  </si>
  <si>
    <t>CalKZT</t>
  </si>
  <si>
    <t>카자흐스탄</t>
  </si>
  <si>
    <t>CalMMK</t>
  </si>
  <si>
    <t>미얀마</t>
  </si>
  <si>
    <t>CalMNT</t>
  </si>
  <si>
    <t>몽골</t>
  </si>
  <si>
    <t>CalMOP</t>
  </si>
  <si>
    <t>마카오</t>
  </si>
  <si>
    <t>CalMXN</t>
  </si>
  <si>
    <t>멕시코</t>
  </si>
  <si>
    <t>CalMYR</t>
  </si>
  <si>
    <t>말레이시아</t>
  </si>
  <si>
    <t>CalNLG</t>
  </si>
  <si>
    <t>네덜란드</t>
  </si>
  <si>
    <t>CalNOK</t>
  </si>
  <si>
    <t>노르웨이</t>
  </si>
  <si>
    <t>CalNPR</t>
  </si>
  <si>
    <t>네팔</t>
  </si>
  <si>
    <t>CalNZD</t>
  </si>
  <si>
    <t>뉴질랜드</t>
  </si>
  <si>
    <t>CalPHP</t>
  </si>
  <si>
    <t>필리핀</t>
  </si>
  <si>
    <t>CalPKR</t>
  </si>
  <si>
    <t>파키스탄</t>
  </si>
  <si>
    <t>CalPLN</t>
  </si>
  <si>
    <t>폴란드</t>
  </si>
  <si>
    <t>CalQAR</t>
  </si>
  <si>
    <t>카타르</t>
  </si>
  <si>
    <t>CalRUB</t>
  </si>
  <si>
    <t>러시아</t>
  </si>
  <si>
    <t>CalSAR</t>
  </si>
  <si>
    <t>사우디아라비아</t>
  </si>
  <si>
    <t>CalSEK</t>
  </si>
  <si>
    <t>스웨덴</t>
  </si>
  <si>
    <t>CalSGD</t>
  </si>
  <si>
    <t>싱가포르</t>
  </si>
  <si>
    <t>CalSKK</t>
  </si>
  <si>
    <t>슬로바키아</t>
  </si>
  <si>
    <t>CalTHB</t>
  </si>
  <si>
    <t>태국</t>
  </si>
  <si>
    <t>CalTRY</t>
  </si>
  <si>
    <t>튀르키예</t>
  </si>
  <si>
    <t>CalTWD</t>
  </si>
  <si>
    <t>대만</t>
  </si>
  <si>
    <t>CalVND</t>
  </si>
  <si>
    <t>베트남</t>
  </si>
  <si>
    <t>CalXAU</t>
  </si>
  <si>
    <t>금</t>
  </si>
  <si>
    <t>CalZAR</t>
  </si>
  <si>
    <t>남아프리카공화국</t>
  </si>
  <si>
    <t>QURT</t>
    <phoneticPr fontId="2" type="noConversion"/>
  </si>
  <si>
    <t>4주</t>
    <phoneticPr fontId="1" type="noConversion"/>
  </si>
  <si>
    <t>쿠폰이율(%)</t>
    <phoneticPr fontId="1" type="noConversion"/>
  </si>
  <si>
    <t>SpreadOverYield ( CONT ACT/365 )</t>
    <phoneticPr fontId="1" type="noConversion"/>
  </si>
  <si>
    <t>FRB</t>
    <phoneticPr fontId="2" type="noConversion"/>
  </si>
  <si>
    <t>20241231</t>
    <phoneticPr fontId="1" type="noConversion"/>
  </si>
  <si>
    <t>20201210</t>
    <phoneticPr fontId="1" type="noConversion"/>
  </si>
  <si>
    <t>20301210</t>
    <phoneticPr fontId="1" type="noConversion"/>
  </si>
  <si>
    <t>ACT/ACT</t>
    <phoneticPr fontId="1" type="noConversion"/>
  </si>
  <si>
    <t>CalKRW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</si>
  <si>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</si>
  <si>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</si>
  <si>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</si>
  <si>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SCH_001</t>
    <phoneticPr fontId="1" type="noConversion"/>
  </si>
  <si>
    <t>IRKRW-IRS</t>
    <phoneticPr fontId="1" type="noConversion"/>
  </si>
  <si>
    <t>02</t>
    <phoneticPr fontId="1" type="noConversion"/>
  </si>
  <si>
    <t>L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</si>
  <si>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</si>
  <si>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</si>
  <si>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</si>
  <si>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</si>
  <si>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</si>
  <si>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</si>
  <si>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</si>
  <si>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</si>
  <si>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</si>
  <si>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</si>
  <si>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</si>
  <si>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</si>
  <si>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</si>
  <si>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</si>
  <si>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</si>
  <si>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FRB000001</t>
    <phoneticPr fontId="2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</si>
  <si>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</si>
  <si>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</si>
  <si>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13|45636|45818|6000000000|0.015|45818|44861890.8600946|0.985319523391925|45818|46001|6000000000|0.015|46001|45123287.6712324|0.971889130328733|46001|46183|6000000000|0.015|46183|44876712.328767|0.958633423740016|46183|46366|6000000000|0.015|46366|45123287.6712324|0.945843270732066|46366|46548|6000000000|0.015|46548|44876712.328767|0.932892398608868|46548|46731|6000000000|0.015|46731|45123287.6712324|0.920084154198437|46731|46916|6000000000|0.015|46916|45506624.747361|0.906540745658203|46916|47098|6000000000|0.015|47098|44754098.3606562|0.893158339763039|47098|47280|6000000000|0.015|47280|44862564.5632159|0.879820555798422|47280|47462|6000000000|0.015|47462|44876712.328767|0.866531328723855|47462|47644|6000000000|0.015|47644|44876712.328767|0.853519214532721|47644|47827|6000000000|0.015|47827|45123287.6712324|0.840557883993621|-1|-1|6000000000|-1|47827|6000000000|0.840557883993621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</t>
  </si>
  <si>
    <t>TF(4)</t>
    <phoneticPr fontId="1" type="noConversion"/>
  </si>
  <si>
    <t>연도별 YF</t>
    <phoneticPr fontId="1" type="noConversion"/>
  </si>
  <si>
    <r>
      <t xml:space="preserve">연도별 </t>
    </r>
    <r>
      <rPr>
        <sz val="9"/>
        <color theme="1"/>
        <rFont val="Calibri"/>
        <family val="3"/>
      </rPr>
      <t>accrualDT</t>
    </r>
    <r>
      <rPr>
        <sz val="9"/>
        <color theme="1"/>
        <rFont val="Arial Unicode MS"/>
        <family val="3"/>
        <charset val="129"/>
      </rPr>
      <t>(직전)</t>
    </r>
    <phoneticPr fontId="1" type="noConversion"/>
  </si>
  <si>
    <r>
      <t xml:space="preserve">연도별 </t>
    </r>
    <r>
      <rPr>
        <sz val="9"/>
        <color theme="1"/>
        <rFont val="Calibri"/>
        <family val="3"/>
      </rPr>
      <t>accrualDT</t>
    </r>
    <r>
      <rPr>
        <sz val="9"/>
        <color theme="1"/>
        <rFont val="Arial Unicode MS"/>
        <family val="3"/>
        <charset val="129"/>
      </rPr>
      <t>(올해)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</si>
</sst>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  <numFmt numFmtId="192" formatCode="0.00000_);[Red]\(0.00000\)"/>
    <numFmt numFmtId="193" formatCode="0.00000_ "/>
    <numFmt numFmtId="194" formatCode="0.0%"/>
  </numFmts>
  <fonts count="37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9"/>
      <color theme="1"/>
      <name val="맑은 고딕"/>
      <family val="3"/>
      <charset val="129"/>
    </font>
    <font>
      <sz val="10"/>
      <color rgb="FF0070C0"/>
      <name val="나눔바른펜"/>
      <family val="3"/>
      <charset val="129"/>
    </font>
    <font>
      <sz val="9"/>
      <color theme="1"/>
      <name val="Arial Unicode MS"/>
      <family val="3"/>
      <charset val="129"/>
    </font>
    <font>
      <sz val="9"/>
      <color theme="1"/>
      <name val="Calibri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0" fontId="4" fillId="2" borderId="3" xfId="2" applyNumberFormat="1" applyFont="1" applyFill="1" applyBorder="1">
      <alignment vertical="center"/>
    </xf>
    <xf numFmtId="0" fontId="32" fillId="5" borderId="1" xfId="0" applyFont="1" applyFill="1" applyBorder="1">
      <alignment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" fillId="7" borderId="7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2" fontId="5" fillId="0" borderId="1" xfId="0" quotePrefix="1" applyNumberFormat="1" applyFont="1" applyBorder="1" applyAlignment="1">
      <alignment horizontal="right" vertical="center"/>
    </xf>
    <xf numFmtId="179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/>
    </xf>
    <xf numFmtId="184" fontId="3" fillId="0" borderId="1" xfId="0" quotePrefix="1" applyNumberFormat="1" applyFont="1" applyBorder="1" applyAlignment="1">
      <alignment horizontal="right" vertical="center"/>
    </xf>
    <xf numFmtId="14" fontId="3" fillId="0" borderId="1" xfId="0" quotePrefix="1" applyNumberFormat="1" applyFont="1" applyBorder="1" applyAlignment="1">
      <alignment horizontal="right" vertical="center"/>
    </xf>
    <xf numFmtId="192" fontId="3" fillId="0" borderId="1" xfId="0" quotePrefix="1" applyNumberFormat="1" applyFont="1" applyBorder="1" applyAlignment="1">
      <alignment horizontal="right" vertical="center"/>
    </xf>
    <xf numFmtId="176" fontId="33" fillId="0" borderId="1" xfId="0" applyNumberFormat="1" applyFont="1" applyBorder="1">
      <alignment vertical="center"/>
    </xf>
    <xf numFmtId="2" fontId="4" fillId="7" borderId="5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0" fontId="4" fillId="4" borderId="6" xfId="0" applyFont="1" applyFill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185" fontId="3" fillId="4" borderId="1" xfId="0" applyNumberFormat="1" applyFont="1" applyFill="1" applyBorder="1">
      <alignment vertical="center"/>
    </xf>
    <xf numFmtId="49" fontId="3" fillId="4" borderId="1" xfId="0" applyNumberFormat="1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4" fillId="0" borderId="0" xfId="0" applyFont="1">
      <alignment vertical="center"/>
    </xf>
    <xf numFmtId="14" fontId="5" fillId="0" borderId="0" xfId="0" quotePrefix="1" applyNumberFormat="1" applyFont="1" applyAlignment="1">
      <alignment horizontal="left" vertical="center"/>
    </xf>
    <xf numFmtId="41" fontId="5" fillId="0" borderId="0" xfId="2" quotePrefix="1" applyFont="1" applyBorder="1" applyAlignment="1">
      <alignment horizontal="right" vertical="center"/>
    </xf>
    <xf numFmtId="2" fontId="5" fillId="0" borderId="0" xfId="0" quotePrefix="1" applyNumberFormat="1" applyFont="1" applyAlignment="1">
      <alignment horizontal="right" vertical="center"/>
    </xf>
    <xf numFmtId="2" fontId="5" fillId="0" borderId="0" xfId="0" quotePrefix="1" applyNumberFormat="1" applyFont="1" applyAlignment="1">
      <alignment horizontal="left" vertical="center"/>
    </xf>
    <xf numFmtId="1" fontId="5" fillId="0" borderId="0" xfId="0" quotePrefix="1" applyNumberFormat="1" applyFont="1" applyAlignment="1">
      <alignment horizontal="right" vertical="center"/>
    </xf>
    <xf numFmtId="2" fontId="6" fillId="0" borderId="0" xfId="0" quotePrefix="1" applyNumberFormat="1" applyFont="1" applyAlignment="1">
      <alignment horizontal="left" vertical="center"/>
    </xf>
    <xf numFmtId="0" fontId="6" fillId="0" borderId="0" xfId="0" quotePrefix="1" applyFont="1" applyAlignment="1">
      <alignment horizontal="left" vertical="center"/>
    </xf>
    <xf numFmtId="178" fontId="5" fillId="0" borderId="0" xfId="2" quotePrefix="1" applyNumberFormat="1" applyFont="1" applyBorder="1" applyAlignment="1">
      <alignment horizontal="right" vertical="center"/>
    </xf>
    <xf numFmtId="3" fontId="6" fillId="0" borderId="0" xfId="0" quotePrefix="1" applyNumberFormat="1" applyFont="1" applyAlignment="1">
      <alignment horizontal="left" vertical="center"/>
    </xf>
    <xf numFmtId="0" fontId="3" fillId="0" borderId="0" xfId="0" quotePrefix="1" applyFont="1" applyAlignment="1">
      <alignment horizontal="left" vertical="center"/>
    </xf>
    <xf numFmtId="176" fontId="3" fillId="0" borderId="1" xfId="0" quotePrefix="1" applyNumberFormat="1" applyFont="1" applyBorder="1" applyAlignment="1">
      <alignment horizontal="left" vertical="center"/>
    </xf>
    <xf numFmtId="176" fontId="3" fillId="0" borderId="1" xfId="0" quotePrefix="1" applyNumberFormat="1" applyFont="1" applyBorder="1" applyAlignment="1">
      <alignment horizontal="right" vertical="center"/>
    </xf>
    <xf numFmtId="193" fontId="3" fillId="0" borderId="1" xfId="0" quotePrefix="1" applyNumberFormat="1" applyFont="1" applyBorder="1" applyAlignment="1">
      <alignment horizontal="right" vertical="center"/>
    </xf>
    <xf numFmtId="176" fontId="5" fillId="0" borderId="1" xfId="0" quotePrefix="1" applyNumberFormat="1" applyFont="1" applyBorder="1" applyAlignment="1">
      <alignment horizontal="right" vertical="center"/>
    </xf>
    <xf numFmtId="188" fontId="5" fillId="0" borderId="1" xfId="2" quotePrefix="1" applyNumberFormat="1" applyFont="1" applyBorder="1" applyAlignment="1">
      <alignment horizontal="right" vertical="center"/>
    </xf>
    <xf numFmtId="190" fontId="3" fillId="0" borderId="8" xfId="0" applyNumberFormat="1" applyFont="1" applyBorder="1" applyAlignment="1">
      <alignment horizontal="right" vertical="center"/>
    </xf>
    <xf numFmtId="2" fontId="4" fillId="4" borderId="5" xfId="0" applyNumberFormat="1" applyFont="1" applyFill="1" applyBorder="1" applyAlignment="1">
      <alignment horizontal="left" vertical="center"/>
    </xf>
    <xf numFmtId="2" fontId="4" fillId="4" borderId="6" xfId="0" applyNumberFormat="1" applyFont="1" applyFill="1" applyBorder="1" applyAlignment="1">
      <alignment horizontal="left" vertical="center"/>
    </xf>
    <xf numFmtId="2" fontId="4" fillId="4" borderId="7" xfId="0" applyNumberFormat="1" applyFont="1" applyFill="1" applyBorder="1" applyAlignment="1">
      <alignment horizontal="left" vertical="center"/>
    </xf>
    <xf numFmtId="2" fontId="4" fillId="7" borderId="5" xfId="0" applyNumberFormat="1" applyFont="1" applyFill="1" applyBorder="1">
      <alignment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3" fontId="4" fillId="7" borderId="7" xfId="0" applyNumberFormat="1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3" fontId="4" fillId="4" borderId="5" xfId="0" quotePrefix="1" applyNumberFormat="1" applyFont="1" applyFill="1" applyBorder="1" applyAlignment="1">
      <alignment horizontal="center" vertical="center"/>
    </xf>
    <xf numFmtId="3" fontId="4" fillId="4" borderId="7" xfId="0" quotePrefix="1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  <xf numFmtId="194" fontId="3" fillId="0" borderId="0" xfId="3" applyNumberFormat="1" applyFont="1" applyAlignment="1">
      <alignment horizontal="left" vertical="center"/>
    </xf>
    <xf numFmtId="14" fontId="26" fillId="0" borderId="0" xfId="0" applyNumberFormat="1" applyFont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26" fillId="4" borderId="0" xfId="0" applyFont="1" applyFill="1" applyAlignment="1">
      <alignment horizontal="left" vertical="center"/>
    </xf>
    <xf numFmtId="0" fontId="26" fillId="4" borderId="3" xfId="0" applyFont="1" applyFill="1" applyBorder="1" applyAlignment="1">
      <alignment horizontal="right" vertical="center"/>
    </xf>
    <xf numFmtId="14" fontId="26" fillId="2" borderId="1" xfId="0" applyNumberFormat="1" applyFont="1" applyFill="1" applyBorder="1" applyAlignment="1">
      <alignment horizontal="right" vertical="center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2</xdr:row>
          <xdr:rowOff>7620</xdr:rowOff>
        </xdr:from>
        <xdr:to>
          <xdr:col>5</xdr:col>
          <xdr:colOff>1226820</xdr:colOff>
          <xdr:row>2</xdr:row>
          <xdr:rowOff>137160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708660" y="9968865"/>
          <a:ext cx="4352925" cy="63150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2:BS69"/>
  <sheetViews>
    <sheetView topLeftCell="A31" workbookViewId="0">
      <selection activeCell="F20" sqref="F20"/>
    </sheetView>
  </sheetViews>
  <sheetFormatPr defaultColWidth="8.6640625" defaultRowHeight="13.2" customHeight="1"/>
  <cols>
    <col min="1" max="1" width="3.109375" style="1" customWidth="1"/>
    <col min="2" max="2" width="2.33203125" style="1" customWidth="1"/>
    <col min="3" max="3" width="5.33203125" style="2" customWidth="1"/>
    <col min="4" max="4" width="32.109375" style="1" customWidth="1"/>
    <col min="5" max="5" width="25.6640625" style="1" customWidth="1"/>
    <col min="6" max="6" width="25.6640625" style="4" customWidth="1"/>
    <col min="7" max="7" width="4.332031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77734375" style="1" customWidth="1"/>
    <col min="72" max="16384" width="8.6640625" style="1"/>
  </cols>
  <sheetData>
    <row r="2" spans="2:31" s="8" customFormat="1" ht="18" customHeight="1">
      <c r="B2" s="232" t="s">
        <v>744</v>
      </c>
      <c r="C2" s="232"/>
      <c r="D2" s="232"/>
      <c r="E2" s="232"/>
      <c r="F2" s="232"/>
      <c r="G2" s="207"/>
      <c r="H2" s="7"/>
      <c r="I2" s="243" t="s">
        <v>602</v>
      </c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  <c r="AA2" s="243"/>
      <c r="AB2" s="243"/>
      <c r="AC2" s="243"/>
      <c r="AD2" s="243"/>
      <c r="AE2" s="243"/>
    </row>
    <row r="4" spans="2:31" ht="13.2" customHeight="1">
      <c r="B4" s="238" t="s">
        <v>4</v>
      </c>
      <c r="C4" s="238"/>
      <c r="D4" s="238"/>
      <c r="E4" s="238"/>
      <c r="F4" s="238"/>
      <c r="G4" s="9"/>
      <c r="I4" s="243" t="s">
        <v>5</v>
      </c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X4" s="238" t="s">
        <v>609</v>
      </c>
      <c r="Y4" s="238"/>
      <c r="Z4" s="238"/>
      <c r="AA4" s="238"/>
      <c r="AB4" s="238"/>
      <c r="AC4" s="238"/>
      <c r="AD4" s="238"/>
      <c r="AE4" s="238"/>
    </row>
    <row r="5" spans="2:31" s="3" customFormat="1" ht="13.2" customHeight="1">
      <c r="C5" s="233" t="s">
        <v>772</v>
      </c>
      <c r="D5" s="234"/>
      <c r="E5" s="234"/>
      <c r="F5" s="235"/>
      <c r="G5" s="211"/>
      <c r="K5" s="233" t="str">
        <f>F19</f>
        <v>IRKRW-IRS</v>
      </c>
      <c r="L5" s="235"/>
      <c r="N5" s="236" t="str">
        <f>F21</f>
        <v>IRKRW-Treasury-CSR</v>
      </c>
      <c r="O5" s="237"/>
      <c r="Q5" s="239" t="str">
        <f>IF(Y14="F", Y13, "")</f>
        <v/>
      </c>
      <c r="R5" s="240"/>
      <c r="T5" s="239" t="str">
        <f>IF(AB14="F", AB13, "")</f>
        <v/>
      </c>
      <c r="U5" s="240"/>
      <c r="X5" s="241"/>
      <c r="Y5" s="242"/>
      <c r="AA5" s="241"/>
      <c r="AB5" s="242"/>
    </row>
    <row r="6" spans="2:31" s="12" customFormat="1" ht="13.2" customHeight="1">
      <c r="C6" s="13" t="s">
        <v>3</v>
      </c>
      <c r="D6" s="14" t="s">
        <v>8</v>
      </c>
      <c r="E6" s="14" t="s">
        <v>81</v>
      </c>
      <c r="F6" s="14" t="s">
        <v>2</v>
      </c>
      <c r="G6" s="211"/>
      <c r="H6" s="12" t="s">
        <v>9</v>
      </c>
      <c r="J6" s="3"/>
      <c r="K6" s="5" t="s">
        <v>99</v>
      </c>
      <c r="L6" s="17" t="s">
        <v>757</v>
      </c>
      <c r="M6" s="48"/>
      <c r="N6" s="5" t="s">
        <v>99</v>
      </c>
      <c r="O6" s="17"/>
      <c r="Q6" s="197" t="s">
        <v>99</v>
      </c>
      <c r="R6" s="33"/>
      <c r="T6" s="197" t="s">
        <v>99</v>
      </c>
      <c r="U6" s="33"/>
      <c r="X6" s="33" t="s">
        <v>603</v>
      </c>
      <c r="Y6" s="33"/>
      <c r="AA6" s="33" t="s">
        <v>603</v>
      </c>
      <c r="AB6" s="33"/>
    </row>
    <row r="7" spans="2:31" ht="13.2" customHeight="1">
      <c r="C7" s="16">
        <v>1</v>
      </c>
      <c r="D7" s="34" t="s">
        <v>44</v>
      </c>
      <c r="E7" s="34" t="s">
        <v>596</v>
      </c>
      <c r="F7" s="42" t="s">
        <v>745</v>
      </c>
      <c r="G7" s="210"/>
      <c r="H7" s="1" t="s">
        <v>9</v>
      </c>
      <c r="K7" s="5" t="s">
        <v>100</v>
      </c>
      <c r="L7" s="17" t="s">
        <v>758</v>
      </c>
      <c r="M7" s="4"/>
      <c r="N7" s="5" t="s">
        <v>100</v>
      </c>
      <c r="O7" s="17"/>
      <c r="Q7" s="197" t="s">
        <v>100</v>
      </c>
      <c r="R7" s="33"/>
      <c r="T7" s="197" t="s">
        <v>100</v>
      </c>
      <c r="U7" s="33"/>
      <c r="X7" s="33" t="s">
        <v>604</v>
      </c>
      <c r="Y7" s="33"/>
      <c r="AA7" s="33" t="s">
        <v>604</v>
      </c>
      <c r="AB7" s="33"/>
    </row>
    <row r="8" spans="2:31" ht="13.2" customHeight="1">
      <c r="C8" s="16">
        <v>2</v>
      </c>
      <c r="D8" s="34" t="s">
        <v>24</v>
      </c>
      <c r="E8" s="34" t="s">
        <v>26</v>
      </c>
      <c r="F8" s="42" t="s">
        <v>746</v>
      </c>
      <c r="G8" s="210"/>
      <c r="H8" s="1" t="s">
        <v>9</v>
      </c>
      <c r="K8" s="5" t="s">
        <v>102</v>
      </c>
      <c r="L8" s="17" t="s">
        <v>291</v>
      </c>
      <c r="M8" s="4"/>
      <c r="N8" s="5" t="s">
        <v>102</v>
      </c>
      <c r="O8" s="17"/>
      <c r="Q8" s="197" t="s">
        <v>102</v>
      </c>
      <c r="R8" s="33"/>
      <c r="T8" s="197" t="s">
        <v>102</v>
      </c>
      <c r="U8" s="33"/>
      <c r="X8" s="33" t="s">
        <v>605</v>
      </c>
      <c r="Y8" s="33"/>
      <c r="AA8" s="33" t="s">
        <v>605</v>
      </c>
      <c r="AB8" s="33"/>
    </row>
    <row r="9" spans="2:31" ht="13.2" customHeight="1">
      <c r="C9" s="16">
        <v>3</v>
      </c>
      <c r="D9" s="34" t="s">
        <v>23</v>
      </c>
      <c r="E9" s="34" t="s">
        <v>0</v>
      </c>
      <c r="F9" s="42" t="s">
        <v>747</v>
      </c>
      <c r="G9" s="210"/>
      <c r="H9" s="1" t="s">
        <v>9</v>
      </c>
      <c r="K9" s="5" t="s">
        <v>103</v>
      </c>
      <c r="L9" s="17" t="s">
        <v>759</v>
      </c>
      <c r="M9" s="4"/>
      <c r="N9" s="5" t="s">
        <v>103</v>
      </c>
      <c r="O9" s="17"/>
      <c r="Q9" s="197" t="s">
        <v>103</v>
      </c>
      <c r="R9" s="33"/>
      <c r="T9" s="197" t="s">
        <v>103</v>
      </c>
      <c r="U9" s="33"/>
      <c r="X9" s="33" t="s">
        <v>105</v>
      </c>
      <c r="Y9" s="33"/>
      <c r="AA9" s="33" t="s">
        <v>105</v>
      </c>
      <c r="AB9" s="33"/>
    </row>
    <row r="10" spans="2:31" ht="13.2" customHeight="1">
      <c r="B10" s="3"/>
      <c r="C10" s="16">
        <v>4</v>
      </c>
      <c r="D10" s="34" t="s">
        <v>25</v>
      </c>
      <c r="E10" s="34" t="s">
        <v>59</v>
      </c>
      <c r="F10" s="187">
        <v>6000000000</v>
      </c>
      <c r="G10" s="211"/>
      <c r="H10" s="1" t="s">
        <v>9</v>
      </c>
      <c r="Q10" s="2"/>
      <c r="R10" s="2"/>
      <c r="X10" s="33" t="s">
        <v>104</v>
      </c>
      <c r="Y10" s="33"/>
      <c r="AA10" s="33" t="s">
        <v>104</v>
      </c>
      <c r="AB10" s="33"/>
    </row>
    <row r="11" spans="2:31" ht="13.2" customHeight="1">
      <c r="C11" s="16">
        <v>5</v>
      </c>
      <c r="D11" s="34" t="s">
        <v>742</v>
      </c>
      <c r="E11" s="34" t="s">
        <v>28</v>
      </c>
      <c r="F11" s="188">
        <v>1.5</v>
      </c>
      <c r="G11" s="212"/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33" t="s">
        <v>606</v>
      </c>
      <c r="Y11" s="197"/>
      <c r="AA11" s="33" t="s">
        <v>606</v>
      </c>
      <c r="AB11" s="197"/>
    </row>
    <row r="12" spans="2:31" ht="13.2" customHeight="1">
      <c r="C12" s="16">
        <v>6</v>
      </c>
      <c r="D12" s="34" t="s">
        <v>79</v>
      </c>
      <c r="E12" s="34" t="s">
        <v>98</v>
      </c>
      <c r="F12" s="44" t="s">
        <v>748</v>
      </c>
      <c r="G12" s="213"/>
      <c r="H12" s="1" t="s">
        <v>9</v>
      </c>
      <c r="I12" s="18">
        <v>1</v>
      </c>
      <c r="J12" s="2"/>
      <c r="K12" s="29">
        <v>90</v>
      </c>
      <c r="L12" s="30">
        <v>3.3700000000000001E-2</v>
      </c>
      <c r="N12" s="29">
        <v>180</v>
      </c>
      <c r="O12" s="30">
        <v>0</v>
      </c>
      <c r="Q12" s="198"/>
      <c r="R12" s="199"/>
      <c r="T12" s="198"/>
      <c r="U12" s="199"/>
      <c r="X12" s="197" t="s">
        <v>99</v>
      </c>
      <c r="Y12" s="33"/>
      <c r="AA12" s="197" t="s">
        <v>99</v>
      </c>
      <c r="AB12" s="33"/>
    </row>
    <row r="13" spans="2:31" ht="13.2" customHeight="1">
      <c r="C13" s="16">
        <v>7</v>
      </c>
      <c r="D13" s="34" t="s">
        <v>105</v>
      </c>
      <c r="E13" s="34" t="s">
        <v>95</v>
      </c>
      <c r="F13" s="44" t="s">
        <v>749</v>
      </c>
      <c r="G13" s="213"/>
      <c r="H13" s="1" t="s">
        <v>9</v>
      </c>
      <c r="I13" s="18">
        <v>2</v>
      </c>
      <c r="J13" s="2"/>
      <c r="K13" s="29">
        <v>180</v>
      </c>
      <c r="L13" s="30">
        <v>3.1699999999999999E-2</v>
      </c>
      <c r="N13" s="29">
        <v>360</v>
      </c>
      <c r="O13" s="30">
        <v>0</v>
      </c>
      <c r="Q13" s="198"/>
      <c r="R13" s="199"/>
      <c r="T13" s="198"/>
      <c r="U13" s="199"/>
      <c r="X13" s="33" t="s">
        <v>607</v>
      </c>
      <c r="Y13" s="33"/>
      <c r="AA13" s="33" t="s">
        <v>607</v>
      </c>
      <c r="AB13" s="33"/>
    </row>
    <row r="14" spans="2:31" ht="13.2" customHeight="1">
      <c r="C14" s="16">
        <v>8</v>
      </c>
      <c r="D14" s="44" t="s">
        <v>45</v>
      </c>
      <c r="E14" s="44" t="s">
        <v>91</v>
      </c>
      <c r="F14" s="44" t="s">
        <v>750</v>
      </c>
      <c r="G14" s="213"/>
      <c r="H14" s="1" t="s">
        <v>9</v>
      </c>
      <c r="I14" s="18">
        <v>3</v>
      </c>
      <c r="J14" s="2"/>
      <c r="K14" s="29">
        <v>360</v>
      </c>
      <c r="L14" s="30">
        <v>2.8500000000000001E-2</v>
      </c>
      <c r="N14" s="29">
        <v>1080</v>
      </c>
      <c r="O14" s="30">
        <v>0</v>
      </c>
      <c r="Q14" s="198"/>
      <c r="R14" s="199"/>
      <c r="T14" s="198"/>
      <c r="U14" s="199"/>
      <c r="X14" s="33" t="s">
        <v>608</v>
      </c>
      <c r="Y14" s="33"/>
      <c r="AA14" s="33" t="s">
        <v>608</v>
      </c>
      <c r="AB14" s="33"/>
    </row>
    <row r="15" spans="2:31" ht="13.2" customHeight="1">
      <c r="C15" s="16">
        <v>9</v>
      </c>
      <c r="D15" s="34" t="s">
        <v>106</v>
      </c>
      <c r="E15" s="44" t="s">
        <v>93</v>
      </c>
      <c r="F15" s="44" t="s">
        <v>751</v>
      </c>
      <c r="G15" s="213"/>
      <c r="H15" s="1" t="s">
        <v>9</v>
      </c>
      <c r="I15" s="18">
        <v>4</v>
      </c>
      <c r="J15" s="2"/>
      <c r="K15" s="29">
        <v>720</v>
      </c>
      <c r="L15" s="30">
        <v>2.7199999999999998E-2</v>
      </c>
      <c r="N15" s="29">
        <v>1800</v>
      </c>
      <c r="O15" s="30">
        <v>5.0000000000000001E-4</v>
      </c>
      <c r="Q15" s="198"/>
      <c r="R15" s="199"/>
      <c r="T15" s="198"/>
      <c r="U15" s="199"/>
    </row>
    <row r="16" spans="2:31" ht="13.2" customHeight="1">
      <c r="C16" s="16">
        <v>10</v>
      </c>
      <c r="D16" s="34" t="s">
        <v>104</v>
      </c>
      <c r="E16" s="44" t="s">
        <v>94</v>
      </c>
      <c r="F16" s="44" t="s">
        <v>752</v>
      </c>
      <c r="G16" s="213"/>
      <c r="H16" s="1" t="s">
        <v>9</v>
      </c>
      <c r="I16" s="18">
        <v>5</v>
      </c>
      <c r="J16" s="2"/>
      <c r="K16" s="29">
        <v>1080</v>
      </c>
      <c r="L16" s="30">
        <v>2.69E-2</v>
      </c>
      <c r="N16" s="29">
        <v>3600</v>
      </c>
      <c r="O16" s="30">
        <v>1E-3</v>
      </c>
      <c r="Q16" s="198"/>
      <c r="R16" s="199"/>
      <c r="T16" s="198"/>
      <c r="U16" s="199"/>
    </row>
    <row r="17" spans="2:71" ht="13.2" customHeight="1">
      <c r="B17" s="3"/>
      <c r="C17" s="16">
        <v>11</v>
      </c>
      <c r="D17" s="34" t="s">
        <v>96</v>
      </c>
      <c r="E17" s="34" t="s">
        <v>97</v>
      </c>
      <c r="F17" s="223">
        <v>0</v>
      </c>
      <c r="G17" s="214"/>
      <c r="H17" s="1" t="s">
        <v>9</v>
      </c>
      <c r="I17" s="18">
        <v>6</v>
      </c>
      <c r="J17" s="2"/>
      <c r="K17" s="29">
        <v>1800</v>
      </c>
      <c r="L17" s="30">
        <v>2.7099999999999999E-2</v>
      </c>
      <c r="N17" s="29"/>
      <c r="O17" s="30"/>
      <c r="Q17" s="198"/>
      <c r="R17" s="199"/>
      <c r="T17" s="198"/>
      <c r="U17" s="199"/>
    </row>
    <row r="18" spans="2:71" ht="13.2" customHeight="1">
      <c r="C18" s="16">
        <v>12</v>
      </c>
      <c r="D18" s="45" t="s">
        <v>69</v>
      </c>
      <c r="E18" s="45" t="s">
        <v>601</v>
      </c>
      <c r="F18" s="57" t="s">
        <v>753</v>
      </c>
      <c r="G18" s="215"/>
      <c r="H18" s="1" t="s">
        <v>9</v>
      </c>
      <c r="I18" s="18">
        <v>7</v>
      </c>
      <c r="J18" s="2"/>
      <c r="K18" s="29">
        <v>3600</v>
      </c>
      <c r="L18" s="30">
        <v>2.7799999999999998E-2</v>
      </c>
      <c r="N18" s="195"/>
      <c r="O18" s="30"/>
      <c r="Q18" s="198"/>
      <c r="R18" s="199"/>
      <c r="T18" s="198"/>
      <c r="U18" s="199"/>
    </row>
    <row r="19" spans="2:71" ht="13.2" customHeight="1">
      <c r="C19" s="16">
        <v>13</v>
      </c>
      <c r="D19" s="45" t="s">
        <v>67</v>
      </c>
      <c r="E19" s="45" t="s">
        <v>612</v>
      </c>
      <c r="F19" s="47" t="s">
        <v>754</v>
      </c>
      <c r="G19" s="216"/>
      <c r="H19" s="1" t="s">
        <v>9</v>
      </c>
      <c r="I19" s="18">
        <v>8</v>
      </c>
      <c r="J19" s="2"/>
      <c r="K19" s="29">
        <v>5400</v>
      </c>
      <c r="L19" s="30">
        <v>2.7199999999999998E-2</v>
      </c>
      <c r="N19" s="29"/>
      <c r="O19" s="30"/>
      <c r="Q19" s="198"/>
      <c r="R19" s="199"/>
      <c r="T19" s="198"/>
      <c r="U19" s="199"/>
    </row>
    <row r="20" spans="2:71" ht="13.2" customHeight="1">
      <c r="B20" s="3"/>
      <c r="C20" s="16">
        <v>14</v>
      </c>
      <c r="D20" s="34" t="s">
        <v>743</v>
      </c>
      <c r="E20" s="34" t="s">
        <v>76</v>
      </c>
      <c r="F20" s="149">
        <v>1.38897950828915E-3</v>
      </c>
      <c r="G20" s="217"/>
      <c r="H20" s="1" t="s">
        <v>9</v>
      </c>
      <c r="I20" s="18">
        <v>9</v>
      </c>
      <c r="J20" s="2"/>
      <c r="K20" s="29">
        <v>7200</v>
      </c>
      <c r="L20" s="30">
        <v>2.5399999999999999E-2</v>
      </c>
      <c r="N20" s="29"/>
      <c r="O20" s="30"/>
      <c r="Q20" s="198"/>
      <c r="R20" s="199"/>
      <c r="T20" s="198"/>
      <c r="U20" s="199"/>
    </row>
    <row r="21" spans="2:71" ht="13.2" customHeight="1">
      <c r="C21" s="16">
        <v>15</v>
      </c>
      <c r="D21" s="45" t="s">
        <v>68</v>
      </c>
      <c r="E21" s="45" t="s">
        <v>613</v>
      </c>
      <c r="F21" s="46" t="s">
        <v>90</v>
      </c>
      <c r="G21" s="218"/>
      <c r="H21" s="1" t="s">
        <v>9</v>
      </c>
      <c r="I21" s="21">
        <v>10</v>
      </c>
      <c r="J21" s="2"/>
      <c r="K21" s="29">
        <v>10800</v>
      </c>
      <c r="L21" s="30">
        <v>2.2200000000000001E-2</v>
      </c>
      <c r="N21" s="29"/>
      <c r="O21" s="30"/>
      <c r="Q21" s="198"/>
      <c r="R21" s="199"/>
      <c r="T21" s="198"/>
      <c r="U21" s="199"/>
    </row>
    <row r="22" spans="2:71" ht="13.2" customHeight="1">
      <c r="C22" s="16">
        <v>16</v>
      </c>
      <c r="D22" s="34" t="s">
        <v>29</v>
      </c>
      <c r="E22" s="34" t="s">
        <v>61</v>
      </c>
      <c r="F22" s="224">
        <v>5536303734.6883898</v>
      </c>
      <c r="G22" s="211"/>
      <c r="H22" s="1" t="s">
        <v>9</v>
      </c>
    </row>
    <row r="23" spans="2:71" ht="13.2" customHeight="1">
      <c r="C23" s="16">
        <v>17</v>
      </c>
      <c r="D23" s="17" t="s">
        <v>117</v>
      </c>
      <c r="E23" s="17" t="s">
        <v>118</v>
      </c>
      <c r="F23" s="55" t="s">
        <v>755</v>
      </c>
      <c r="G23" s="219"/>
      <c r="H23" s="1" t="s">
        <v>9</v>
      </c>
    </row>
    <row r="24" spans="2:71" ht="13.2" customHeight="1">
      <c r="C24" s="19">
        <v>18</v>
      </c>
      <c r="D24" s="17" t="s">
        <v>383</v>
      </c>
      <c r="E24" s="17" t="s">
        <v>384</v>
      </c>
      <c r="F24" s="17" t="s">
        <v>756</v>
      </c>
      <c r="G24" s="1"/>
      <c r="H24" s="1" t="s">
        <v>9</v>
      </c>
    </row>
    <row r="25" spans="2:71" ht="13.2" customHeight="1">
      <c r="C25" s="1"/>
      <c r="F25" s="1"/>
      <c r="G25" s="1"/>
      <c r="H25" s="1" t="s">
        <v>9</v>
      </c>
      <c r="I25" s="238" t="s">
        <v>13</v>
      </c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  <c r="Z25" s="238"/>
      <c r="AA25" s="238"/>
      <c r="AB25" s="238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/>
      <c r="AW25" s="238"/>
      <c r="AX25" s="238"/>
      <c r="AY25" s="238"/>
      <c r="AZ25" s="238"/>
      <c r="BA25" s="238"/>
      <c r="BB25" s="238"/>
      <c r="BC25" s="238"/>
      <c r="BD25" s="238"/>
      <c r="BE25" s="238"/>
      <c r="BF25" s="238"/>
      <c r="BG25" s="238"/>
      <c r="BH25" s="238"/>
      <c r="BI25" s="238"/>
      <c r="BJ25" s="238"/>
      <c r="BK25" s="238"/>
      <c r="BL25" s="238"/>
      <c r="BM25" s="238"/>
      <c r="BN25" s="238"/>
      <c r="BO25" s="238"/>
      <c r="BP25" s="238"/>
      <c r="BQ25" s="238"/>
      <c r="BR25" s="238"/>
      <c r="BS25" s="238"/>
    </row>
    <row r="26" spans="2:71" ht="13.2" customHeight="1">
      <c r="C26" s="1"/>
      <c r="F26" s="1"/>
      <c r="G26" s="1"/>
      <c r="K26" s="229" t="str">
        <f>F18</f>
        <v>SCH_001</v>
      </c>
      <c r="L26" s="230"/>
      <c r="M26" s="230"/>
      <c r="N26" s="230"/>
      <c r="O26" s="230"/>
      <c r="P26" s="230"/>
      <c r="Q26" s="230"/>
      <c r="R26" s="230"/>
      <c r="S26" s="230"/>
      <c r="T26" s="230"/>
      <c r="U26" s="230"/>
      <c r="V26" s="230"/>
      <c r="W26" s="230"/>
      <c r="X26" s="230"/>
      <c r="Y26" s="230"/>
      <c r="Z26" s="230"/>
      <c r="AA26" s="230"/>
      <c r="AB26" s="230"/>
      <c r="AC26" s="230"/>
      <c r="AD26" s="230"/>
      <c r="AE26" s="230"/>
      <c r="AF26" s="230"/>
      <c r="AG26" s="230"/>
      <c r="AH26" s="230"/>
      <c r="AI26" s="230"/>
      <c r="AJ26" s="230"/>
      <c r="AK26" s="230"/>
      <c r="AL26" s="230"/>
      <c r="AM26" s="230"/>
      <c r="AN26" s="230"/>
      <c r="AO26" s="230"/>
      <c r="AP26" s="230"/>
      <c r="AQ26" s="230"/>
      <c r="AR26" s="230"/>
      <c r="AS26" s="230"/>
      <c r="AT26" s="230"/>
      <c r="AU26" s="230"/>
      <c r="AV26" s="230"/>
      <c r="AW26" s="230"/>
      <c r="AX26" s="230"/>
      <c r="AY26" s="230"/>
      <c r="AZ26" s="230"/>
      <c r="BA26" s="230"/>
      <c r="BB26" s="230"/>
      <c r="BC26" s="230"/>
      <c r="BD26" s="230"/>
      <c r="BE26" s="230"/>
      <c r="BF26" s="230"/>
      <c r="BG26" s="230"/>
      <c r="BH26" s="230"/>
      <c r="BI26" s="230"/>
      <c r="BJ26" s="230"/>
      <c r="BK26" s="230"/>
      <c r="BL26" s="230"/>
      <c r="BM26" s="230"/>
      <c r="BN26" s="230"/>
      <c r="BO26" s="230"/>
      <c r="BP26" s="230"/>
      <c r="BQ26" s="230"/>
      <c r="BR26" s="230"/>
      <c r="BS26" s="231"/>
    </row>
    <row r="27" spans="2:71" ht="13.2" customHeight="1">
      <c r="C27" s="1"/>
      <c r="F27" s="1"/>
      <c r="G27" s="1"/>
      <c r="H27" s="1" t="s">
        <v>9</v>
      </c>
      <c r="I27" s="15" t="s">
        <v>10</v>
      </c>
      <c r="K27" s="13" t="s">
        <v>10</v>
      </c>
      <c r="L27" s="49">
        <v>1</v>
      </c>
      <c r="M27" s="49">
        <v>2</v>
      </c>
      <c r="N27" s="49">
        <v>3</v>
      </c>
      <c r="O27" s="49">
        <v>4</v>
      </c>
      <c r="P27" s="49">
        <v>5</v>
      </c>
      <c r="Q27" s="49">
        <v>6</v>
      </c>
      <c r="R27" s="49">
        <v>7</v>
      </c>
      <c r="S27" s="49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2" customHeight="1">
      <c r="C28" s="1"/>
      <c r="F28" s="1"/>
      <c r="G28" s="1"/>
      <c r="H28" s="1" t="s">
        <v>9</v>
      </c>
      <c r="I28" s="18">
        <v>1</v>
      </c>
      <c r="K28" s="13" t="s">
        <v>64</v>
      </c>
      <c r="L28" s="26" t="s">
        <v>760</v>
      </c>
      <c r="M28" s="180" t="s">
        <v>761</v>
      </c>
      <c r="N28" s="180" t="s">
        <v>762</v>
      </c>
      <c r="O28" s="180" t="s">
        <v>763</v>
      </c>
      <c r="P28" s="180" t="s">
        <v>764</v>
      </c>
      <c r="Q28" s="180" t="s">
        <v>765</v>
      </c>
      <c r="R28" s="180" t="s">
        <v>766</v>
      </c>
      <c r="S28" s="180" t="s">
        <v>767</v>
      </c>
      <c r="T28" s="180" t="s">
        <v>768</v>
      </c>
      <c r="U28" s="180" t="s">
        <v>769</v>
      </c>
      <c r="V28" s="180" t="s">
        <v>770</v>
      </c>
      <c r="W28" s="180" t="s">
        <v>747</v>
      </c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</row>
    <row r="29" spans="2:71" ht="13.2" customHeight="1">
      <c r="C29" s="1"/>
      <c r="F29" s="1"/>
      <c r="G29" s="1"/>
      <c r="H29" s="1" t="s">
        <v>9</v>
      </c>
      <c r="I29" s="18">
        <v>2</v>
      </c>
      <c r="K29" s="13" t="s">
        <v>65</v>
      </c>
      <c r="L29" s="26" t="s">
        <v>771</v>
      </c>
      <c r="M29" s="180" t="s">
        <v>760</v>
      </c>
      <c r="N29" s="180" t="s">
        <v>761</v>
      </c>
      <c r="O29" s="180" t="s">
        <v>762</v>
      </c>
      <c r="P29" s="180" t="s">
        <v>763</v>
      </c>
      <c r="Q29" s="180" t="s">
        <v>764</v>
      </c>
      <c r="R29" s="180" t="s">
        <v>765</v>
      </c>
      <c r="S29" s="180" t="s">
        <v>766</v>
      </c>
      <c r="T29" s="180" t="s">
        <v>767</v>
      </c>
      <c r="U29" s="180" t="s">
        <v>768</v>
      </c>
      <c r="V29" s="180" t="s">
        <v>769</v>
      </c>
      <c r="W29" s="180" t="s">
        <v>770</v>
      </c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</row>
    <row r="30" spans="2:71" ht="13.2" customHeight="1">
      <c r="C30" s="1"/>
      <c r="F30" s="1"/>
      <c r="G30" s="1"/>
      <c r="I30" s="21">
        <v>3</v>
      </c>
      <c r="K30" s="13" t="s">
        <v>66</v>
      </c>
      <c r="L30" s="26" t="s">
        <v>760</v>
      </c>
      <c r="M30" s="180" t="s">
        <v>761</v>
      </c>
      <c r="N30" s="180" t="s">
        <v>762</v>
      </c>
      <c r="O30" s="180" t="s">
        <v>763</v>
      </c>
      <c r="P30" s="180" t="s">
        <v>764</v>
      </c>
      <c r="Q30" s="180" t="s">
        <v>765</v>
      </c>
      <c r="R30" s="180" t="s">
        <v>766</v>
      </c>
      <c r="S30" s="180" t="s">
        <v>767</v>
      </c>
      <c r="T30" s="180" t="s">
        <v>768</v>
      </c>
      <c r="U30" s="180" t="s">
        <v>769</v>
      </c>
      <c r="V30" s="180" t="s">
        <v>770</v>
      </c>
      <c r="W30" s="180" t="s">
        <v>747</v>
      </c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</row>
    <row r="31" spans="2:71" ht="13.2" customHeight="1">
      <c r="C31" s="1"/>
      <c r="F31" s="1"/>
      <c r="G31" s="1"/>
    </row>
    <row r="32" spans="2:71" ht="13.2" customHeight="1">
      <c r="C32" s="1"/>
      <c r="F32" s="1"/>
      <c r="G32" s="1"/>
      <c r="K32" s="226"/>
      <c r="L32" s="227"/>
      <c r="M32" s="227"/>
      <c r="N32" s="227"/>
      <c r="O32" s="227"/>
      <c r="P32" s="227"/>
      <c r="Q32" s="227"/>
      <c r="R32" s="227"/>
      <c r="S32" s="227"/>
      <c r="T32" s="227"/>
      <c r="U32" s="227"/>
      <c r="V32" s="227"/>
      <c r="W32" s="227"/>
      <c r="X32" s="227"/>
      <c r="Y32" s="227"/>
      <c r="Z32" s="227"/>
      <c r="AA32" s="227"/>
      <c r="AB32" s="227"/>
      <c r="AC32" s="227"/>
      <c r="AD32" s="227"/>
      <c r="AE32" s="227"/>
      <c r="AF32" s="227"/>
      <c r="AG32" s="227"/>
      <c r="AH32" s="227"/>
      <c r="AI32" s="227"/>
      <c r="AJ32" s="227"/>
      <c r="AK32" s="227"/>
      <c r="AL32" s="227"/>
      <c r="AM32" s="227"/>
      <c r="AN32" s="227"/>
      <c r="AO32" s="227"/>
      <c r="AP32" s="227"/>
      <c r="AQ32" s="227"/>
      <c r="AR32" s="227"/>
      <c r="AS32" s="227"/>
      <c r="AT32" s="227"/>
      <c r="AU32" s="227"/>
      <c r="AV32" s="227"/>
      <c r="AW32" s="227"/>
      <c r="AX32" s="227"/>
      <c r="AY32" s="227"/>
      <c r="AZ32" s="227"/>
      <c r="BA32" s="227"/>
      <c r="BB32" s="227"/>
      <c r="BC32" s="227"/>
      <c r="BD32" s="227"/>
      <c r="BE32" s="227"/>
      <c r="BF32" s="227"/>
      <c r="BG32" s="227"/>
      <c r="BH32" s="227"/>
      <c r="BI32" s="227"/>
      <c r="BJ32" s="227"/>
      <c r="BK32" s="227"/>
      <c r="BL32" s="227"/>
      <c r="BM32" s="227"/>
      <c r="BN32" s="227"/>
      <c r="BO32" s="227"/>
      <c r="BP32" s="227"/>
      <c r="BQ32" s="227"/>
      <c r="BR32" s="227"/>
      <c r="BS32" s="228"/>
    </row>
    <row r="33" spans="3:71" ht="13.2" customHeight="1">
      <c r="C33" s="1"/>
      <c r="F33" s="1"/>
      <c r="G33" s="1"/>
      <c r="I33" s="15" t="s">
        <v>10</v>
      </c>
      <c r="K33" s="13" t="s">
        <v>10</v>
      </c>
      <c r="L33" s="49">
        <v>1</v>
      </c>
      <c r="M33" s="49">
        <v>2</v>
      </c>
      <c r="N33" s="49">
        <v>3</v>
      </c>
      <c r="O33" s="49">
        <v>4</v>
      </c>
      <c r="P33" s="49">
        <v>5</v>
      </c>
      <c r="Q33" s="49">
        <v>6</v>
      </c>
      <c r="R33" s="49">
        <v>7</v>
      </c>
      <c r="S33" s="49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3:71" ht="13.2" customHeight="1">
      <c r="C34" s="1"/>
      <c r="F34" s="1"/>
      <c r="G34" s="1"/>
      <c r="I34" s="18">
        <v>1</v>
      </c>
      <c r="K34" s="13" t="s">
        <v>64</v>
      </c>
      <c r="L34" s="200"/>
      <c r="M34" s="201"/>
      <c r="N34" s="201"/>
      <c r="O34" s="201"/>
      <c r="P34" s="201"/>
      <c r="Q34" s="201"/>
      <c r="R34" s="201"/>
      <c r="S34" s="201"/>
      <c r="T34" s="201"/>
      <c r="U34" s="201"/>
      <c r="V34" s="201"/>
      <c r="W34" s="201"/>
      <c r="X34" s="198"/>
      <c r="Y34" s="198"/>
      <c r="Z34" s="198"/>
      <c r="AA34" s="198"/>
      <c r="AB34" s="198"/>
      <c r="AC34" s="198"/>
      <c r="AD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</row>
    <row r="35" spans="3:71" ht="13.2" customHeight="1">
      <c r="C35" s="1"/>
      <c r="F35" s="1"/>
      <c r="G35" s="1"/>
      <c r="I35" s="18">
        <v>2</v>
      </c>
      <c r="K35" s="13" t="s">
        <v>65</v>
      </c>
      <c r="L35" s="200"/>
      <c r="M35" s="201"/>
      <c r="N35" s="201"/>
      <c r="O35" s="201"/>
      <c r="P35" s="201"/>
      <c r="Q35" s="201"/>
      <c r="R35" s="201"/>
      <c r="S35" s="201"/>
      <c r="T35" s="201"/>
      <c r="U35" s="201"/>
      <c r="V35" s="201"/>
      <c r="W35" s="201"/>
      <c r="X35" s="198"/>
      <c r="Y35" s="198"/>
      <c r="Z35" s="198"/>
      <c r="AA35" s="198"/>
      <c r="AB35" s="198"/>
      <c r="AC35" s="198"/>
      <c r="AD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</row>
    <row r="36" spans="3:71" ht="13.2" customHeight="1">
      <c r="C36" s="1"/>
      <c r="I36" s="21">
        <v>3</v>
      </c>
      <c r="K36" s="13" t="s">
        <v>66</v>
      </c>
      <c r="L36" s="200"/>
      <c r="M36" s="201"/>
      <c r="N36" s="201"/>
      <c r="O36" s="201"/>
      <c r="P36" s="201"/>
      <c r="Q36" s="201"/>
      <c r="R36" s="201"/>
      <c r="S36" s="201"/>
      <c r="T36" s="201"/>
      <c r="U36" s="201"/>
      <c r="V36" s="201"/>
      <c r="W36" s="201"/>
      <c r="X36" s="198"/>
      <c r="Y36" s="198"/>
      <c r="Z36" s="198"/>
      <c r="AA36" s="198"/>
      <c r="AB36" s="198"/>
      <c r="AC36" s="198"/>
      <c r="AD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</row>
    <row r="37" spans="3:71" ht="13.2" customHeight="1">
      <c r="C37" s="1"/>
      <c r="F37" s="1"/>
      <c r="G37" s="1"/>
    </row>
    <row r="38" spans="3:71" ht="13.2" customHeight="1">
      <c r="C38" s="1"/>
      <c r="F38" s="1"/>
      <c r="G38" s="1"/>
    </row>
    <row r="39" spans="3:71" ht="13.2" customHeight="1">
      <c r="C39" s="1"/>
      <c r="F39" s="1"/>
      <c r="G39" s="1"/>
    </row>
    <row r="40" spans="3:71" ht="13.2" customHeight="1">
      <c r="C40" s="1"/>
      <c r="F40" s="1"/>
      <c r="G40" s="1"/>
    </row>
    <row r="41" spans="3:71" ht="13.2" customHeight="1">
      <c r="C41" s="1"/>
      <c r="F41" s="1"/>
      <c r="G41" s="1"/>
    </row>
    <row r="42" spans="3:71" ht="13.2" customHeight="1">
      <c r="C42" s="1"/>
      <c r="F42" s="1"/>
      <c r="G42" s="1"/>
    </row>
    <row r="43" spans="3:71" ht="13.2" customHeight="1">
      <c r="C43" s="1"/>
      <c r="F43" s="1"/>
      <c r="G43" s="1"/>
    </row>
    <row r="44" spans="3:71" ht="13.2" customHeight="1">
      <c r="C44" s="1"/>
      <c r="F44" s="1"/>
      <c r="G44" s="1"/>
    </row>
    <row r="45" spans="3:71" ht="13.2" customHeight="1">
      <c r="C45" s="1"/>
      <c r="F45" s="1"/>
      <c r="G45" s="1"/>
    </row>
    <row r="46" spans="3:71" ht="13.2" customHeight="1">
      <c r="C46" s="1"/>
      <c r="F46" s="1"/>
      <c r="G46" s="1"/>
    </row>
    <row r="47" spans="3:71" ht="13.2" customHeight="1">
      <c r="C47" s="1"/>
      <c r="F47" s="1"/>
      <c r="G47" s="1"/>
    </row>
    <row r="48" spans="3:71" ht="13.2" customHeight="1">
      <c r="C48" s="1"/>
      <c r="F48" s="1"/>
      <c r="G48" s="1"/>
    </row>
    <row r="49" spans="3:7" ht="13.2" customHeight="1">
      <c r="C49" s="1"/>
      <c r="F49" s="1"/>
      <c r="G49" s="1"/>
    </row>
    <row r="50" spans="3:7" ht="13.2" customHeight="1">
      <c r="C50" s="1"/>
      <c r="F50" s="1"/>
      <c r="G50" s="1"/>
    </row>
    <row r="51" spans="3:7" ht="13.2" customHeight="1">
      <c r="C51" s="1"/>
      <c r="F51" s="1"/>
      <c r="G51" s="1"/>
    </row>
    <row r="52" spans="3:7" ht="13.2" customHeight="1">
      <c r="C52" s="1"/>
      <c r="F52" s="1"/>
      <c r="G52" s="1"/>
    </row>
    <row r="53" spans="3:7" ht="13.2" customHeight="1">
      <c r="C53" s="1"/>
      <c r="F53" s="1"/>
      <c r="G53" s="1"/>
    </row>
    <row r="54" spans="3:7" ht="13.2" customHeight="1">
      <c r="C54" s="1"/>
      <c r="F54" s="1"/>
      <c r="G54" s="1"/>
    </row>
    <row r="58" spans="3:7" ht="13.2" customHeight="1">
      <c r="F58" s="1"/>
      <c r="G58" s="1"/>
    </row>
    <row r="68" spans="5:5" ht="13.2" customHeight="1">
      <c r="E68" s="3"/>
    </row>
    <row r="69" spans="5:5" ht="13.2" customHeight="1">
      <c r="E69" s="3"/>
    </row>
  </sheetData>
  <mergeCells count="15">
    <mergeCell ref="K32:BS32"/>
    <mergeCell ref="K26:BS26"/>
    <mergeCell ref="B2:F2"/>
    <mergeCell ref="C5:F5"/>
    <mergeCell ref="K5:L5"/>
    <mergeCell ref="N5:O5"/>
    <mergeCell ref="I25:BS25"/>
    <mergeCell ref="B4:F4"/>
    <mergeCell ref="Q5:R5"/>
    <mergeCell ref="T5:U5"/>
    <mergeCell ref="X5:Y5"/>
    <mergeCell ref="AA5:AB5"/>
    <mergeCell ref="I4:V4"/>
    <mergeCell ref="X4:AE4"/>
    <mergeCell ref="I2:AE2"/>
  </mergeCells>
  <phoneticPr fontId="1" type="noConversion"/>
  <conditionalFormatting sqref="D45">
    <cfRule type="expression" dxfId="67" priority="37">
      <formula>$C45&lt;&gt;$C44</formula>
    </cfRule>
  </conditionalFormatting>
  <conditionalFormatting sqref="D45">
    <cfRule type="expression" dxfId="66" priority="38">
      <formula>$T51="Y"</formula>
    </cfRule>
  </conditionalFormatting>
  <conditionalFormatting sqref="E45">
    <cfRule type="expression" dxfId="65" priority="35">
      <formula>$C45&lt;&gt;$C44</formula>
    </cfRule>
  </conditionalFormatting>
  <conditionalFormatting sqref="E45">
    <cfRule type="expression" dxfId="64" priority="36">
      <formula>$T51="Y"</formula>
    </cfRule>
  </conditionalFormatting>
  <conditionalFormatting sqref="G11 G17:G18">
    <cfRule type="expression" dxfId="63" priority="34">
      <formula>$L11="GROUP"</formula>
    </cfRule>
  </conditionalFormatting>
  <conditionalFormatting sqref="G12">
    <cfRule type="expression" dxfId="62" priority="33">
      <formula>$L12="GROUP"</formula>
    </cfRule>
  </conditionalFormatting>
  <conditionalFormatting sqref="G13">
    <cfRule type="expression" dxfId="61" priority="32">
      <formula>$L13="GROUP"</formula>
    </cfRule>
  </conditionalFormatting>
  <conditionalFormatting sqref="G14">
    <cfRule type="expression" dxfId="60" priority="31">
      <formula>$L14="GROUP"</formula>
    </cfRule>
  </conditionalFormatting>
  <conditionalFormatting sqref="G15">
    <cfRule type="expression" dxfId="59" priority="30">
      <formula>$L15="GROUP"</formula>
    </cfRule>
  </conditionalFormatting>
  <conditionalFormatting sqref="G16">
    <cfRule type="expression" dxfId="58" priority="29">
      <formula>$L16="GROUP"</formula>
    </cfRule>
  </conditionalFormatting>
  <conditionalFormatting sqref="O6">
    <cfRule type="expression" dxfId="57" priority="24">
      <formula>$L6="GROUP"</formula>
    </cfRule>
  </conditionalFormatting>
  <conditionalFormatting sqref="O7">
    <cfRule type="expression" dxfId="56" priority="23">
      <formula>$L7="GROUP"</formula>
    </cfRule>
  </conditionalFormatting>
  <conditionalFormatting sqref="O8">
    <cfRule type="expression" dxfId="55" priority="22">
      <formula>$L8="GROUP"</formula>
    </cfRule>
  </conditionalFormatting>
  <conditionalFormatting sqref="O9">
    <cfRule type="expression" dxfId="54" priority="21">
      <formula>$L9="GROUP"</formula>
    </cfRule>
  </conditionalFormatting>
  <conditionalFormatting sqref="R6">
    <cfRule type="expression" dxfId="53" priority="20">
      <formula>$L6="GROUP"</formula>
    </cfRule>
  </conditionalFormatting>
  <conditionalFormatting sqref="R7">
    <cfRule type="expression" dxfId="52" priority="19">
      <formula>$L7="GROUP"</formula>
    </cfRule>
  </conditionalFormatting>
  <conditionalFormatting sqref="R8">
    <cfRule type="expression" dxfId="51" priority="18">
      <formula>$L8="GROUP"</formula>
    </cfRule>
  </conditionalFormatting>
  <conditionalFormatting sqref="R9">
    <cfRule type="expression" dxfId="50" priority="17">
      <formula>$L9="GROUP"</formula>
    </cfRule>
  </conditionalFormatting>
  <conditionalFormatting sqref="Y12">
    <cfRule type="expression" dxfId="49" priority="16">
      <formula>$L12="GROUP"</formula>
    </cfRule>
  </conditionalFormatting>
  <conditionalFormatting sqref="U6">
    <cfRule type="expression" dxfId="48" priority="15">
      <formula>$L6="GROUP"</formula>
    </cfRule>
  </conditionalFormatting>
  <conditionalFormatting sqref="U7">
    <cfRule type="expression" dxfId="47" priority="14">
      <formula>$L7="GROUP"</formula>
    </cfRule>
  </conditionalFormatting>
  <conditionalFormatting sqref="U8">
    <cfRule type="expression" dxfId="46" priority="13">
      <formula>$L8="GROUP"</formula>
    </cfRule>
  </conditionalFormatting>
  <conditionalFormatting sqref="U9">
    <cfRule type="expression" dxfId="45" priority="12">
      <formula>$L9="GROUP"</formula>
    </cfRule>
  </conditionalFormatting>
  <conditionalFormatting sqref="AB12">
    <cfRule type="expression" dxfId="44" priority="11">
      <formula>$L12="GROUP"</formula>
    </cfRule>
  </conditionalFormatting>
  <conditionalFormatting sqref="F11 F17:F18">
    <cfRule type="expression" dxfId="43" priority="10">
      <formula>$L11="GROUP"</formula>
    </cfRule>
  </conditionalFormatting>
  <conditionalFormatting sqref="F12">
    <cfRule type="expression" dxfId="42" priority="9">
      <formula>$L12="GROUP"</formula>
    </cfRule>
  </conditionalFormatting>
  <conditionalFormatting sqref="F13">
    <cfRule type="expression" dxfId="41" priority="8">
      <formula>$L13="GROUP"</formula>
    </cfRule>
  </conditionalFormatting>
  <conditionalFormatting sqref="F14">
    <cfRule type="expression" dxfId="40" priority="7">
      <formula>$L14="GROUP"</formula>
    </cfRule>
  </conditionalFormatting>
  <conditionalFormatting sqref="F15">
    <cfRule type="expression" dxfId="39" priority="6">
      <formula>$L15="GROUP"</formula>
    </cfRule>
  </conditionalFormatting>
  <conditionalFormatting sqref="F16">
    <cfRule type="expression" dxfId="38" priority="5">
      <formula>$L16="GROUP"</formula>
    </cfRule>
  </conditionalFormatting>
  <conditionalFormatting sqref="L6">
    <cfRule type="expression" dxfId="37" priority="4">
      <formula>$L6="GROUP"</formula>
    </cfRule>
  </conditionalFormatting>
  <conditionalFormatting sqref="L7">
    <cfRule type="expression" dxfId="36" priority="3">
      <formula>$L7="GROUP"</formula>
    </cfRule>
  </conditionalFormatting>
  <conditionalFormatting sqref="L8">
    <cfRule type="expression" dxfId="35" priority="2">
      <formula>$L8="GROUP"</formula>
    </cfRule>
  </conditionalFormatting>
  <conditionalFormatting sqref="L9">
    <cfRule type="expression" dxfId="34" priority="1">
      <formula>$L9="GROUP"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DZ105"/>
  <sheetViews>
    <sheetView topLeftCell="A4" workbookViewId="0">
      <selection activeCell="K40" sqref="K40"/>
    </sheetView>
  </sheetViews>
  <sheetFormatPr defaultColWidth="8.6640625" defaultRowHeight="10.8"/>
  <cols>
    <col min="1" max="1" width="3.109375" style="1" customWidth="1"/>
    <col min="2" max="2" width="2.33203125" style="1" customWidth="1"/>
    <col min="3" max="3" width="5.33203125" style="2" customWidth="1"/>
    <col min="4" max="4" width="23" style="1" customWidth="1"/>
    <col min="5" max="5" width="30.77734375" style="4" customWidth="1"/>
    <col min="6" max="6" width="23.7773437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8" customHeight="1">
      <c r="A2" s="1"/>
      <c r="B2" s="232" t="str">
        <f>Trade!B2</f>
        <v>FRB</v>
      </c>
      <c r="C2" s="232"/>
      <c r="D2" s="232"/>
      <c r="E2" s="232"/>
      <c r="F2" s="232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3.2" customHeight="1">
      <c r="B4" s="9" t="s">
        <v>89</v>
      </c>
      <c r="C4" s="10"/>
      <c r="D4" s="11"/>
      <c r="E4" s="23"/>
      <c r="F4" s="23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 ht="13.2" customHeight="1">
      <c r="C5" s="234" t="str">
        <f>Trade!C5</f>
        <v>FRB000001</v>
      </c>
      <c r="D5" s="234"/>
      <c r="E5" s="234"/>
      <c r="F5" s="235"/>
      <c r="J5" s="234" t="str">
        <f>"CSR/"&amp; Trade!F21</f>
        <v>CSR/IRKRW-Treasury-CSR</v>
      </c>
      <c r="K5" s="234"/>
      <c r="M5" s="234" t="str">
        <f>"GIRR/" &amp; Trade!F19</f>
        <v>GIRR/IRKRW-IRS</v>
      </c>
      <c r="N5" s="234"/>
      <c r="P5" s="202"/>
      <c r="Q5" s="206"/>
      <c r="S5" s="234" t="str">
        <f>IF(F37&lt;&gt;"KRW", "FX"&amp;F37, "")</f>
        <v>FXUSD</v>
      </c>
      <c r="T5" s="234"/>
    </row>
    <row r="6" spans="1:26" s="12" customFormat="1" ht="13.2" customHeigh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9" t="s">
        <v>397</v>
      </c>
      <c r="T6" s="49" t="s">
        <v>2</v>
      </c>
      <c r="U6" s="1"/>
      <c r="V6" s="1"/>
      <c r="W6" s="1"/>
      <c r="X6" s="1"/>
      <c r="Y6" s="1"/>
      <c r="Z6" s="1"/>
    </row>
    <row r="7" spans="1:26" ht="13.2" customHeight="1">
      <c r="C7" s="49">
        <v>1</v>
      </c>
      <c r="D7" s="17" t="s">
        <v>17</v>
      </c>
      <c r="E7" s="19" t="s">
        <v>84</v>
      </c>
      <c r="F7" s="150">
        <v>5536303734.6888304</v>
      </c>
      <c r="G7" s="1" t="s">
        <v>9</v>
      </c>
      <c r="H7" s="18">
        <v>1</v>
      </c>
      <c r="I7" s="2"/>
      <c r="J7" s="36"/>
      <c r="K7" s="167"/>
      <c r="M7" s="36"/>
      <c r="N7" s="29"/>
      <c r="P7" s="205"/>
      <c r="Q7" s="198"/>
      <c r="S7" s="5">
        <v>0</v>
      </c>
      <c r="T7" s="17">
        <f>IF(S5&lt;&gt;"",F7,"")</f>
        <v>5536303734.6888304</v>
      </c>
    </row>
    <row r="8" spans="1:26" ht="13.2" customHeight="1">
      <c r="C8" s="49">
        <v>2</v>
      </c>
      <c r="D8" s="27" t="s">
        <v>14</v>
      </c>
      <c r="E8" s="39" t="s">
        <v>85</v>
      </c>
      <c r="F8" s="151"/>
      <c r="G8" s="1" t="s">
        <v>9</v>
      </c>
      <c r="H8" s="18">
        <v>2</v>
      </c>
      <c r="I8" s="2"/>
      <c r="J8" s="36"/>
      <c r="K8" s="167"/>
      <c r="M8" s="36"/>
      <c r="N8" s="29"/>
      <c r="P8" s="205"/>
      <c r="Q8" s="198"/>
    </row>
    <row r="9" spans="1:26" ht="13.2" customHeight="1">
      <c r="C9" s="49">
        <v>3</v>
      </c>
      <c r="D9" s="33" t="s">
        <v>18</v>
      </c>
      <c r="E9" s="40" t="s">
        <v>85</v>
      </c>
      <c r="F9" s="140"/>
      <c r="G9" s="1" t="s">
        <v>9</v>
      </c>
      <c r="H9" s="18">
        <v>3</v>
      </c>
      <c r="I9" s="2"/>
      <c r="J9" s="36"/>
      <c r="K9" s="167"/>
      <c r="M9" s="36"/>
      <c r="N9" s="29"/>
      <c r="P9" s="205"/>
      <c r="Q9" s="198"/>
    </row>
    <row r="10" spans="1:26" ht="13.2" customHeight="1">
      <c r="B10" s="3"/>
      <c r="C10" s="49">
        <v>4</v>
      </c>
      <c r="D10" s="27" t="s">
        <v>19</v>
      </c>
      <c r="E10" s="39" t="s">
        <v>85</v>
      </c>
      <c r="F10" s="151"/>
      <c r="G10" s="1" t="s">
        <v>9</v>
      </c>
      <c r="H10" s="18">
        <v>4</v>
      </c>
      <c r="I10" s="2"/>
      <c r="J10" s="36"/>
      <c r="K10" s="167"/>
      <c r="M10" s="36"/>
      <c r="N10" s="29"/>
      <c r="P10" s="205"/>
      <c r="Q10" s="198"/>
    </row>
    <row r="11" spans="1:26" ht="13.2" customHeight="1">
      <c r="C11" s="49">
        <v>5</v>
      </c>
      <c r="D11" s="27" t="s">
        <v>30</v>
      </c>
      <c r="E11" s="39" t="s">
        <v>85</v>
      </c>
      <c r="F11" s="151"/>
      <c r="G11" s="1" t="s">
        <v>9</v>
      </c>
      <c r="H11" s="18">
        <v>5</v>
      </c>
      <c r="I11" s="2"/>
      <c r="J11" s="36"/>
      <c r="K11" s="167"/>
      <c r="M11" s="36"/>
      <c r="N11" s="29"/>
      <c r="P11" s="205"/>
      <c r="Q11" s="198"/>
    </row>
    <row r="12" spans="1:26" ht="13.2" customHeight="1">
      <c r="C12" s="49">
        <v>6</v>
      </c>
      <c r="D12" s="27" t="s">
        <v>83</v>
      </c>
      <c r="E12" s="39" t="s">
        <v>85</v>
      </c>
      <c r="F12" s="151"/>
      <c r="G12" s="1" t="s">
        <v>9</v>
      </c>
      <c r="H12" s="18">
        <v>6</v>
      </c>
      <c r="I12" s="2"/>
      <c r="M12" s="36"/>
      <c r="N12" s="29"/>
      <c r="P12" s="205"/>
      <c r="Q12" s="198"/>
    </row>
    <row r="13" spans="1:26" ht="13.2" customHeight="1">
      <c r="C13" s="49">
        <v>7</v>
      </c>
      <c r="D13" s="27" t="s">
        <v>31</v>
      </c>
      <c r="E13" s="39" t="s">
        <v>85</v>
      </c>
      <c r="F13" s="151"/>
      <c r="G13" s="1" t="s">
        <v>9</v>
      </c>
      <c r="H13" s="18">
        <v>6</v>
      </c>
      <c r="I13" s="2"/>
      <c r="M13" s="36"/>
      <c r="N13" s="29"/>
      <c r="P13" s="205"/>
      <c r="Q13" s="198"/>
    </row>
    <row r="14" spans="1:26" ht="13.2" customHeight="1">
      <c r="C14" s="49">
        <v>8</v>
      </c>
      <c r="D14" s="17" t="s">
        <v>21</v>
      </c>
      <c r="E14" s="19" t="s">
        <v>85</v>
      </c>
      <c r="F14" s="35"/>
      <c r="G14" s="1" t="s">
        <v>9</v>
      </c>
      <c r="H14" s="18">
        <v>7</v>
      </c>
      <c r="I14" s="2"/>
      <c r="M14" s="36"/>
      <c r="N14" s="29"/>
      <c r="P14" s="205"/>
      <c r="Q14" s="198"/>
    </row>
    <row r="15" spans="1:26" ht="13.2" customHeight="1">
      <c r="C15" s="49">
        <v>9</v>
      </c>
      <c r="D15" s="17" t="s">
        <v>32</v>
      </c>
      <c r="E15" s="19" t="s">
        <v>85</v>
      </c>
      <c r="F15" s="35"/>
      <c r="G15" s="1" t="s">
        <v>9</v>
      </c>
      <c r="H15" s="18">
        <v>8</v>
      </c>
      <c r="I15" s="2"/>
      <c r="M15" s="36"/>
      <c r="N15" s="29"/>
      <c r="P15" s="205"/>
      <c r="Q15" s="198"/>
    </row>
    <row r="16" spans="1:26" ht="13.2" customHeight="1">
      <c r="C16" s="49">
        <v>10</v>
      </c>
      <c r="D16" s="33" t="s">
        <v>22</v>
      </c>
      <c r="E16" s="40" t="s">
        <v>85</v>
      </c>
      <c r="F16" s="41"/>
      <c r="G16" s="1" t="s">
        <v>9</v>
      </c>
      <c r="H16" s="18">
        <v>9</v>
      </c>
      <c r="I16" s="2"/>
      <c r="M16" s="36"/>
      <c r="N16" s="29"/>
      <c r="P16" s="205"/>
      <c r="Q16" s="198"/>
    </row>
    <row r="17" spans="2:130" ht="13.2" customHeight="1">
      <c r="C17" s="49">
        <v>11</v>
      </c>
      <c r="D17" s="33" t="s">
        <v>33</v>
      </c>
      <c r="E17" s="40" t="s">
        <v>85</v>
      </c>
      <c r="F17" s="41"/>
      <c r="G17" s="1" t="s">
        <v>9</v>
      </c>
      <c r="H17" s="18">
        <v>10</v>
      </c>
      <c r="I17" s="2"/>
      <c r="M17" s="36"/>
      <c r="N17" s="29"/>
      <c r="P17" s="205"/>
      <c r="Q17" s="198"/>
    </row>
    <row r="18" spans="2:130" ht="13.2" customHeight="1">
      <c r="B18" s="3"/>
      <c r="C18" s="49">
        <v>12</v>
      </c>
      <c r="D18" s="33" t="s">
        <v>34</v>
      </c>
      <c r="E18" s="40" t="s">
        <v>85</v>
      </c>
      <c r="F18" s="41"/>
      <c r="G18" s="1" t="s">
        <v>9</v>
      </c>
      <c r="H18" s="21">
        <v>11</v>
      </c>
      <c r="I18" s="2"/>
      <c r="M18" s="36"/>
      <c r="N18" s="29"/>
      <c r="P18" s="205"/>
      <c r="Q18" s="198"/>
    </row>
    <row r="19" spans="2:130" ht="13.2" customHeight="1">
      <c r="C19" s="49">
        <v>13</v>
      </c>
      <c r="D19" s="33" t="s">
        <v>35</v>
      </c>
      <c r="E19" s="40" t="s">
        <v>85</v>
      </c>
      <c r="F19" s="41"/>
      <c r="G19" s="1" t="s">
        <v>9</v>
      </c>
    </row>
    <row r="20" spans="2:130" ht="13.2" customHeight="1">
      <c r="C20" s="49">
        <v>14</v>
      </c>
      <c r="D20" s="33" t="s">
        <v>36</v>
      </c>
      <c r="E20" s="40" t="s">
        <v>85</v>
      </c>
      <c r="F20" s="41"/>
      <c r="G20" s="1" t="s">
        <v>9</v>
      </c>
    </row>
    <row r="21" spans="2:130" ht="13.2" customHeight="1">
      <c r="B21" s="3"/>
      <c r="C21" s="49">
        <v>15</v>
      </c>
      <c r="D21" s="33" t="s">
        <v>37</v>
      </c>
      <c r="E21" s="40" t="s">
        <v>85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130" ht="13.2" customHeight="1">
      <c r="C22" s="49">
        <v>16</v>
      </c>
      <c r="D22" s="33" t="s">
        <v>38</v>
      </c>
      <c r="E22" s="40" t="s">
        <v>85</v>
      </c>
      <c r="F22" s="41"/>
      <c r="G22" s="1" t="s">
        <v>9</v>
      </c>
      <c r="J22" s="56" t="str">
        <f>"CSR/" &amp; Trade!F21</f>
        <v>CSR/IRKRW-Treasury-CSR</v>
      </c>
      <c r="K22" s="56"/>
      <c r="M22" s="56" t="str">
        <f>"GIRR/" &amp; Trade!F19</f>
        <v>GIRR/IRKRW-IRS</v>
      </c>
      <c r="N22" s="56"/>
      <c r="P22" s="202"/>
      <c r="Q22" s="202"/>
    </row>
    <row r="23" spans="2:130" ht="13.2" customHeight="1">
      <c r="C23" s="49">
        <v>17</v>
      </c>
      <c r="D23" s="17" t="s">
        <v>39</v>
      </c>
      <c r="E23" s="19" t="s">
        <v>85</v>
      </c>
      <c r="F23" s="35"/>
      <c r="G23" s="1" t="s">
        <v>9</v>
      </c>
      <c r="H23" s="15" t="s">
        <v>10</v>
      </c>
      <c r="J23" s="22" t="s">
        <v>86</v>
      </c>
      <c r="K23" s="22" t="s">
        <v>12</v>
      </c>
      <c r="M23" s="22" t="s">
        <v>86</v>
      </c>
      <c r="N23" s="22" t="s">
        <v>12</v>
      </c>
      <c r="P23" s="203" t="s">
        <v>86</v>
      </c>
      <c r="Q23" s="203" t="s">
        <v>12</v>
      </c>
    </row>
    <row r="24" spans="2:130">
      <c r="C24" s="49">
        <v>18</v>
      </c>
      <c r="D24" s="17" t="s">
        <v>110</v>
      </c>
      <c r="E24" s="19" t="s">
        <v>85</v>
      </c>
      <c r="F24" s="35"/>
      <c r="G24" s="1" t="s">
        <v>9</v>
      </c>
      <c r="H24" s="18">
        <v>1</v>
      </c>
      <c r="J24" s="6" t="s">
        <v>87</v>
      </c>
      <c r="K24" s="167"/>
      <c r="M24" s="6" t="s">
        <v>87</v>
      </c>
      <c r="N24" s="167"/>
      <c r="P24" s="33" t="s">
        <v>87</v>
      </c>
      <c r="Q24" s="204"/>
    </row>
    <row r="25" spans="2:130" ht="13.2" customHeight="1">
      <c r="C25" s="49">
        <v>19</v>
      </c>
      <c r="D25" s="33" t="s">
        <v>40</v>
      </c>
      <c r="E25" s="40" t="s">
        <v>85</v>
      </c>
      <c r="F25" s="41"/>
      <c r="G25" s="1" t="s">
        <v>9</v>
      </c>
      <c r="H25" s="21">
        <v>2</v>
      </c>
      <c r="J25" s="6" t="s">
        <v>88</v>
      </c>
      <c r="K25" s="167"/>
      <c r="M25" s="6" t="s">
        <v>88</v>
      </c>
      <c r="N25" s="167"/>
      <c r="P25" s="33" t="s">
        <v>88</v>
      </c>
      <c r="Q25" s="204"/>
    </row>
    <row r="26" spans="2:130" ht="13.2" customHeight="1">
      <c r="C26" s="49">
        <v>20</v>
      </c>
      <c r="D26" s="33" t="s">
        <v>41</v>
      </c>
      <c r="E26" s="40" t="s">
        <v>85</v>
      </c>
      <c r="F26" s="41"/>
      <c r="G26" s="1" t="s">
        <v>9</v>
      </c>
    </row>
    <row r="27" spans="2:130" ht="13.2" customHeight="1">
      <c r="C27" s="49">
        <v>21</v>
      </c>
      <c r="D27" s="33" t="s">
        <v>42</v>
      </c>
      <c r="E27" s="40" t="s">
        <v>85</v>
      </c>
      <c r="F27" s="41"/>
      <c r="G27" s="1" t="s">
        <v>9</v>
      </c>
    </row>
    <row r="28" spans="2:130" ht="13.2" customHeight="1">
      <c r="C28" s="49">
        <v>22</v>
      </c>
      <c r="D28" s="17" t="s">
        <v>1</v>
      </c>
      <c r="E28" s="19" t="s">
        <v>84</v>
      </c>
      <c r="F28" s="35" t="s">
        <v>775</v>
      </c>
      <c r="G28" s="1" t="s">
        <v>9</v>
      </c>
      <c r="H28" s="3" t="s">
        <v>591</v>
      </c>
    </row>
    <row r="29" spans="2:130" ht="13.2" customHeight="1">
      <c r="C29" s="49">
        <v>23</v>
      </c>
      <c r="D29" s="24" t="s">
        <v>43</v>
      </c>
      <c r="E29" s="60" t="s">
        <v>85</v>
      </c>
      <c r="F29" s="148"/>
      <c r="G29" s="1" t="s">
        <v>9</v>
      </c>
      <c r="H29" s="3" t="s">
        <v>385</v>
      </c>
      <c r="J29" s="3"/>
      <c r="K29" s="3"/>
      <c r="L29" s="3"/>
      <c r="M29" s="3"/>
      <c r="N29" s="3"/>
      <c r="O29" s="3"/>
      <c r="P29" s="3"/>
    </row>
    <row r="30" spans="2:130" ht="13.2" customHeight="1">
      <c r="C30" s="49">
        <v>24</v>
      </c>
      <c r="D30" s="5" t="s">
        <v>76</v>
      </c>
      <c r="E30" s="19" t="s">
        <v>84</v>
      </c>
      <c r="F30" s="149">
        <v>1.38897950828915E-3</v>
      </c>
      <c r="G30" s="1" t="s">
        <v>9</v>
      </c>
    </row>
    <row r="31" spans="2:130">
      <c r="D31" s="2"/>
      <c r="E31" s="2"/>
      <c r="F31" s="2"/>
    </row>
    <row r="32" spans="2:130" ht="13.2" customHeight="1">
      <c r="B32" s="38" t="s">
        <v>113</v>
      </c>
      <c r="C32" s="38"/>
      <c r="D32" s="38"/>
      <c r="E32" s="38"/>
      <c r="F32" s="38"/>
      <c r="G32" s="1" t="s">
        <v>9</v>
      </c>
      <c r="H32" s="9" t="s">
        <v>82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</row>
    <row r="33" spans="1:130" ht="13.2" customHeight="1">
      <c r="C33" s="13" t="s">
        <v>3</v>
      </c>
      <c r="D33" s="14" t="s">
        <v>8</v>
      </c>
      <c r="E33" s="14" t="s">
        <v>81</v>
      </c>
      <c r="F33" s="14" t="s">
        <v>2</v>
      </c>
      <c r="G33" s="1" t="s">
        <v>9</v>
      </c>
      <c r="J33" s="196" t="s">
        <v>279</v>
      </c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186"/>
    </row>
    <row r="34" spans="1:130" ht="13.2" customHeight="1">
      <c r="C34" s="50">
        <v>1</v>
      </c>
      <c r="D34" s="34" t="s">
        <v>115</v>
      </c>
      <c r="E34" s="34" t="s">
        <v>610</v>
      </c>
      <c r="F34" s="189">
        <v>1.7000000000000001E-2</v>
      </c>
      <c r="H34" s="15" t="s">
        <v>10</v>
      </c>
      <c r="J34" s="22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3">
        <v>9</v>
      </c>
      <c r="T34" s="33">
        <v>10</v>
      </c>
      <c r="U34" s="33">
        <v>11</v>
      </c>
      <c r="V34" s="33">
        <v>12</v>
      </c>
      <c r="W34" s="33">
        <v>13</v>
      </c>
      <c r="X34" s="33">
        <v>14</v>
      </c>
      <c r="Y34" s="33">
        <v>15</v>
      </c>
      <c r="Z34" s="33">
        <v>16</v>
      </c>
      <c r="AA34" s="33">
        <v>17</v>
      </c>
      <c r="AB34" s="33">
        <v>18</v>
      </c>
      <c r="AC34" s="33">
        <v>19</v>
      </c>
      <c r="AD34" s="33">
        <v>20</v>
      </c>
      <c r="AE34" s="33">
        <v>21</v>
      </c>
      <c r="AF34" s="33">
        <v>22</v>
      </c>
      <c r="AG34" s="33">
        <v>23</v>
      </c>
      <c r="AH34" s="33">
        <v>24</v>
      </c>
      <c r="AI34" s="33">
        <v>25</v>
      </c>
      <c r="AJ34" s="33">
        <v>26</v>
      </c>
      <c r="AK34" s="33">
        <v>27</v>
      </c>
      <c r="AL34" s="33">
        <v>28</v>
      </c>
      <c r="AM34" s="33">
        <v>29</v>
      </c>
      <c r="AN34" s="33">
        <v>30</v>
      </c>
      <c r="AO34" s="33">
        <v>31</v>
      </c>
      <c r="AP34" s="33">
        <v>32</v>
      </c>
      <c r="AQ34" s="33">
        <v>33</v>
      </c>
      <c r="AR34" s="33">
        <v>34</v>
      </c>
      <c r="AS34" s="33">
        <v>35</v>
      </c>
      <c r="AT34" s="33">
        <v>36</v>
      </c>
      <c r="AU34" s="33">
        <v>37</v>
      </c>
      <c r="AV34" s="33">
        <v>38</v>
      </c>
      <c r="AW34" s="33">
        <v>39</v>
      </c>
      <c r="AX34" s="33">
        <v>40</v>
      </c>
      <c r="AY34" s="33">
        <v>41</v>
      </c>
      <c r="AZ34" s="33">
        <v>42</v>
      </c>
      <c r="BA34" s="33">
        <v>43</v>
      </c>
      <c r="BB34" s="33">
        <v>44</v>
      </c>
      <c r="BC34" s="33">
        <v>45</v>
      </c>
      <c r="BD34" s="33">
        <v>46</v>
      </c>
      <c r="BE34" s="33">
        <v>47</v>
      </c>
      <c r="BF34" s="33">
        <v>48</v>
      </c>
      <c r="BG34" s="33">
        <v>49</v>
      </c>
      <c r="BH34" s="33">
        <v>50</v>
      </c>
      <c r="BI34" s="33">
        <v>51</v>
      </c>
      <c r="BJ34" s="33">
        <v>52</v>
      </c>
      <c r="BK34" s="33">
        <v>53</v>
      </c>
      <c r="BL34" s="33">
        <v>54</v>
      </c>
      <c r="BM34" s="33">
        <v>55</v>
      </c>
      <c r="BN34" s="33">
        <v>56</v>
      </c>
      <c r="BO34" s="33">
        <v>57</v>
      </c>
      <c r="BP34" s="33">
        <v>58</v>
      </c>
      <c r="BQ34" s="33">
        <v>59</v>
      </c>
      <c r="BR34" s="33">
        <v>60</v>
      </c>
      <c r="BS34" s="33">
        <v>61</v>
      </c>
      <c r="BT34" s="33">
        <v>62</v>
      </c>
      <c r="BU34" s="33">
        <v>63</v>
      </c>
      <c r="BV34" s="33">
        <v>64</v>
      </c>
      <c r="BW34" s="33">
        <v>65</v>
      </c>
      <c r="BX34" s="33">
        <v>66</v>
      </c>
      <c r="BY34" s="33">
        <v>67</v>
      </c>
      <c r="BZ34" s="33">
        <v>68</v>
      </c>
      <c r="CA34" s="33">
        <v>69</v>
      </c>
      <c r="CB34" s="33">
        <v>70</v>
      </c>
      <c r="CC34" s="33">
        <v>71</v>
      </c>
      <c r="CD34" s="33">
        <v>72</v>
      </c>
      <c r="CE34" s="33">
        <v>73</v>
      </c>
      <c r="CF34" s="33">
        <v>74</v>
      </c>
      <c r="CG34" s="33">
        <v>75</v>
      </c>
      <c r="CH34" s="33">
        <v>76</v>
      </c>
      <c r="CI34" s="33">
        <v>77</v>
      </c>
      <c r="CJ34" s="33">
        <v>78</v>
      </c>
      <c r="CK34" s="33">
        <v>79</v>
      </c>
      <c r="CL34" s="33">
        <v>80</v>
      </c>
      <c r="CM34" s="33">
        <v>81</v>
      </c>
      <c r="CN34" s="33">
        <v>82</v>
      </c>
      <c r="CO34" s="33">
        <v>83</v>
      </c>
      <c r="CP34" s="33">
        <v>84</v>
      </c>
      <c r="CQ34" s="33">
        <v>85</v>
      </c>
      <c r="CR34" s="33">
        <v>86</v>
      </c>
      <c r="CS34" s="33">
        <v>87</v>
      </c>
      <c r="CT34" s="33">
        <v>88</v>
      </c>
      <c r="CU34" s="33">
        <v>89</v>
      </c>
      <c r="CV34" s="33">
        <v>90</v>
      </c>
      <c r="CW34" s="33">
        <v>91</v>
      </c>
      <c r="CX34" s="33">
        <v>92</v>
      </c>
      <c r="CY34" s="33">
        <v>93</v>
      </c>
      <c r="CZ34" s="33">
        <v>94</v>
      </c>
      <c r="DA34" s="33">
        <v>95</v>
      </c>
      <c r="DB34" s="33">
        <v>96</v>
      </c>
      <c r="DC34" s="33">
        <v>97</v>
      </c>
      <c r="DD34" s="33">
        <v>98</v>
      </c>
      <c r="DE34" s="33">
        <v>99</v>
      </c>
      <c r="DF34" s="33">
        <v>100</v>
      </c>
      <c r="DG34" s="33">
        <v>101</v>
      </c>
      <c r="DH34" s="33">
        <v>102</v>
      </c>
      <c r="DI34" s="33">
        <v>103</v>
      </c>
      <c r="DJ34" s="33">
        <v>104</v>
      </c>
      <c r="DK34" s="33">
        <v>105</v>
      </c>
      <c r="DL34" s="33">
        <v>106</v>
      </c>
      <c r="DM34" s="33">
        <v>107</v>
      </c>
      <c r="DN34" s="33">
        <v>108</v>
      </c>
      <c r="DO34" s="33">
        <v>109</v>
      </c>
      <c r="DP34" s="33">
        <v>110</v>
      </c>
      <c r="DQ34" s="33">
        <v>111</v>
      </c>
      <c r="DR34" s="33">
        <v>112</v>
      </c>
      <c r="DS34" s="33">
        <v>113</v>
      </c>
      <c r="DT34" s="33">
        <v>114</v>
      </c>
      <c r="DU34" s="33">
        <v>115</v>
      </c>
      <c r="DV34" s="33">
        <v>116</v>
      </c>
      <c r="DW34" s="33">
        <v>117</v>
      </c>
      <c r="DX34" s="33">
        <v>118</v>
      </c>
      <c r="DY34" s="33">
        <v>119</v>
      </c>
      <c r="DZ34" s="33">
        <v>120</v>
      </c>
    </row>
    <row r="35" spans="1:130" ht="13.2" customHeight="1">
      <c r="C35" s="52">
        <v>2</v>
      </c>
      <c r="D35" s="34" t="s">
        <v>252</v>
      </c>
      <c r="E35" s="34" t="s">
        <v>611</v>
      </c>
      <c r="F35" s="189">
        <v>0.05</v>
      </c>
      <c r="H35" s="18">
        <v>1</v>
      </c>
      <c r="J35" s="181" t="s">
        <v>597</v>
      </c>
      <c r="K35" s="26">
        <v>45636</v>
      </c>
      <c r="L35" s="182">
        <v>45818</v>
      </c>
      <c r="M35" s="182">
        <v>46001</v>
      </c>
      <c r="N35" s="182">
        <v>46183</v>
      </c>
      <c r="O35" s="182">
        <v>46366</v>
      </c>
      <c r="P35" s="182">
        <v>46548</v>
      </c>
      <c r="Q35" s="182">
        <v>46731</v>
      </c>
      <c r="R35" s="182">
        <v>46916</v>
      </c>
      <c r="S35" s="182">
        <v>47098</v>
      </c>
      <c r="T35" s="182">
        <v>47280</v>
      </c>
      <c r="U35" s="182">
        <v>47462</v>
      </c>
      <c r="V35" s="182">
        <v>47644</v>
      </c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</row>
    <row r="36" spans="1:130" ht="13.2" customHeight="1">
      <c r="C36" s="52">
        <v>3</v>
      </c>
      <c r="D36" s="34" t="s">
        <v>77</v>
      </c>
      <c r="E36" s="51" t="s">
        <v>254</v>
      </c>
      <c r="F36" s="43">
        <v>1</v>
      </c>
      <c r="H36" s="18">
        <v>2</v>
      </c>
      <c r="J36" s="181" t="s">
        <v>598</v>
      </c>
      <c r="K36" s="26">
        <v>45818</v>
      </c>
      <c r="L36" s="26">
        <v>46001</v>
      </c>
      <c r="M36" s="26">
        <v>46183</v>
      </c>
      <c r="N36" s="26">
        <v>46366</v>
      </c>
      <c r="O36" s="26">
        <v>46548</v>
      </c>
      <c r="P36" s="26">
        <v>46731</v>
      </c>
      <c r="Q36" s="26">
        <v>46916</v>
      </c>
      <c r="R36" s="26">
        <v>47098</v>
      </c>
      <c r="S36" s="26">
        <v>47280</v>
      </c>
      <c r="T36" s="26">
        <v>47462</v>
      </c>
      <c r="U36" s="26">
        <v>47644</v>
      </c>
      <c r="V36" s="26">
        <v>47827</v>
      </c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</row>
    <row r="37" spans="1:130" ht="13.2" customHeight="1">
      <c r="C37" s="50">
        <v>4</v>
      </c>
      <c r="D37" s="34" t="s">
        <v>92</v>
      </c>
      <c r="E37" s="34" t="s">
        <v>78</v>
      </c>
      <c r="F37" s="34" t="s">
        <v>398</v>
      </c>
      <c r="H37" s="18">
        <v>3</v>
      </c>
      <c r="J37" s="181" t="s">
        <v>599</v>
      </c>
      <c r="K37" s="192">
        <v>6000000000</v>
      </c>
      <c r="L37" s="192">
        <v>6000000000</v>
      </c>
      <c r="M37" s="192">
        <v>6000000000</v>
      </c>
      <c r="N37" s="192">
        <v>6000000000</v>
      </c>
      <c r="O37" s="192">
        <v>6000000000</v>
      </c>
      <c r="P37" s="192">
        <v>6000000000</v>
      </c>
      <c r="Q37" s="192">
        <v>6000000000</v>
      </c>
      <c r="R37" s="192">
        <v>6000000000</v>
      </c>
      <c r="S37" s="192">
        <v>6000000000</v>
      </c>
      <c r="T37" s="192">
        <v>6000000000</v>
      </c>
      <c r="U37" s="192">
        <v>6000000000</v>
      </c>
      <c r="V37" s="192">
        <v>6000000000</v>
      </c>
      <c r="W37" s="192">
        <v>6000000000</v>
      </c>
      <c r="X37" s="192"/>
      <c r="Y37" s="193"/>
      <c r="Z37" s="193"/>
      <c r="AA37" s="193"/>
      <c r="AB37" s="193"/>
      <c r="AC37" s="193"/>
      <c r="AD37" s="193"/>
      <c r="AE37" s="193"/>
      <c r="AF37" s="193"/>
      <c r="AG37" s="193"/>
      <c r="AH37" s="193"/>
      <c r="AI37" s="193"/>
      <c r="AJ37" s="193"/>
      <c r="AK37" s="193"/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193"/>
      <c r="BA37" s="193"/>
      <c r="BB37" s="193"/>
      <c r="BC37" s="193"/>
      <c r="BD37" s="193"/>
      <c r="BE37" s="193"/>
      <c r="BF37" s="193"/>
      <c r="BG37" s="193"/>
      <c r="BH37" s="193"/>
      <c r="BI37" s="193"/>
      <c r="BJ37" s="193"/>
      <c r="BK37" s="193"/>
      <c r="BL37" s="193"/>
      <c r="BM37" s="193"/>
      <c r="BN37" s="193"/>
      <c r="BO37" s="193"/>
      <c r="BP37" s="193"/>
      <c r="BQ37" s="193"/>
      <c r="BR37" s="193"/>
      <c r="BS37" s="193"/>
      <c r="BT37" s="193"/>
      <c r="BU37" s="193"/>
      <c r="BV37" s="193"/>
      <c r="BW37" s="193"/>
      <c r="BX37" s="193"/>
      <c r="BY37" s="193"/>
      <c r="BZ37" s="193"/>
      <c r="CA37" s="193"/>
      <c r="CB37" s="193"/>
      <c r="CC37" s="193"/>
      <c r="CD37" s="193"/>
      <c r="CE37" s="193"/>
      <c r="CF37" s="193"/>
      <c r="CG37" s="193"/>
      <c r="CH37" s="193"/>
      <c r="CI37" s="193"/>
      <c r="CJ37" s="193"/>
      <c r="CK37" s="193"/>
      <c r="CL37" s="193"/>
      <c r="CM37" s="193"/>
      <c r="CN37" s="193"/>
      <c r="CO37" s="193"/>
      <c r="CP37" s="193"/>
      <c r="CQ37" s="193"/>
      <c r="CR37" s="193"/>
      <c r="CS37" s="193"/>
      <c r="CT37" s="193"/>
      <c r="CU37" s="193"/>
      <c r="CV37" s="193"/>
      <c r="CW37" s="193"/>
      <c r="CX37" s="193"/>
      <c r="CY37" s="193"/>
      <c r="CZ37" s="193"/>
      <c r="DA37" s="193"/>
      <c r="DB37" s="193"/>
      <c r="DC37" s="193"/>
      <c r="DD37" s="193"/>
      <c r="DE37" s="193"/>
      <c r="DF37" s="193"/>
      <c r="DG37" s="193"/>
      <c r="DH37" s="193"/>
      <c r="DI37" s="193"/>
      <c r="DJ37" s="193"/>
      <c r="DK37" s="193"/>
      <c r="DL37" s="193"/>
      <c r="DM37" s="193"/>
      <c r="DN37" s="193"/>
      <c r="DO37" s="193"/>
      <c r="DP37" s="193"/>
      <c r="DQ37" s="193"/>
      <c r="DR37" s="193"/>
      <c r="DS37" s="193"/>
      <c r="DT37" s="193"/>
      <c r="DU37" s="193"/>
      <c r="DV37" s="193"/>
      <c r="DW37" s="193"/>
      <c r="DX37" s="193"/>
      <c r="DY37" s="193"/>
      <c r="DZ37" s="193"/>
    </row>
    <row r="38" spans="1:130" ht="13.2" customHeight="1">
      <c r="C38" s="50">
        <v>5</v>
      </c>
      <c r="D38" s="34" t="s">
        <v>114</v>
      </c>
      <c r="E38" s="53" t="s">
        <v>116</v>
      </c>
      <c r="F38" s="54">
        <v>0.75</v>
      </c>
      <c r="H38" s="18">
        <v>4</v>
      </c>
      <c r="J38" s="181" t="s">
        <v>595</v>
      </c>
      <c r="K38" s="194">
        <v>1.4999999999999999E-2</v>
      </c>
      <c r="L38" s="194">
        <v>1.4999999999999999E-2</v>
      </c>
      <c r="M38" s="194">
        <v>1.4999999999999999E-2</v>
      </c>
      <c r="N38" s="194">
        <v>1.4999999999999999E-2</v>
      </c>
      <c r="O38" s="194">
        <v>1.4999999999999999E-2</v>
      </c>
      <c r="P38" s="194">
        <v>1.4999999999999999E-2</v>
      </c>
      <c r="Q38" s="194">
        <v>1.4999999999999999E-2</v>
      </c>
      <c r="R38" s="194">
        <v>1.4999999999999999E-2</v>
      </c>
      <c r="S38" s="194">
        <v>1.4999999999999999E-2</v>
      </c>
      <c r="T38" s="194">
        <v>1.4999999999999999E-2</v>
      </c>
      <c r="U38" s="194">
        <v>1.4999999999999999E-2</v>
      </c>
      <c r="V38" s="194">
        <v>1.4999999999999999E-2</v>
      </c>
      <c r="W38" s="194"/>
      <c r="X38" s="194"/>
      <c r="Y38" s="193"/>
      <c r="Z38" s="193"/>
      <c r="AA38" s="193"/>
      <c r="AB38" s="193"/>
      <c r="AC38" s="193"/>
      <c r="AD38" s="193"/>
      <c r="AE38" s="193"/>
      <c r="AF38" s="193"/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  <c r="AR38" s="193"/>
      <c r="AS38" s="193"/>
      <c r="AT38" s="193"/>
      <c r="AU38" s="193"/>
      <c r="AV38" s="193"/>
      <c r="AW38" s="193"/>
      <c r="AX38" s="193"/>
      <c r="AY38" s="193"/>
      <c r="AZ38" s="193"/>
      <c r="BA38" s="193"/>
      <c r="BB38" s="193"/>
      <c r="BC38" s="193"/>
      <c r="BD38" s="193"/>
      <c r="BE38" s="193"/>
      <c r="BF38" s="193"/>
      <c r="BG38" s="193"/>
      <c r="BH38" s="193"/>
      <c r="BI38" s="193"/>
      <c r="BJ38" s="193"/>
      <c r="BK38" s="193"/>
      <c r="BL38" s="193"/>
      <c r="BM38" s="193"/>
      <c r="BN38" s="193"/>
      <c r="BO38" s="193"/>
      <c r="BP38" s="193"/>
      <c r="BQ38" s="193"/>
      <c r="BR38" s="193"/>
      <c r="BS38" s="193"/>
      <c r="BT38" s="193"/>
      <c r="BU38" s="193"/>
      <c r="BV38" s="193"/>
      <c r="BW38" s="193"/>
      <c r="BX38" s="193"/>
      <c r="BY38" s="193"/>
      <c r="BZ38" s="193"/>
      <c r="CA38" s="193"/>
      <c r="CB38" s="193"/>
      <c r="CC38" s="193"/>
      <c r="CD38" s="193"/>
      <c r="CE38" s="193"/>
      <c r="CF38" s="193"/>
      <c r="CG38" s="193"/>
      <c r="CH38" s="193"/>
      <c r="CI38" s="193"/>
      <c r="CJ38" s="193"/>
      <c r="CK38" s="193"/>
      <c r="CL38" s="193"/>
      <c r="CM38" s="193"/>
      <c r="CN38" s="193"/>
      <c r="CO38" s="193"/>
      <c r="CP38" s="193"/>
      <c r="CQ38" s="193"/>
      <c r="CR38" s="193"/>
      <c r="CS38" s="193"/>
      <c r="CT38" s="193"/>
      <c r="CU38" s="193"/>
      <c r="CV38" s="193"/>
      <c r="CW38" s="193"/>
      <c r="CX38" s="193"/>
      <c r="CY38" s="193"/>
      <c r="CZ38" s="193"/>
      <c r="DA38" s="193"/>
      <c r="DB38" s="193"/>
      <c r="DC38" s="193"/>
      <c r="DD38" s="193"/>
      <c r="DE38" s="193"/>
      <c r="DF38" s="193"/>
      <c r="DG38" s="193"/>
      <c r="DH38" s="193"/>
      <c r="DI38" s="193"/>
      <c r="DJ38" s="193"/>
      <c r="DK38" s="193"/>
      <c r="DL38" s="193"/>
      <c r="DM38" s="193"/>
      <c r="DN38" s="193"/>
      <c r="DO38" s="193"/>
      <c r="DP38" s="193"/>
      <c r="DQ38" s="193"/>
      <c r="DR38" s="193"/>
      <c r="DS38" s="193"/>
      <c r="DT38" s="193"/>
      <c r="DU38" s="193"/>
      <c r="DV38" s="193"/>
      <c r="DW38" s="193"/>
      <c r="DX38" s="193"/>
      <c r="DY38" s="193"/>
      <c r="DZ38" s="193"/>
    </row>
    <row r="39" spans="1:130" ht="13.2" customHeight="1">
      <c r="D39" s="2"/>
      <c r="E39" s="2"/>
      <c r="F39" s="2"/>
      <c r="H39" s="18">
        <v>5</v>
      </c>
      <c r="J39" s="184" t="s">
        <v>600</v>
      </c>
      <c r="K39" s="185">
        <v>45818</v>
      </c>
      <c r="L39" s="185">
        <v>46001</v>
      </c>
      <c r="M39" s="185">
        <v>46183</v>
      </c>
      <c r="N39" s="185">
        <v>46366</v>
      </c>
      <c r="O39" s="185">
        <v>46548</v>
      </c>
      <c r="P39" s="185">
        <v>46731</v>
      </c>
      <c r="Q39" s="185">
        <v>46916</v>
      </c>
      <c r="R39" s="185">
        <v>47098</v>
      </c>
      <c r="S39" s="185">
        <v>47280</v>
      </c>
      <c r="T39" s="185">
        <v>47462</v>
      </c>
      <c r="U39" s="185">
        <v>47644</v>
      </c>
      <c r="V39" s="185">
        <v>47827</v>
      </c>
      <c r="W39" s="185">
        <v>47827</v>
      </c>
      <c r="X39" s="185"/>
      <c r="Y39" s="185"/>
      <c r="Z39" s="185"/>
      <c r="AA39" s="185"/>
      <c r="AB39" s="185"/>
      <c r="AC39" s="185"/>
      <c r="AD39" s="185"/>
      <c r="AE39" s="185"/>
      <c r="AF39" s="185"/>
      <c r="AG39" s="185"/>
      <c r="AH39" s="185"/>
      <c r="AI39" s="185"/>
      <c r="AJ39" s="185"/>
      <c r="AK39" s="185"/>
      <c r="AL39" s="185"/>
      <c r="AM39" s="185"/>
      <c r="AN39" s="185"/>
      <c r="AO39" s="185"/>
      <c r="AP39" s="185"/>
      <c r="AQ39" s="185"/>
      <c r="AR39" s="185"/>
      <c r="AS39" s="185"/>
      <c r="AT39" s="185"/>
      <c r="AU39" s="185"/>
      <c r="AV39" s="185"/>
      <c r="AW39" s="185"/>
      <c r="AX39" s="185"/>
      <c r="AY39" s="185"/>
      <c r="AZ39" s="185"/>
      <c r="BA39" s="185"/>
      <c r="BB39" s="185"/>
      <c r="BC39" s="185"/>
      <c r="BD39" s="185"/>
      <c r="BE39" s="185"/>
      <c r="BF39" s="185"/>
      <c r="BG39" s="185"/>
      <c r="BH39" s="185"/>
      <c r="BI39" s="185"/>
      <c r="BJ39" s="185"/>
      <c r="BK39" s="185"/>
      <c r="BL39" s="185"/>
      <c r="BM39" s="185"/>
      <c r="BN39" s="185"/>
      <c r="BO39" s="185"/>
      <c r="BP39" s="185"/>
      <c r="BQ39" s="185"/>
      <c r="BR39" s="185"/>
      <c r="BS39" s="185"/>
      <c r="BT39" s="185"/>
      <c r="BU39" s="185"/>
      <c r="BV39" s="185"/>
      <c r="BW39" s="185"/>
      <c r="BX39" s="185"/>
      <c r="BY39" s="185"/>
      <c r="BZ39" s="185"/>
      <c r="CA39" s="185"/>
      <c r="CB39" s="185"/>
      <c r="CC39" s="185"/>
      <c r="CD39" s="185"/>
      <c r="CE39" s="185"/>
      <c r="CF39" s="185"/>
      <c r="CG39" s="185"/>
      <c r="CH39" s="185"/>
      <c r="CI39" s="185"/>
      <c r="CJ39" s="185"/>
      <c r="CK39" s="185"/>
      <c r="CL39" s="185"/>
      <c r="CM39" s="185"/>
      <c r="CN39" s="185"/>
      <c r="CO39" s="185"/>
      <c r="CP39" s="185"/>
      <c r="CQ39" s="185"/>
      <c r="CR39" s="185"/>
      <c r="CS39" s="185"/>
      <c r="CT39" s="185"/>
      <c r="CU39" s="185"/>
      <c r="CV39" s="185"/>
      <c r="CW39" s="185"/>
      <c r="CX39" s="185"/>
      <c r="CY39" s="185"/>
      <c r="CZ39" s="185"/>
      <c r="DA39" s="185"/>
      <c r="DB39" s="185"/>
      <c r="DC39" s="185"/>
      <c r="DD39" s="185"/>
      <c r="DE39" s="185"/>
      <c r="DF39" s="185"/>
      <c r="DG39" s="185"/>
      <c r="DH39" s="185"/>
      <c r="DI39" s="185"/>
      <c r="DJ39" s="185"/>
      <c r="DK39" s="185"/>
      <c r="DL39" s="185"/>
      <c r="DM39" s="185"/>
      <c r="DN39" s="185"/>
      <c r="DO39" s="185"/>
      <c r="DP39" s="185"/>
      <c r="DQ39" s="185"/>
      <c r="DR39" s="185"/>
      <c r="DS39" s="185"/>
      <c r="DT39" s="185"/>
      <c r="DU39" s="185"/>
      <c r="DV39" s="185"/>
      <c r="DW39" s="185"/>
      <c r="DX39" s="185"/>
      <c r="DY39" s="185"/>
      <c r="DZ39" s="185"/>
    </row>
    <row r="40" spans="1:130" s="99" customFormat="1" ht="13.2" customHeight="1">
      <c r="A40" s="1"/>
      <c r="B40" s="38" t="s">
        <v>27</v>
      </c>
      <c r="C40" s="38"/>
      <c r="D40" s="38"/>
      <c r="E40" s="38"/>
      <c r="F40" s="38"/>
      <c r="G40" s="1"/>
      <c r="H40" s="18">
        <v>6</v>
      </c>
      <c r="I40" s="1"/>
      <c r="J40" s="181" t="s">
        <v>279</v>
      </c>
      <c r="K40" s="192">
        <v>44861890.860094599</v>
      </c>
      <c r="L40" s="192">
        <v>45123287.671232417</v>
      </c>
      <c r="M40" s="192">
        <v>44876712.328767002</v>
      </c>
      <c r="N40" s="192">
        <v>45123287.671232417</v>
      </c>
      <c r="O40" s="192">
        <v>44876712.328767002</v>
      </c>
      <c r="P40" s="192">
        <v>45123287.671232417</v>
      </c>
      <c r="Q40" s="192">
        <v>45506624.747361004</v>
      </c>
      <c r="R40" s="192">
        <v>44754098.360656247</v>
      </c>
      <c r="S40" s="192">
        <v>44862564.563215911</v>
      </c>
      <c r="T40" s="192">
        <v>44876712.328767002</v>
      </c>
      <c r="U40" s="192">
        <v>44876712.328767002</v>
      </c>
      <c r="V40" s="192">
        <v>45123287.671232417</v>
      </c>
      <c r="W40" s="192">
        <v>6000000000</v>
      </c>
      <c r="X40" s="192"/>
      <c r="Y40" s="193"/>
      <c r="Z40" s="193"/>
      <c r="AA40" s="193"/>
      <c r="AB40" s="193"/>
      <c r="AC40" s="193"/>
      <c r="AD40" s="193"/>
      <c r="AE40" s="193"/>
      <c r="AF40" s="193"/>
      <c r="AG40" s="193"/>
      <c r="AH40" s="193"/>
      <c r="AI40" s="193"/>
      <c r="AJ40" s="193"/>
      <c r="AK40" s="193"/>
      <c r="AL40" s="193"/>
      <c r="AM40" s="193"/>
      <c r="AN40" s="193"/>
      <c r="AO40" s="193"/>
      <c r="AP40" s="193"/>
      <c r="AQ40" s="193"/>
      <c r="AR40" s="193"/>
      <c r="AS40" s="193"/>
      <c r="AT40" s="193"/>
      <c r="AU40" s="193"/>
      <c r="AV40" s="193"/>
      <c r="AW40" s="193"/>
      <c r="AX40" s="193"/>
      <c r="AY40" s="193"/>
      <c r="AZ40" s="193"/>
      <c r="BA40" s="193"/>
      <c r="BB40" s="193"/>
      <c r="BC40" s="193"/>
      <c r="BD40" s="193"/>
      <c r="BE40" s="193"/>
      <c r="BF40" s="193"/>
      <c r="BG40" s="193"/>
      <c r="BH40" s="193"/>
      <c r="BI40" s="193"/>
      <c r="BJ40" s="193"/>
      <c r="BK40" s="193"/>
      <c r="BL40" s="193"/>
      <c r="BM40" s="193"/>
      <c r="BN40" s="193"/>
      <c r="BO40" s="193"/>
      <c r="BP40" s="193"/>
      <c r="BQ40" s="193"/>
      <c r="BR40" s="193"/>
      <c r="BS40" s="193"/>
      <c r="BT40" s="193"/>
      <c r="BU40" s="193"/>
      <c r="BV40" s="193"/>
      <c r="BW40" s="193"/>
      <c r="BX40" s="193"/>
      <c r="BY40" s="193"/>
      <c r="BZ40" s="193"/>
      <c r="CA40" s="193"/>
      <c r="CB40" s="193"/>
      <c r="CC40" s="193"/>
      <c r="CD40" s="193"/>
      <c r="CE40" s="193"/>
      <c r="CF40" s="193"/>
      <c r="CG40" s="193"/>
      <c r="CH40" s="193"/>
      <c r="CI40" s="193"/>
      <c r="CJ40" s="193"/>
      <c r="CK40" s="193"/>
      <c r="CL40" s="193"/>
      <c r="CM40" s="193"/>
      <c r="CN40" s="193"/>
      <c r="CO40" s="193"/>
      <c r="CP40" s="193"/>
      <c r="CQ40" s="193"/>
      <c r="CR40" s="193"/>
      <c r="CS40" s="193"/>
      <c r="CT40" s="193"/>
      <c r="CU40" s="193"/>
      <c r="CV40" s="193"/>
      <c r="CW40" s="193"/>
      <c r="CX40" s="193"/>
      <c r="CY40" s="193"/>
      <c r="CZ40" s="193"/>
      <c r="DA40" s="193"/>
      <c r="DB40" s="193"/>
      <c r="DC40" s="193"/>
      <c r="DD40" s="193"/>
      <c r="DE40" s="193"/>
      <c r="DF40" s="193"/>
      <c r="DG40" s="193"/>
      <c r="DH40" s="193"/>
      <c r="DI40" s="193"/>
      <c r="DJ40" s="193"/>
      <c r="DK40" s="193"/>
      <c r="DL40" s="193"/>
      <c r="DM40" s="193"/>
      <c r="DN40" s="193"/>
      <c r="DO40" s="193"/>
      <c r="DP40" s="193"/>
      <c r="DQ40" s="193"/>
      <c r="DR40" s="193"/>
      <c r="DS40" s="193"/>
      <c r="DT40" s="193"/>
      <c r="DU40" s="193"/>
      <c r="DV40" s="193"/>
      <c r="DW40" s="193"/>
      <c r="DX40" s="193"/>
      <c r="DY40" s="193"/>
      <c r="DZ40" s="193"/>
    </row>
    <row r="41" spans="1:130" s="99" customFormat="1" ht="13.2" customHeight="1">
      <c r="A41" s="1"/>
      <c r="B41" s="1"/>
      <c r="C41" s="13" t="s">
        <v>3</v>
      </c>
      <c r="D41" s="14" t="s">
        <v>8</v>
      </c>
      <c r="E41" s="14" t="s">
        <v>81</v>
      </c>
      <c r="F41" s="14" t="s">
        <v>2</v>
      </c>
      <c r="G41" s="1"/>
      <c r="H41" s="21">
        <v>7</v>
      </c>
      <c r="I41" s="1"/>
      <c r="J41" s="181" t="s">
        <v>290</v>
      </c>
      <c r="K41" s="194">
        <v>0.98531952339192541</v>
      </c>
      <c r="L41" s="194">
        <v>0.97188913032873303</v>
      </c>
      <c r="M41" s="194">
        <v>0.95863342374001637</v>
      </c>
      <c r="N41" s="194">
        <v>0.94584327073206576</v>
      </c>
      <c r="O41" s="194">
        <v>0.93289239860886808</v>
      </c>
      <c r="P41" s="194">
        <v>0.92008415419843748</v>
      </c>
      <c r="Q41" s="194">
        <v>0.90654074565820264</v>
      </c>
      <c r="R41" s="194">
        <v>0.8931583397630386</v>
      </c>
      <c r="S41" s="194">
        <v>0.87982055579842222</v>
      </c>
      <c r="T41" s="194">
        <v>0.86653132872385508</v>
      </c>
      <c r="U41" s="194">
        <v>0.85351921453272084</v>
      </c>
      <c r="V41" s="194">
        <v>0.84055788399362075</v>
      </c>
      <c r="W41" s="194">
        <v>0.84055788399362075</v>
      </c>
      <c r="X41" s="194"/>
      <c r="Y41" s="193"/>
      <c r="Z41" s="193"/>
      <c r="AA41" s="193"/>
      <c r="AB41" s="193"/>
      <c r="AC41" s="193"/>
      <c r="AD41" s="193"/>
      <c r="AE41" s="193"/>
      <c r="AF41" s="193"/>
      <c r="AG41" s="193"/>
      <c r="AH41" s="193"/>
      <c r="AI41" s="193"/>
      <c r="AJ41" s="193"/>
      <c r="AK41" s="193"/>
      <c r="AL41" s="193"/>
      <c r="AM41" s="193"/>
      <c r="AN41" s="193"/>
      <c r="AO41" s="193"/>
      <c r="AP41" s="193"/>
      <c r="AQ41" s="193"/>
      <c r="AR41" s="193"/>
      <c r="AS41" s="193"/>
      <c r="AT41" s="193"/>
      <c r="AU41" s="193"/>
      <c r="AV41" s="193"/>
      <c r="AW41" s="193"/>
      <c r="AX41" s="193"/>
      <c r="AY41" s="193"/>
      <c r="AZ41" s="193"/>
      <c r="BA41" s="193"/>
      <c r="BB41" s="193"/>
      <c r="BC41" s="193"/>
      <c r="BD41" s="193"/>
      <c r="BE41" s="193"/>
      <c r="BF41" s="193"/>
      <c r="BG41" s="193"/>
      <c r="BH41" s="193"/>
      <c r="BI41" s="193"/>
      <c r="BJ41" s="193"/>
      <c r="BK41" s="193"/>
      <c r="BL41" s="193"/>
      <c r="BM41" s="193"/>
      <c r="BN41" s="193"/>
      <c r="BO41" s="193"/>
      <c r="BP41" s="193"/>
      <c r="BQ41" s="193"/>
      <c r="BR41" s="193"/>
      <c r="BS41" s="193"/>
      <c r="BT41" s="193"/>
      <c r="BU41" s="193"/>
      <c r="BV41" s="193"/>
      <c r="BW41" s="193"/>
      <c r="BX41" s="193"/>
      <c r="BY41" s="193"/>
      <c r="BZ41" s="193"/>
      <c r="CA41" s="193"/>
      <c r="CB41" s="193"/>
      <c r="CC41" s="193"/>
      <c r="CD41" s="193"/>
      <c r="CE41" s="193"/>
      <c r="CF41" s="193"/>
      <c r="CG41" s="193"/>
      <c r="CH41" s="193"/>
      <c r="CI41" s="193"/>
      <c r="CJ41" s="193"/>
      <c r="CK41" s="193"/>
      <c r="CL41" s="193"/>
      <c r="CM41" s="193"/>
      <c r="CN41" s="193"/>
      <c r="CO41" s="193"/>
      <c r="CP41" s="193"/>
      <c r="CQ41" s="193"/>
      <c r="CR41" s="193"/>
      <c r="CS41" s="193"/>
      <c r="CT41" s="193"/>
      <c r="CU41" s="193"/>
      <c r="CV41" s="193"/>
      <c r="CW41" s="193"/>
      <c r="CX41" s="193"/>
      <c r="CY41" s="193"/>
      <c r="CZ41" s="193"/>
      <c r="DA41" s="193"/>
      <c r="DB41" s="193"/>
      <c r="DC41" s="193"/>
      <c r="DD41" s="193"/>
      <c r="DE41" s="193"/>
      <c r="DF41" s="193"/>
      <c r="DG41" s="193"/>
      <c r="DH41" s="193"/>
      <c r="DI41" s="193"/>
      <c r="DJ41" s="193"/>
      <c r="DK41" s="193"/>
      <c r="DL41" s="193"/>
      <c r="DM41" s="193"/>
      <c r="DN41" s="193"/>
      <c r="DO41" s="193"/>
      <c r="DP41" s="193"/>
      <c r="DQ41" s="193"/>
      <c r="DR41" s="193"/>
      <c r="DS41" s="193"/>
      <c r="DT41" s="193"/>
      <c r="DU41" s="193"/>
      <c r="DV41" s="193"/>
      <c r="DW41" s="193"/>
      <c r="DX41" s="193"/>
      <c r="DY41" s="193"/>
      <c r="DZ41" s="193"/>
    </row>
    <row r="42" spans="1:130">
      <c r="C42" s="16">
        <v>1</v>
      </c>
      <c r="D42" s="17" t="s">
        <v>44</v>
      </c>
      <c r="E42" s="17" t="s">
        <v>74</v>
      </c>
      <c r="F42" s="28" t="s">
        <v>592</v>
      </c>
    </row>
    <row r="43" spans="1:130">
      <c r="C43" s="16">
        <v>2</v>
      </c>
      <c r="D43" s="17" t="s">
        <v>24</v>
      </c>
      <c r="E43" s="17" t="s">
        <v>26</v>
      </c>
      <c r="F43" s="28" t="s">
        <v>593</v>
      </c>
    </row>
    <row r="44" spans="1:130">
      <c r="C44" s="16">
        <v>3</v>
      </c>
      <c r="D44" s="17" t="s">
        <v>253</v>
      </c>
      <c r="E44" s="17" t="s">
        <v>0</v>
      </c>
      <c r="F44" s="28" t="s">
        <v>594</v>
      </c>
    </row>
    <row r="45" spans="1:130">
      <c r="C45" s="16">
        <v>4</v>
      </c>
      <c r="D45" s="17" t="s">
        <v>25</v>
      </c>
      <c r="E45" s="17" t="s">
        <v>59</v>
      </c>
      <c r="F45" s="190">
        <v>6000000000</v>
      </c>
    </row>
    <row r="46" spans="1:130">
      <c r="C46" s="16">
        <v>5</v>
      </c>
      <c r="D46" s="17" t="s">
        <v>50</v>
      </c>
      <c r="E46" s="17" t="s">
        <v>28</v>
      </c>
      <c r="F46" s="190">
        <v>1.4999999999999999E-2</v>
      </c>
    </row>
    <row r="47" spans="1:130">
      <c r="C47" s="16">
        <v>6</v>
      </c>
      <c r="D47" s="17" t="s">
        <v>80</v>
      </c>
      <c r="E47" s="17" t="s">
        <v>60</v>
      </c>
      <c r="F47" s="220">
        <v>5</v>
      </c>
    </row>
    <row r="48" spans="1:130">
      <c r="C48" s="16">
        <v>7</v>
      </c>
      <c r="D48" s="17" t="s">
        <v>138</v>
      </c>
      <c r="E48" s="37" t="s">
        <v>136</v>
      </c>
      <c r="F48" s="220">
        <v>0</v>
      </c>
      <c r="AH48" s="169"/>
    </row>
    <row r="49" spans="3:34">
      <c r="C49" s="16">
        <v>8</v>
      </c>
      <c r="D49" s="17" t="s">
        <v>45</v>
      </c>
      <c r="E49" s="37" t="s">
        <v>137</v>
      </c>
      <c r="F49" s="220">
        <v>1</v>
      </c>
      <c r="AH49" s="169"/>
    </row>
    <row r="50" spans="3:34">
      <c r="C50" s="16">
        <v>9</v>
      </c>
      <c r="D50" s="17" t="s">
        <v>139</v>
      </c>
      <c r="E50" s="37" t="s">
        <v>140</v>
      </c>
      <c r="F50" s="220">
        <v>0</v>
      </c>
      <c r="AH50" s="169"/>
    </row>
    <row r="51" spans="3:34">
      <c r="C51" s="16">
        <v>10</v>
      </c>
      <c r="D51" s="17" t="s">
        <v>141</v>
      </c>
      <c r="E51" s="17" t="s">
        <v>142</v>
      </c>
      <c r="F51" s="220">
        <v>0</v>
      </c>
      <c r="AH51" s="169"/>
    </row>
    <row r="52" spans="3:34">
      <c r="C52" s="16">
        <v>11</v>
      </c>
      <c r="D52" s="17" t="s">
        <v>143</v>
      </c>
      <c r="E52" s="17" t="s">
        <v>108</v>
      </c>
      <c r="F52" s="221">
        <v>0</v>
      </c>
      <c r="AH52" s="169"/>
    </row>
    <row r="53" spans="3:34">
      <c r="C53" s="16">
        <v>12</v>
      </c>
      <c r="D53" s="17" t="s">
        <v>46</v>
      </c>
      <c r="E53" s="25" t="s">
        <v>70</v>
      </c>
      <c r="F53" s="190">
        <v>12</v>
      </c>
      <c r="AH53" s="169"/>
    </row>
    <row r="54" spans="3:34">
      <c r="C54" s="16">
        <v>13</v>
      </c>
      <c r="D54" s="17" t="s">
        <v>47</v>
      </c>
      <c r="E54" s="25" t="s">
        <v>71</v>
      </c>
      <c r="F54" s="28" t="s">
        <v>773</v>
      </c>
      <c r="G54" s="1" t="s">
        <v>399</v>
      </c>
      <c r="AH54" s="169"/>
    </row>
    <row r="55" spans="3:34">
      <c r="C55" s="16">
        <v>14</v>
      </c>
      <c r="D55" s="17" t="s">
        <v>48</v>
      </c>
      <c r="E55" s="25" t="s">
        <v>72</v>
      </c>
      <c r="F55" s="28" t="s">
        <v>774</v>
      </c>
      <c r="G55" s="1" t="s">
        <v>399</v>
      </c>
      <c r="AH55" s="169"/>
    </row>
    <row r="56" spans="3:34">
      <c r="C56" s="16">
        <v>15</v>
      </c>
      <c r="D56" s="17" t="s">
        <v>49</v>
      </c>
      <c r="E56" s="25" t="s">
        <v>73</v>
      </c>
      <c r="F56" s="28" t="s">
        <v>773</v>
      </c>
      <c r="G56" s="1" t="s">
        <v>399</v>
      </c>
      <c r="AH56" s="169"/>
    </row>
    <row r="57" spans="3:34">
      <c r="C57" s="16">
        <v>16</v>
      </c>
      <c r="D57" s="17" t="s">
        <v>51</v>
      </c>
      <c r="E57" s="25" t="s">
        <v>145</v>
      </c>
      <c r="F57" s="190">
        <v>10</v>
      </c>
      <c r="G57" s="1" t="s">
        <v>399</v>
      </c>
      <c r="AH57" s="169"/>
    </row>
    <row r="58" spans="3:34">
      <c r="C58" s="16">
        <v>17</v>
      </c>
      <c r="D58" s="17" t="s">
        <v>52</v>
      </c>
      <c r="E58" s="25" t="s">
        <v>146</v>
      </c>
      <c r="F58" s="28" t="s">
        <v>255</v>
      </c>
      <c r="G58" s="1" t="s">
        <v>399</v>
      </c>
      <c r="AH58" s="169"/>
    </row>
    <row r="59" spans="3:34">
      <c r="C59" s="16">
        <v>18</v>
      </c>
      <c r="D59" s="17" t="s">
        <v>53</v>
      </c>
      <c r="E59" s="25" t="s">
        <v>147</v>
      </c>
      <c r="F59" s="28" t="s">
        <v>256</v>
      </c>
      <c r="G59" s="1" t="s">
        <v>399</v>
      </c>
      <c r="AH59" s="169"/>
    </row>
    <row r="60" spans="3:34">
      <c r="C60" s="16">
        <v>19</v>
      </c>
      <c r="D60" s="17" t="s">
        <v>144</v>
      </c>
      <c r="E60" s="25" t="s">
        <v>251</v>
      </c>
      <c r="F60" s="28" t="s">
        <v>257</v>
      </c>
      <c r="G60" s="1" t="s">
        <v>399</v>
      </c>
      <c r="AH60" s="169"/>
    </row>
    <row r="61" spans="3:34">
      <c r="C61" s="16">
        <v>20</v>
      </c>
      <c r="D61" s="17" t="s">
        <v>109</v>
      </c>
      <c r="E61" s="17" t="s">
        <v>76</v>
      </c>
      <c r="F61" s="190">
        <v>1.38897950828915E-3</v>
      </c>
      <c r="AH61" s="169"/>
    </row>
    <row r="62" spans="3:34">
      <c r="C62" s="16">
        <v>21</v>
      </c>
      <c r="D62" s="17" t="s">
        <v>54</v>
      </c>
      <c r="E62" s="25" t="s">
        <v>148</v>
      </c>
      <c r="F62" s="190">
        <v>5</v>
      </c>
      <c r="AH62" s="169"/>
    </row>
    <row r="63" spans="3:34">
      <c r="C63" s="16">
        <v>22</v>
      </c>
      <c r="D63" s="17" t="s">
        <v>55</v>
      </c>
      <c r="E63" s="25" t="s">
        <v>149</v>
      </c>
      <c r="F63" s="28" t="s">
        <v>258</v>
      </c>
      <c r="AH63" s="169"/>
    </row>
    <row r="64" spans="3:34">
      <c r="C64" s="16">
        <v>23</v>
      </c>
      <c r="D64" s="17" t="s">
        <v>56</v>
      </c>
      <c r="E64" s="25" t="s">
        <v>150</v>
      </c>
      <c r="F64" s="28" t="s">
        <v>259</v>
      </c>
      <c r="AH64" s="169"/>
    </row>
    <row r="65" spans="3:34">
      <c r="C65" s="16">
        <v>24</v>
      </c>
      <c r="D65" s="17" t="s">
        <v>29</v>
      </c>
      <c r="E65" s="17" t="s">
        <v>61</v>
      </c>
      <c r="F65" s="222">
        <v>5536303734.6883898</v>
      </c>
      <c r="AH65" s="169"/>
    </row>
    <row r="66" spans="3:34">
      <c r="C66" s="16">
        <v>25</v>
      </c>
      <c r="D66" s="17" t="s">
        <v>75</v>
      </c>
      <c r="E66" s="17" t="s">
        <v>610</v>
      </c>
      <c r="F66" s="190">
        <v>1.7000000000000001E-2</v>
      </c>
      <c r="AH66" s="169"/>
    </row>
    <row r="67" spans="3:34">
      <c r="C67" s="16">
        <v>26</v>
      </c>
      <c r="D67" s="17" t="s">
        <v>107</v>
      </c>
      <c r="E67" s="17" t="s">
        <v>611</v>
      </c>
      <c r="F67" s="191">
        <v>0.05</v>
      </c>
      <c r="AH67" s="169"/>
    </row>
    <row r="68" spans="3:34" ht="13.2" customHeight="1">
      <c r="C68" s="16">
        <v>27</v>
      </c>
      <c r="D68" s="17" t="s">
        <v>57</v>
      </c>
      <c r="E68" s="17" t="s">
        <v>62</v>
      </c>
      <c r="F68" s="28">
        <v>9</v>
      </c>
      <c r="AH68" s="169"/>
    </row>
    <row r="69" spans="3:34" ht="13.2" customHeight="1">
      <c r="C69" s="16">
        <v>28</v>
      </c>
      <c r="D69" s="17" t="s">
        <v>58</v>
      </c>
      <c r="E69" s="17" t="s">
        <v>63</v>
      </c>
      <c r="F69" s="28">
        <v>1</v>
      </c>
      <c r="AH69" s="169"/>
    </row>
    <row r="70" spans="3:34">
      <c r="AH70" s="169"/>
    </row>
    <row r="71" spans="3:34">
      <c r="AH71" s="169"/>
    </row>
    <row r="72" spans="3:34">
      <c r="AH72" s="169"/>
    </row>
    <row r="73" spans="3:34">
      <c r="AH73" s="169"/>
    </row>
    <row r="74" spans="3:34">
      <c r="AH74" s="169"/>
    </row>
    <row r="75" spans="3:34">
      <c r="O75" s="168"/>
      <c r="P75" s="168"/>
      <c r="Q75" s="168"/>
      <c r="AH75" s="169"/>
    </row>
    <row r="76" spans="3:34">
      <c r="K76" s="169"/>
      <c r="L76" s="169"/>
      <c r="M76" s="169"/>
      <c r="N76" s="169"/>
      <c r="O76" s="168"/>
      <c r="P76" s="168"/>
      <c r="Q76" s="168"/>
      <c r="AH76" s="169"/>
    </row>
    <row r="77" spans="3:34">
      <c r="E77" s="1"/>
      <c r="O77" s="168"/>
      <c r="P77" s="168"/>
      <c r="Q77" s="168"/>
      <c r="AH77" s="169"/>
    </row>
    <row r="78" spans="3:34">
      <c r="D78" s="1" t="s">
        <v>400</v>
      </c>
      <c r="K78" s="168"/>
      <c r="N78" s="168"/>
      <c r="O78" s="168"/>
      <c r="P78" s="168"/>
      <c r="Q78" s="168"/>
      <c r="AH78" s="169"/>
    </row>
    <row r="79" spans="3:34">
      <c r="D79" s="1" t="s">
        <v>401</v>
      </c>
      <c r="K79" s="168"/>
      <c r="N79" s="168"/>
      <c r="O79" s="168"/>
      <c r="P79" s="168"/>
      <c r="Q79" s="168"/>
      <c r="AH79" s="169"/>
    </row>
    <row r="80" spans="3:34">
      <c r="D80" s="1" t="s">
        <v>402</v>
      </c>
      <c r="K80" s="168"/>
      <c r="N80" s="168"/>
      <c r="O80" s="168"/>
      <c r="P80" s="168"/>
      <c r="Q80" s="168"/>
      <c r="AH80" s="169"/>
    </row>
    <row r="81" spans="3:34">
      <c r="C81" s="1"/>
      <c r="D81" s="1" t="s">
        <v>403</v>
      </c>
      <c r="E81" s="1"/>
      <c r="F81" s="1"/>
      <c r="K81" s="168"/>
      <c r="N81" s="168"/>
      <c r="O81" s="168"/>
      <c r="P81" s="168"/>
      <c r="Q81" s="168"/>
      <c r="AH81" s="169"/>
    </row>
    <row r="82" spans="3:34">
      <c r="C82" s="1"/>
      <c r="D82" s="1" t="s">
        <v>404</v>
      </c>
      <c r="E82" s="1"/>
      <c r="F82" s="1"/>
      <c r="K82" s="168"/>
      <c r="N82" s="168"/>
      <c r="O82" s="168"/>
      <c r="P82" s="168"/>
      <c r="Q82" s="168"/>
      <c r="AH82" s="169"/>
    </row>
    <row r="83" spans="3:34" ht="13.2" customHeight="1">
      <c r="C83" s="1"/>
      <c r="D83" s="3" t="s">
        <v>405</v>
      </c>
      <c r="E83" s="1"/>
      <c r="F83" s="1"/>
      <c r="K83" s="168"/>
      <c r="N83" s="168"/>
      <c r="O83" s="168"/>
      <c r="P83" s="168"/>
      <c r="Q83" s="168"/>
      <c r="AH83" s="169"/>
    </row>
    <row r="84" spans="3:34" ht="13.2" customHeight="1">
      <c r="C84" s="1"/>
      <c r="D84" s="3" t="s">
        <v>406</v>
      </c>
      <c r="E84" s="1"/>
      <c r="F84" s="1"/>
      <c r="K84" s="168"/>
      <c r="N84" s="168"/>
      <c r="O84" s="168"/>
      <c r="P84" s="168"/>
      <c r="Q84" s="168"/>
      <c r="AH84" s="169"/>
    </row>
    <row r="85" spans="3:34">
      <c r="C85" s="1"/>
      <c r="D85" s="1" t="s">
        <v>407</v>
      </c>
      <c r="E85" s="1"/>
      <c r="F85" s="1"/>
      <c r="K85" s="168"/>
      <c r="N85" s="168"/>
      <c r="O85" s="168"/>
      <c r="P85" s="168"/>
      <c r="Q85" s="168"/>
      <c r="AH85" s="169"/>
    </row>
    <row r="86" spans="3:34">
      <c r="C86" s="1"/>
      <c r="D86" s="1" t="s">
        <v>408</v>
      </c>
      <c r="E86" s="1"/>
      <c r="F86" s="1"/>
      <c r="K86" s="168"/>
      <c r="N86" s="168"/>
      <c r="O86" s="168"/>
      <c r="P86" s="168"/>
      <c r="Q86" s="168"/>
      <c r="AH86" s="169"/>
    </row>
    <row r="87" spans="3:34">
      <c r="C87" s="1"/>
      <c r="D87" s="1" t="s">
        <v>409</v>
      </c>
      <c r="E87" s="1"/>
      <c r="F87" s="1"/>
      <c r="K87" s="168"/>
      <c r="N87" s="168"/>
      <c r="O87" s="168"/>
      <c r="P87" s="168"/>
      <c r="Q87" s="168"/>
      <c r="AH87" s="169"/>
    </row>
    <row r="88" spans="3:34">
      <c r="C88" s="1"/>
      <c r="D88" s="1" t="s">
        <v>410</v>
      </c>
      <c r="E88" s="1"/>
      <c r="F88" s="1"/>
      <c r="K88" s="168"/>
      <c r="N88" s="168"/>
      <c r="O88" s="168"/>
      <c r="P88" s="168"/>
      <c r="Q88" s="168"/>
      <c r="AH88" s="169"/>
    </row>
    <row r="89" spans="3:34">
      <c r="C89" s="1"/>
      <c r="D89" s="1" t="s">
        <v>411</v>
      </c>
      <c r="E89" s="1"/>
      <c r="F89" s="1"/>
      <c r="K89" s="168"/>
      <c r="N89" s="168"/>
      <c r="O89" s="168"/>
      <c r="P89" s="168"/>
      <c r="Q89" s="168"/>
      <c r="AH89" s="169"/>
    </row>
    <row r="90" spans="3:34">
      <c r="C90" s="1"/>
      <c r="D90" s="1" t="s">
        <v>412</v>
      </c>
      <c r="E90" s="1"/>
      <c r="F90" s="1"/>
      <c r="K90" s="168"/>
      <c r="N90" s="168"/>
      <c r="O90" s="168"/>
      <c r="P90" s="168"/>
      <c r="Q90" s="168"/>
      <c r="AH90" s="169"/>
    </row>
    <row r="91" spans="3:34">
      <c r="D91" s="1" t="s">
        <v>413</v>
      </c>
      <c r="K91" s="168"/>
      <c r="N91" s="168"/>
      <c r="O91" s="168"/>
      <c r="P91" s="168"/>
      <c r="Q91" s="168"/>
      <c r="AH91" s="169"/>
    </row>
    <row r="92" spans="3:34">
      <c r="D92" s="1" t="s">
        <v>414</v>
      </c>
      <c r="K92" s="168"/>
      <c r="N92" s="168"/>
      <c r="O92" s="168"/>
      <c r="P92" s="168"/>
      <c r="Q92" s="168"/>
      <c r="AH92" s="169"/>
    </row>
    <row r="93" spans="3:34">
      <c r="D93" s="1" t="s">
        <v>415</v>
      </c>
      <c r="K93" s="168"/>
      <c r="N93" s="168"/>
      <c r="O93" s="168"/>
      <c r="P93" s="168"/>
      <c r="Q93" s="168"/>
      <c r="AH93" s="169"/>
    </row>
    <row r="94" spans="3:34">
      <c r="D94" s="1" t="s">
        <v>416</v>
      </c>
      <c r="K94" s="168"/>
      <c r="N94" s="168"/>
      <c r="O94" s="168"/>
      <c r="P94" s="168"/>
      <c r="Q94" s="168"/>
      <c r="AH94" s="169"/>
    </row>
    <row r="95" spans="3:34">
      <c r="D95" s="1" t="s">
        <v>417</v>
      </c>
      <c r="K95" s="168"/>
      <c r="N95" s="168"/>
      <c r="O95" s="168"/>
      <c r="P95" s="168"/>
      <c r="Q95" s="168"/>
      <c r="AH95" s="169"/>
    </row>
    <row r="96" spans="3:34">
      <c r="D96" s="1" t="s">
        <v>418</v>
      </c>
      <c r="K96" s="168"/>
      <c r="N96" s="168"/>
      <c r="O96" s="168"/>
      <c r="P96" s="168"/>
      <c r="Q96" s="168"/>
      <c r="AH96" s="169"/>
    </row>
    <row r="97" spans="4:34">
      <c r="D97" s="1" t="s">
        <v>419</v>
      </c>
      <c r="K97" s="168"/>
      <c r="N97" s="168"/>
      <c r="O97" s="168"/>
      <c r="P97" s="168"/>
      <c r="Q97" s="168"/>
      <c r="AH97" s="169"/>
    </row>
    <row r="98" spans="4:34">
      <c r="D98" s="1" t="s">
        <v>420</v>
      </c>
      <c r="K98" s="168"/>
      <c r="N98" s="168"/>
      <c r="O98" s="168"/>
      <c r="P98" s="168"/>
      <c r="Q98" s="168"/>
      <c r="AH98" s="169"/>
    </row>
    <row r="99" spans="4:34">
      <c r="D99" s="1" t="s">
        <v>421</v>
      </c>
      <c r="K99" s="168"/>
      <c r="N99" s="168"/>
      <c r="O99" s="168"/>
      <c r="P99" s="168"/>
      <c r="Q99" s="168"/>
      <c r="AH99" s="169"/>
    </row>
    <row r="100" spans="4:34">
      <c r="D100" s="1" t="s">
        <v>422</v>
      </c>
      <c r="K100" s="168"/>
      <c r="N100" s="168"/>
      <c r="O100" s="168"/>
      <c r="P100" s="168"/>
      <c r="Q100" s="168"/>
      <c r="AH100" s="169"/>
    </row>
    <row r="101" spans="4:34" ht="13.2" customHeight="1">
      <c r="D101" s="3" t="s">
        <v>423</v>
      </c>
      <c r="K101" s="168"/>
      <c r="N101" s="168"/>
      <c r="O101" s="168"/>
      <c r="P101" s="168"/>
      <c r="Q101" s="168"/>
      <c r="AH101" s="169"/>
    </row>
    <row r="102" spans="4:34">
      <c r="K102" s="168"/>
      <c r="N102" s="168"/>
      <c r="O102" s="168"/>
      <c r="P102" s="168"/>
      <c r="Q102" s="168"/>
      <c r="AH102" s="169"/>
    </row>
    <row r="103" spans="4:34">
      <c r="K103" s="168"/>
      <c r="N103" s="168"/>
      <c r="O103" s="168"/>
      <c r="P103" s="168"/>
      <c r="Q103" s="168"/>
      <c r="AH103" s="169"/>
    </row>
    <row r="104" spans="4:34">
      <c r="K104" s="168"/>
      <c r="N104" s="168"/>
      <c r="O104" s="168"/>
      <c r="P104" s="168"/>
      <c r="Q104" s="168"/>
      <c r="AH104" s="169"/>
    </row>
    <row r="105" spans="4:34">
      <c r="K105" s="168"/>
      <c r="AH105" s="169"/>
    </row>
  </sheetData>
  <dataConsolidate/>
  <mergeCells count="5">
    <mergeCell ref="B2:F2"/>
    <mergeCell ref="C5:F5"/>
    <mergeCell ref="M5:N5"/>
    <mergeCell ref="J5:K5"/>
    <mergeCell ref="S5:T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30480</xdr:colOff>
                    <xdr:row>2</xdr:row>
                    <xdr:rowOff>7620</xdr:rowOff>
                  </from>
                  <to>
                    <xdr:col>5</xdr:col>
                    <xdr:colOff>1226820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63"/>
  <sheetViews>
    <sheetView tabSelected="1" workbookViewId="0">
      <selection activeCell="N8" sqref="N8"/>
    </sheetView>
  </sheetViews>
  <sheetFormatPr defaultColWidth="8.6640625" defaultRowHeight="10.8"/>
  <cols>
    <col min="1" max="1" width="1.6640625" style="1" customWidth="1"/>
    <col min="2" max="2" width="10.77734375" style="1" customWidth="1"/>
    <col min="3" max="3" width="19.44140625" style="1" customWidth="1"/>
    <col min="4" max="4" width="1.6640625" style="1" customWidth="1"/>
    <col min="5" max="5" width="12" style="3" customWidth="1"/>
    <col min="6" max="6" width="11.109375" style="3" customWidth="1"/>
    <col min="7" max="7" width="9" style="3" bestFit="1" customWidth="1"/>
    <col min="8" max="8" width="19" style="3" bestFit="1" customWidth="1"/>
    <col min="9" max="9" width="14.109375" style="1" customWidth="1"/>
    <col min="10" max="10" width="16.33203125" style="3" bestFit="1" customWidth="1"/>
    <col min="11" max="11" width="15.109375" style="1" bestFit="1" customWidth="1"/>
    <col min="12" max="15" width="11.44140625" style="1" bestFit="1" customWidth="1"/>
    <col min="16" max="16" width="12" style="1" bestFit="1" customWidth="1"/>
    <col min="17" max="17" width="11.44140625" style="1" bestFit="1" customWidth="1"/>
    <col min="18" max="18" width="11.6640625" style="1" bestFit="1" customWidth="1"/>
    <col min="19" max="20" width="11.44140625" style="1" bestFit="1" customWidth="1"/>
    <col min="21" max="21" width="12.44140625" style="1" bestFit="1" customWidth="1"/>
    <col min="22" max="22" width="17.109375" style="1" bestFit="1" customWidth="1"/>
    <col min="23" max="23" width="1.44140625" style="1" customWidth="1"/>
    <col min="24" max="24" width="8.6640625" style="1"/>
    <col min="25" max="25" width="1.10937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7773437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0.399999999999999">
      <c r="B1" s="95" t="s">
        <v>286</v>
      </c>
      <c r="I1" s="1" t="s">
        <v>375</v>
      </c>
    </row>
    <row r="2" spans="1:32">
      <c r="A2" s="3"/>
      <c r="C2" s="4"/>
      <c r="D2" s="4"/>
      <c r="E2" s="48"/>
      <c r="F2" s="48"/>
      <c r="G2" s="48"/>
      <c r="H2" s="48"/>
      <c r="I2" s="132" t="s">
        <v>381</v>
      </c>
      <c r="J2" s="252">
        <v>366</v>
      </c>
      <c r="K2" s="133">
        <v>365</v>
      </c>
      <c r="L2" s="133">
        <v>365</v>
      </c>
      <c r="M2" s="133">
        <v>365</v>
      </c>
      <c r="N2" s="133">
        <v>365</v>
      </c>
      <c r="O2" s="133">
        <v>365</v>
      </c>
      <c r="P2" s="133">
        <v>365</v>
      </c>
      <c r="Q2" s="141">
        <v>366</v>
      </c>
      <c r="R2" s="133">
        <v>365</v>
      </c>
      <c r="S2" s="133">
        <v>365</v>
      </c>
      <c r="T2" s="133">
        <v>365</v>
      </c>
      <c r="U2" s="133">
        <v>365</v>
      </c>
      <c r="V2" s="133">
        <v>365</v>
      </c>
      <c r="X2" s="3"/>
      <c r="Y2" s="3"/>
      <c r="Z2" s="32" t="s">
        <v>6</v>
      </c>
      <c r="AA2" s="58"/>
      <c r="AB2" s="59"/>
      <c r="AC2" s="3"/>
      <c r="AD2" s="32" t="s">
        <v>90</v>
      </c>
      <c r="AE2" s="58"/>
      <c r="AF2" s="59"/>
    </row>
    <row r="3" spans="1:32">
      <c r="B3" s="3" t="s">
        <v>261</v>
      </c>
      <c r="C3" s="4"/>
      <c r="I3" s="3" t="s">
        <v>276</v>
      </c>
      <c r="J3" s="248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99</v>
      </c>
      <c r="AA3" s="5"/>
      <c r="AB3" s="17" t="s">
        <v>119</v>
      </c>
      <c r="AC3" s="48"/>
      <c r="AD3" s="20"/>
      <c r="AE3" s="20"/>
      <c r="AF3" s="20"/>
    </row>
    <row r="4" spans="1:32">
      <c r="B4" s="61" t="s">
        <v>266</v>
      </c>
      <c r="C4" s="64"/>
      <c r="E4" s="61" t="s">
        <v>260</v>
      </c>
      <c r="F4" s="61"/>
      <c r="G4" s="61"/>
      <c r="H4" s="61"/>
      <c r="I4" s="61"/>
      <c r="J4" s="254" t="str">
        <f>C5</f>
        <v>2024-12-31</v>
      </c>
      <c r="K4" s="73">
        <f>IF(Result!K39="", "", Result!K39)</f>
        <v>45818</v>
      </c>
      <c r="L4" s="73">
        <f>IF(Result!L39="", "", Result!L39)</f>
        <v>46001</v>
      </c>
      <c r="M4" s="73">
        <f>IF(Result!M39="", "", Result!M39)</f>
        <v>46183</v>
      </c>
      <c r="N4" s="73">
        <f>IF(Result!N39="", "", Result!N39)</f>
        <v>46366</v>
      </c>
      <c r="O4" s="73">
        <f>IF(Result!O39="", "", Result!O39)</f>
        <v>46548</v>
      </c>
      <c r="P4" s="73">
        <f>IF(Result!P39="", "", Result!P39)</f>
        <v>46731</v>
      </c>
      <c r="Q4" s="73">
        <f>IF(Result!Q39="", "", Result!Q39)</f>
        <v>46916</v>
      </c>
      <c r="R4" s="73">
        <f>IF(Result!R39="", "", Result!R39)</f>
        <v>47098</v>
      </c>
      <c r="S4" s="73">
        <f>IF(Result!S39="", "", Result!S39)</f>
        <v>47280</v>
      </c>
      <c r="T4" s="73">
        <f>IF(Result!T39="", "", Result!T39)</f>
        <v>47462</v>
      </c>
      <c r="U4" s="73">
        <f>IF(Result!U39="", "", Result!U39)</f>
        <v>47644</v>
      </c>
      <c r="V4" s="73">
        <f>IF(Result!V39="", "", Result!V39)</f>
        <v>47827</v>
      </c>
      <c r="Z4" s="5" t="s">
        <v>100</v>
      </c>
      <c r="AA4" s="5"/>
      <c r="AB4" s="17" t="s">
        <v>121</v>
      </c>
      <c r="AC4" s="4"/>
      <c r="AD4" s="17"/>
      <c r="AE4" s="17"/>
      <c r="AF4" s="17"/>
    </row>
    <row r="5" spans="1:32">
      <c r="B5" s="3" t="s">
        <v>262</v>
      </c>
      <c r="C5" s="62" t="str">
        <f>MID(Trade!F7,1,4) &amp;"-" &amp; MID(Trade!F7,5,2) &amp;"-" &amp; MID(Trade!F7,7,2)</f>
        <v>2024-12-31</v>
      </c>
      <c r="E5" s="71" t="s">
        <v>272</v>
      </c>
      <c r="F5" s="71" t="s">
        <v>267</v>
      </c>
      <c r="G5" s="71" t="s">
        <v>268</v>
      </c>
      <c r="H5" s="71" t="s">
        <v>437</v>
      </c>
      <c r="I5" s="66"/>
      <c r="J5" s="136">
        <f>J4-J3</f>
        <v>21</v>
      </c>
      <c r="K5" s="66">
        <f>IF(K4&lt;&gt;"", _xlfn.DAYS(K4,$J4), "")</f>
        <v>161</v>
      </c>
      <c r="L5" s="66">
        <f>IF(L4&lt;&gt;"", L4-$J4, "")</f>
        <v>344</v>
      </c>
      <c r="M5" s="66">
        <f t="shared" ref="M5:V5" si="0">IF(M4&lt;&gt;"", M4-$J4, "")</f>
        <v>526</v>
      </c>
      <c r="N5" s="66">
        <f t="shared" si="0"/>
        <v>709</v>
      </c>
      <c r="O5" s="66">
        <f t="shared" si="0"/>
        <v>891</v>
      </c>
      <c r="P5" s="66">
        <f t="shared" si="0"/>
        <v>1074</v>
      </c>
      <c r="Q5" s="66">
        <f t="shared" si="0"/>
        <v>1259</v>
      </c>
      <c r="R5" s="66">
        <f t="shared" si="0"/>
        <v>1441</v>
      </c>
      <c r="S5" s="66">
        <f t="shared" si="0"/>
        <v>1623</v>
      </c>
      <c r="T5" s="66">
        <f t="shared" si="0"/>
        <v>1805</v>
      </c>
      <c r="U5" s="66">
        <f t="shared" si="0"/>
        <v>1987</v>
      </c>
      <c r="V5" s="66">
        <f t="shared" si="0"/>
        <v>2170</v>
      </c>
      <c r="Z5" s="5" t="s">
        <v>102</v>
      </c>
      <c r="AA5" s="5"/>
      <c r="AB5" s="17" t="s">
        <v>123</v>
      </c>
      <c r="AC5" s="4"/>
      <c r="AD5" s="17"/>
      <c r="AE5" s="17"/>
      <c r="AF5" s="17"/>
    </row>
    <row r="6" spans="1:32">
      <c r="B6" s="3" t="s">
        <v>263</v>
      </c>
      <c r="C6" s="63">
        <f>Trade!F10</f>
        <v>6000000000</v>
      </c>
      <c r="F6" s="3" t="s">
        <v>429</v>
      </c>
      <c r="G6" s="3" t="s">
        <v>269</v>
      </c>
      <c r="H6" s="3" t="s">
        <v>271</v>
      </c>
      <c r="J6" s="137"/>
      <c r="K6" s="1">
        <f>IF(K5&lt;&gt;"",K5/K$2,"")</f>
        <v>0.44109589041095892</v>
      </c>
      <c r="L6" s="1">
        <f>IF(L5&lt;&gt;"",L5/L$2,"")</f>
        <v>0.94246575342465755</v>
      </c>
      <c r="M6" s="1">
        <f t="shared" ref="M6:V6" si="1">IF(M5&lt;&gt;"",M5/M$2,"")</f>
        <v>1.441095890410959</v>
      </c>
      <c r="N6" s="1">
        <f t="shared" si="1"/>
        <v>1.9424657534246574</v>
      </c>
      <c r="O6" s="1">
        <f t="shared" si="1"/>
        <v>2.441095890410959</v>
      </c>
      <c r="P6" s="1">
        <f t="shared" si="1"/>
        <v>2.9424657534246577</v>
      </c>
      <c r="Q6" s="1">
        <f t="shared" si="1"/>
        <v>3.4398907103825138</v>
      </c>
      <c r="R6" s="1">
        <f t="shared" si="1"/>
        <v>3.9479452054794519</v>
      </c>
      <c r="S6" s="1">
        <f t="shared" si="1"/>
        <v>4.4465753424657537</v>
      </c>
      <c r="T6" s="1">
        <f t="shared" si="1"/>
        <v>4.9452054794520546</v>
      </c>
      <c r="U6" s="1">
        <f t="shared" si="1"/>
        <v>5.4438356164383563</v>
      </c>
      <c r="V6" s="1">
        <f t="shared" si="1"/>
        <v>5.9452054794520546</v>
      </c>
      <c r="Z6" s="5" t="s">
        <v>103</v>
      </c>
      <c r="AA6" s="5"/>
      <c r="AB6" s="17" t="s">
        <v>125</v>
      </c>
      <c r="AC6" s="4"/>
      <c r="AD6" s="17"/>
      <c r="AE6" s="17"/>
      <c r="AF6" s="17"/>
    </row>
    <row r="7" spans="1:32" ht="12">
      <c r="B7" s="3" t="s">
        <v>29</v>
      </c>
      <c r="C7" s="63">
        <f>Trade!F22</f>
        <v>5536303734.6883898</v>
      </c>
      <c r="F7" s="3" t="s">
        <v>274</v>
      </c>
      <c r="G7" s="3" t="s">
        <v>275</v>
      </c>
      <c r="H7" s="3" t="s">
        <v>380</v>
      </c>
      <c r="I7" s="251" t="s">
        <v>778</v>
      </c>
      <c r="J7" s="253"/>
      <c r="K7" s="1">
        <v>181</v>
      </c>
      <c r="L7" s="1">
        <f>IF($J7="360",DAYS360(L4,K4),_xlfn.DAYS(L4,K4))</f>
        <v>183</v>
      </c>
      <c r="M7" s="1">
        <f t="shared" ref="M7:V7" si="2">IF($J7="360",DAYS360(M4,L4),_xlfn.DAYS(M4,L4))</f>
        <v>182</v>
      </c>
      <c r="N7" s="1">
        <f t="shared" si="2"/>
        <v>183</v>
      </c>
      <c r="O7" s="1">
        <f t="shared" si="2"/>
        <v>182</v>
      </c>
      <c r="P7" s="1">
        <f t="shared" si="2"/>
        <v>183</v>
      </c>
      <c r="Q7" s="1">
        <f t="shared" si="2"/>
        <v>185</v>
      </c>
      <c r="R7" s="1">
        <f t="shared" si="2"/>
        <v>182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183</v>
      </c>
      <c r="Z7" s="17"/>
      <c r="AA7" s="17"/>
      <c r="AB7" s="17"/>
    </row>
    <row r="8" spans="1:32" ht="12">
      <c r="B8" s="3"/>
      <c r="C8" s="63"/>
      <c r="F8" s="3" t="s">
        <v>274</v>
      </c>
      <c r="G8" s="3" t="s">
        <v>277</v>
      </c>
      <c r="H8" s="3" t="s">
        <v>380</v>
      </c>
      <c r="I8" s="251" t="s">
        <v>779</v>
      </c>
      <c r="J8" s="139"/>
      <c r="Z8" s="17"/>
      <c r="AA8" s="17"/>
      <c r="AB8" s="17"/>
    </row>
    <row r="9" spans="1:32">
      <c r="B9" s="3" t="s">
        <v>264</v>
      </c>
      <c r="C9" s="4">
        <v>6</v>
      </c>
      <c r="F9" s="3" t="s">
        <v>428</v>
      </c>
      <c r="G9" s="3" t="s">
        <v>277</v>
      </c>
      <c r="H9" s="3" t="s">
        <v>278</v>
      </c>
      <c r="I9" s="250" t="s">
        <v>777</v>
      </c>
      <c r="J9" s="137"/>
      <c r="K9" s="1">
        <f>K7/K$2</f>
        <v>0.49589041095890413</v>
      </c>
      <c r="L9" s="1">
        <f t="shared" ref="L9:V9" si="3">L7/L$2</f>
        <v>0.50136986301369868</v>
      </c>
      <c r="M9" s="1">
        <f t="shared" si="3"/>
        <v>0.49863013698630138</v>
      </c>
      <c r="N9" s="1">
        <f t="shared" si="3"/>
        <v>0.50136986301369868</v>
      </c>
      <c r="O9" s="1">
        <f t="shared" si="3"/>
        <v>0.49863013698630138</v>
      </c>
      <c r="P9" s="1">
        <f t="shared" si="3"/>
        <v>0.50136986301369868</v>
      </c>
      <c r="Q9" s="1">
        <f t="shared" si="3"/>
        <v>0.50546448087431695</v>
      </c>
      <c r="R9" s="1">
        <f t="shared" si="3"/>
        <v>0.49863013698630138</v>
      </c>
      <c r="S9" s="1">
        <f t="shared" si="3"/>
        <v>0.49863013698630138</v>
      </c>
      <c r="T9" s="1">
        <f t="shared" si="3"/>
        <v>0.49863013698630138</v>
      </c>
      <c r="U9" s="1">
        <f t="shared" si="3"/>
        <v>0.49863013698630138</v>
      </c>
      <c r="V9" s="1">
        <f t="shared" si="3"/>
        <v>0.50136986301369868</v>
      </c>
      <c r="X9" s="15" t="s">
        <v>10</v>
      </c>
      <c r="Y9" s="12"/>
      <c r="Z9" s="13" t="s">
        <v>11</v>
      </c>
      <c r="AA9" s="13" t="s">
        <v>374</v>
      </c>
      <c r="AB9" s="13" t="s">
        <v>12</v>
      </c>
      <c r="AD9" s="13" t="s">
        <v>11</v>
      </c>
      <c r="AE9" s="13" t="s">
        <v>374</v>
      </c>
      <c r="AF9" s="13" t="s">
        <v>12</v>
      </c>
    </row>
    <row r="10" spans="1:32">
      <c r="B10" s="3"/>
      <c r="C10" s="4"/>
      <c r="F10" s="3" t="s">
        <v>776</v>
      </c>
      <c r="G10" s="3" t="s">
        <v>280</v>
      </c>
      <c r="I10" s="250" t="s">
        <v>777</v>
      </c>
      <c r="J10" s="137"/>
      <c r="X10" s="249"/>
      <c r="Y10" s="12"/>
      <c r="Z10" s="13"/>
      <c r="AA10" s="13"/>
      <c r="AB10" s="13"/>
      <c r="AD10" s="13"/>
      <c r="AE10" s="13"/>
      <c r="AF10" s="13"/>
    </row>
    <row r="11" spans="1:32">
      <c r="B11" s="3" t="s">
        <v>265</v>
      </c>
      <c r="C11" s="247">
        <f>Trade!F11/100</f>
        <v>1.4999999999999999E-2</v>
      </c>
      <c r="E11" s="72"/>
      <c r="F11" s="72" t="s">
        <v>279</v>
      </c>
      <c r="G11" s="72" t="s">
        <v>280</v>
      </c>
      <c r="H11" s="72" t="s">
        <v>281</v>
      </c>
      <c r="I11" s="67"/>
      <c r="J11" s="138">
        <f>SUM(K11:V11)</f>
        <v>6539875364.9225245</v>
      </c>
      <c r="K11" s="74">
        <f t="shared" ref="K11:U11" si="4">$C6*$C11*K9</f>
        <v>44630136.98630137</v>
      </c>
      <c r="L11" s="74">
        <f t="shared" si="4"/>
        <v>45123287.671232879</v>
      </c>
      <c r="M11" s="74">
        <f t="shared" si="4"/>
        <v>44876712.328767121</v>
      </c>
      <c r="N11" s="74">
        <f t="shared" si="4"/>
        <v>45123287.671232879</v>
      </c>
      <c r="O11" s="74">
        <f t="shared" si="4"/>
        <v>44876712.328767121</v>
      </c>
      <c r="P11" s="74">
        <f t="shared" si="4"/>
        <v>45123287.671232879</v>
      </c>
      <c r="Q11" s="74">
        <f t="shared" si="4"/>
        <v>45491803.278688528</v>
      </c>
      <c r="R11" s="74">
        <f t="shared" si="4"/>
        <v>44876712.328767121</v>
      </c>
      <c r="S11" s="74">
        <f t="shared" si="4"/>
        <v>44876712.328767121</v>
      </c>
      <c r="T11" s="74">
        <f t="shared" si="4"/>
        <v>44876712.328767121</v>
      </c>
      <c r="U11" s="74">
        <f t="shared" si="4"/>
        <v>44876712.328767121</v>
      </c>
      <c r="V11" s="74">
        <f>$C6*$C11*V9+C6</f>
        <v>6045123287.6712332</v>
      </c>
      <c r="X11" s="18">
        <v>1</v>
      </c>
      <c r="Y11" s="2"/>
      <c r="Z11" s="29">
        <v>90</v>
      </c>
      <c r="AA11" s="29">
        <f>EDATE($J$4, Z11/30)-$J$4</f>
        <v>90</v>
      </c>
      <c r="AB11" s="30">
        <v>3.3700000000000001E-2</v>
      </c>
      <c r="AD11" s="29">
        <v>180</v>
      </c>
      <c r="AE11" s="29">
        <f>EDATE($J$4, AD11/30)-$J$4</f>
        <v>181</v>
      </c>
      <c r="AF11" s="30">
        <v>0</v>
      </c>
    </row>
    <row r="12" spans="1:32">
      <c r="B12" s="3" t="s">
        <v>273</v>
      </c>
      <c r="C12" s="65" t="str">
        <f>Trade!F12</f>
        <v>ACT/ACT</v>
      </c>
      <c r="E12" s="71" t="s">
        <v>282</v>
      </c>
      <c r="F12" s="71" t="s">
        <v>283</v>
      </c>
      <c r="G12" s="71" t="s">
        <v>284</v>
      </c>
      <c r="H12" s="71" t="s">
        <v>285</v>
      </c>
      <c r="I12" s="66"/>
      <c r="J12" s="68"/>
      <c r="K12" s="66" cm="1">
        <f t="array" ref="K12">lin_int(K5,$AA$11:$AB$20)+lin_int(K5,$AE$11:$AF$15)</f>
        <v>3.2139560439560441E-2</v>
      </c>
      <c r="L12" s="66" cm="1">
        <f t="array" ref="L12">lin_int(L5,$AA$11:$AB$20)+lin_int(L5,$AE$11:$AF$15)</f>
        <v>2.8865217391304349E-2</v>
      </c>
      <c r="M12" s="66" cm="1">
        <f t="array" ref="M12">lin_int(M5,$AA$11:$AB$20)+lin_int(M5,$AE$11:$AF$15)</f>
        <v>2.7926575342465752E-2</v>
      </c>
      <c r="N12" s="66" cm="1">
        <f t="array" ref="N12">lin_int(N5,$AA$11:$AB$20)+lin_int(N5,$AE$11:$AF$15)</f>
        <v>2.7274794520547943E-2</v>
      </c>
      <c r="O12" s="66" cm="1">
        <f t="array" ref="O12">lin_int(O5,$AA$11:$AB$20)+lin_int(O5,$AE$11:$AF$15)</f>
        <v>2.7067671232876712E-2</v>
      </c>
      <c r="P12" s="66" cm="1">
        <f t="array" ref="P12">lin_int(P5,$AA$11:$AB$20)+lin_int(P5,$AE$11:$AF$15)</f>
        <v>2.6917260273972603E-2</v>
      </c>
      <c r="Q12" s="66" cm="1">
        <f t="array" ref="Q12">lin_int(Q5,$AA$11:$AB$20)+lin_int(Q5,$AE$11:$AF$15)</f>
        <v>2.7057045143638849E-2</v>
      </c>
      <c r="R12" s="66" cm="1">
        <f t="array" ref="R12">lin_int(R5,$AA$11:$AB$20)+lin_int(R5,$AE$11:$AF$15)</f>
        <v>2.7231326949384405E-2</v>
      </c>
      <c r="S12" s="66" cm="1">
        <f t="array" ref="S12">lin_int(S5,$AA$11:$AB$20)+lin_int(S5,$AE$11:$AF$15)</f>
        <v>2.740560875512996E-2</v>
      </c>
      <c r="T12" s="66" cm="1">
        <f t="array" ref="T12">lin_int(T5,$AA$11:$AB$20)+lin_int(T5,$AE$11:$AF$15)</f>
        <v>2.7579890560875512E-2</v>
      </c>
      <c r="U12" s="66" cm="1">
        <f t="array" ref="U12">lin_int(U5,$AA$11:$AB$20)+lin_int(U5,$AE$11:$AF$15)</f>
        <v>2.7705805038335158E-2</v>
      </c>
      <c r="V12" s="66" cm="1">
        <f t="array" ref="V12">lin_int(V5,$AA$11:$AB$20)+lin_int(V5,$AE$11:$AF$15)</f>
        <v>2.7826067907995616E-2</v>
      </c>
      <c r="X12" s="18">
        <v>2</v>
      </c>
      <c r="Y12" s="2"/>
      <c r="Z12" s="29">
        <v>180</v>
      </c>
      <c r="AA12" s="29">
        <f t="shared" ref="AA12:AA20" si="5">EDATE($J$4, Z12/30)-$J$4</f>
        <v>181</v>
      </c>
      <c r="AB12" s="30">
        <v>3.1699999999999999E-2</v>
      </c>
      <c r="AD12" s="29">
        <v>360</v>
      </c>
      <c r="AE12" s="29">
        <f>EDATE($J$4, AD12/30)-$J$4</f>
        <v>365</v>
      </c>
      <c r="AF12" s="30">
        <v>0</v>
      </c>
    </row>
    <row r="13" spans="1:32">
      <c r="B13" s="3" t="s">
        <v>99</v>
      </c>
      <c r="C13" s="4" t="str">
        <f>Trade!L8</f>
        <v>CONT</v>
      </c>
      <c r="E13" s="72"/>
      <c r="F13" s="72" t="s">
        <v>287</v>
      </c>
      <c r="G13" s="72" t="s">
        <v>288</v>
      </c>
      <c r="H13" s="72" t="s">
        <v>289</v>
      </c>
      <c r="I13" s="67"/>
      <c r="J13" s="164">
        <f>C15</f>
        <v>1.38897950828915E-5</v>
      </c>
      <c r="K13" s="225">
        <f>J13</f>
        <v>1.38897950828915E-5</v>
      </c>
      <c r="L13" s="75">
        <f>K13</f>
        <v>1.38897950828915E-5</v>
      </c>
      <c r="M13" s="75">
        <f t="shared" ref="M13:V13" si="6">L13</f>
        <v>1.38897950828915E-5</v>
      </c>
      <c r="N13" s="75">
        <f t="shared" si="6"/>
        <v>1.38897950828915E-5</v>
      </c>
      <c r="O13" s="75">
        <f t="shared" si="6"/>
        <v>1.38897950828915E-5</v>
      </c>
      <c r="P13" s="75">
        <f t="shared" si="6"/>
        <v>1.38897950828915E-5</v>
      </c>
      <c r="Q13" s="75">
        <f t="shared" si="6"/>
        <v>1.38897950828915E-5</v>
      </c>
      <c r="R13" s="75">
        <f t="shared" si="6"/>
        <v>1.38897950828915E-5</v>
      </c>
      <c r="S13" s="75">
        <f t="shared" si="6"/>
        <v>1.38897950828915E-5</v>
      </c>
      <c r="T13" s="75">
        <f t="shared" si="6"/>
        <v>1.38897950828915E-5</v>
      </c>
      <c r="U13" s="75">
        <f t="shared" si="6"/>
        <v>1.38897950828915E-5</v>
      </c>
      <c r="V13" s="75">
        <f t="shared" si="6"/>
        <v>1.38897950828915E-5</v>
      </c>
      <c r="X13" s="18">
        <v>3</v>
      </c>
      <c r="Y13" s="2"/>
      <c r="Z13" s="29">
        <v>360</v>
      </c>
      <c r="AA13" s="29">
        <f t="shared" si="5"/>
        <v>365</v>
      </c>
      <c r="AB13" s="30">
        <v>2.8500000000000001E-2</v>
      </c>
      <c r="AD13" s="29">
        <v>1080</v>
      </c>
      <c r="AE13" s="29">
        <f>EDATE($J$4, AD13/30)-$J$4</f>
        <v>1095</v>
      </c>
      <c r="AF13" s="30">
        <v>0</v>
      </c>
    </row>
    <row r="14" spans="1:32">
      <c r="B14" s="3" t="s">
        <v>305</v>
      </c>
      <c r="C14" s="4">
        <f>12/C9</f>
        <v>2</v>
      </c>
      <c r="E14" s="71" t="s">
        <v>2</v>
      </c>
      <c r="F14" s="71" t="s">
        <v>283</v>
      </c>
      <c r="G14" s="71" t="s">
        <v>293</v>
      </c>
      <c r="H14" s="71" t="s">
        <v>294</v>
      </c>
      <c r="I14" s="66"/>
      <c r="J14" s="68"/>
      <c r="K14" s="66">
        <f>K12+K13</f>
        <v>3.2153450234643333E-2</v>
      </c>
      <c r="L14" s="66">
        <f t="shared" ref="L14:V14" si="7">L12+L13</f>
        <v>2.887910718638724E-2</v>
      </c>
      <c r="M14" s="66">
        <f t="shared" si="7"/>
        <v>2.7940465137548644E-2</v>
      </c>
      <c r="N14" s="66">
        <f t="shared" si="7"/>
        <v>2.7288684315630835E-2</v>
      </c>
      <c r="O14" s="66">
        <f t="shared" si="7"/>
        <v>2.7081561027959604E-2</v>
      </c>
      <c r="P14" s="66">
        <f t="shared" si="7"/>
        <v>2.6931150069055495E-2</v>
      </c>
      <c r="Q14" s="66">
        <f t="shared" si="7"/>
        <v>2.7070934938721741E-2</v>
      </c>
      <c r="R14" s="66">
        <f t="shared" si="7"/>
        <v>2.7245216744467296E-2</v>
      </c>
      <c r="S14" s="66">
        <f t="shared" si="7"/>
        <v>2.7419498550212851E-2</v>
      </c>
      <c r="T14" s="66">
        <f t="shared" si="7"/>
        <v>2.7593780355958403E-2</v>
      </c>
      <c r="U14" s="66">
        <f t="shared" si="7"/>
        <v>2.7719694833418049E-2</v>
      </c>
      <c r="V14" s="66">
        <f t="shared" si="7"/>
        <v>2.7839957703078507E-2</v>
      </c>
      <c r="X14" s="18">
        <v>4</v>
      </c>
      <c r="Y14" s="2"/>
      <c r="Z14" s="29">
        <v>720</v>
      </c>
      <c r="AA14" s="29">
        <f t="shared" si="5"/>
        <v>730</v>
      </c>
      <c r="AB14" s="30">
        <v>2.7199999999999998E-2</v>
      </c>
      <c r="AD14" s="29">
        <v>1800</v>
      </c>
      <c r="AE14" s="29">
        <f>EDATE($J$4, AD14/30)-$J$4</f>
        <v>1826</v>
      </c>
      <c r="AF14" s="30">
        <v>5.0000000000000001E-4</v>
      </c>
    </row>
    <row r="15" spans="1:32">
      <c r="B15" s="3" t="s">
        <v>76</v>
      </c>
      <c r="C15" s="1">
        <f>Trade!F20/100</f>
        <v>1.38897950828915E-5</v>
      </c>
      <c r="F15" s="3" t="s">
        <v>290</v>
      </c>
      <c r="G15" s="3" t="s">
        <v>295</v>
      </c>
      <c r="H15" s="3" t="s">
        <v>382</v>
      </c>
      <c r="I15" s="3"/>
      <c r="J15" s="134" t="s">
        <v>291</v>
      </c>
      <c r="K15" s="1">
        <f>IF($J15="CONT",1/EXP(K14*K6), 1/(1+K14*K6))</f>
        <v>0.98591734670828546</v>
      </c>
      <c r="L15" s="1">
        <f t="shared" ref="L15:V15" si="8">IF($J15="CONT",1/EXP(L14*L6), 1/(1+L14*L6))</f>
        <v>0.97314949082946911</v>
      </c>
      <c r="M15" s="1">
        <f t="shared" si="8"/>
        <v>0.96053496983634667</v>
      </c>
      <c r="N15" s="1">
        <f t="shared" si="8"/>
        <v>0.94837305638782166</v>
      </c>
      <c r="O15" s="1">
        <f t="shared" si="8"/>
        <v>0.93602912425529006</v>
      </c>
      <c r="P15" s="1">
        <f t="shared" si="8"/>
        <v>0.9238144984222858</v>
      </c>
      <c r="Q15" s="1">
        <f t="shared" si="8"/>
        <v>0.91108320005877419</v>
      </c>
      <c r="R15" s="1">
        <f t="shared" si="8"/>
        <v>0.89802028412859625</v>
      </c>
      <c r="S15" s="1">
        <f t="shared" si="8"/>
        <v>0.88521664603188588</v>
      </c>
      <c r="T15" s="1">
        <f t="shared" si="8"/>
        <v>0.87244390972944807</v>
      </c>
      <c r="U15" s="1">
        <f t="shared" si="8"/>
        <v>0.85993243049689305</v>
      </c>
      <c r="V15" s="1">
        <f t="shared" si="8"/>
        <v>0.84745777067248473</v>
      </c>
      <c r="X15" s="18">
        <v>5</v>
      </c>
      <c r="Y15" s="2"/>
      <c r="Z15" s="29">
        <v>1080</v>
      </c>
      <c r="AA15" s="29">
        <f t="shared" si="5"/>
        <v>1095</v>
      </c>
      <c r="AB15" s="30">
        <v>2.69E-2</v>
      </c>
      <c r="AD15" s="29">
        <v>3600</v>
      </c>
      <c r="AE15" s="29">
        <f>EDATE($J$4, AD15/30)-$J$4</f>
        <v>3652</v>
      </c>
      <c r="AF15" s="30">
        <v>1E-3</v>
      </c>
    </row>
    <row r="16" spans="1:32">
      <c r="F16" s="3" t="s">
        <v>2</v>
      </c>
      <c r="G16" s="3" t="s">
        <v>296</v>
      </c>
      <c r="H16" s="3" t="s">
        <v>297</v>
      </c>
      <c r="I16" s="129"/>
      <c r="J16" s="76">
        <f>SUM(K16:V16)</f>
        <v>5579706837.448513</v>
      </c>
      <c r="K16" s="77">
        <f t="shared" ref="K16:V16" si="9">K11*K15</f>
        <v>44001626.240761563</v>
      </c>
      <c r="L16" s="77">
        <f t="shared" si="9"/>
        <v>43911704.421811938</v>
      </c>
      <c r="M16" s="77">
        <f t="shared" si="9"/>
        <v>43105651.523066737</v>
      </c>
      <c r="N16" s="77">
        <f t="shared" si="9"/>
        <v>42793710.243034035</v>
      </c>
      <c r="O16" s="77">
        <f t="shared" si="9"/>
        <v>42005909.74055247</v>
      </c>
      <c r="P16" s="77">
        <f t="shared" si="9"/>
        <v>41685547.367164515</v>
      </c>
      <c r="Q16" s="77">
        <f t="shared" si="9"/>
        <v>41446817.70759178</v>
      </c>
      <c r="R16" s="77">
        <f t="shared" si="9"/>
        <v>40300197.956236728</v>
      </c>
      <c r="S16" s="77">
        <f t="shared" si="9"/>
        <v>39725612.77260901</v>
      </c>
      <c r="T16" s="77">
        <f t="shared" si="9"/>
        <v>39152414.359913312</v>
      </c>
      <c r="U16" s="77">
        <f t="shared" si="9"/>
        <v>38590940.305586599</v>
      </c>
      <c r="V16" s="77">
        <f t="shared" si="9"/>
        <v>5122986704.8101845</v>
      </c>
      <c r="X16" s="18">
        <v>6</v>
      </c>
      <c r="Y16" s="2"/>
      <c r="Z16" s="29">
        <v>1800</v>
      </c>
      <c r="AA16" s="29">
        <f t="shared" si="5"/>
        <v>1826</v>
      </c>
      <c r="AB16" s="30">
        <v>2.7099999999999999E-2</v>
      </c>
      <c r="AD16" s="29"/>
      <c r="AE16" s="29"/>
      <c r="AF16" s="30"/>
    </row>
    <row r="17" spans="2:32">
      <c r="H17" s="3" t="s">
        <v>292</v>
      </c>
      <c r="J17" s="76">
        <f>J16-C7</f>
        <v>43403102.760123253</v>
      </c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X17" s="18">
        <v>7</v>
      </c>
      <c r="Y17" s="2"/>
      <c r="Z17" s="29">
        <v>3600</v>
      </c>
      <c r="AA17" s="29">
        <f t="shared" si="5"/>
        <v>3652</v>
      </c>
      <c r="AB17" s="30">
        <v>2.7799999999999998E-2</v>
      </c>
      <c r="AD17" s="29"/>
      <c r="AE17" s="29"/>
      <c r="AF17" s="30"/>
    </row>
    <row r="18" spans="2:32">
      <c r="F18" s="48" t="s">
        <v>427</v>
      </c>
      <c r="G18" s="3" t="s">
        <v>298</v>
      </c>
      <c r="H18" s="3" t="s">
        <v>299</v>
      </c>
      <c r="J18" s="183">
        <f>K11/K7*J5</f>
        <v>5178082.1917808224</v>
      </c>
      <c r="X18" s="18">
        <v>8</v>
      </c>
      <c r="Y18" s="2"/>
      <c r="Z18" s="29">
        <v>5400</v>
      </c>
      <c r="AA18" s="29">
        <f t="shared" si="5"/>
        <v>5478</v>
      </c>
      <c r="AB18" s="30">
        <v>2.7199999999999998E-2</v>
      </c>
      <c r="AD18" s="29"/>
      <c r="AE18" s="29"/>
      <c r="AF18" s="30"/>
    </row>
    <row r="19" spans="2:32">
      <c r="E19" s="72"/>
      <c r="F19" s="72" t="s">
        <v>300</v>
      </c>
      <c r="G19" s="72" t="s">
        <v>301</v>
      </c>
      <c r="H19" s="72" t="s">
        <v>302</v>
      </c>
      <c r="I19" s="67"/>
      <c r="J19" s="79">
        <f>J16-J18</f>
        <v>5574528755.256732</v>
      </c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X19" s="18">
        <v>9</v>
      </c>
      <c r="Y19" s="2"/>
      <c r="Z19" s="29">
        <v>7200</v>
      </c>
      <c r="AA19" s="29">
        <f t="shared" si="5"/>
        <v>7305</v>
      </c>
      <c r="AB19" s="30">
        <v>2.5399999999999999E-2</v>
      </c>
      <c r="AD19" s="29"/>
      <c r="AE19" s="29"/>
      <c r="AF19" s="30"/>
    </row>
    <row r="20" spans="2:32">
      <c r="B20" s="3"/>
      <c r="E20" s="71" t="s">
        <v>303</v>
      </c>
      <c r="F20" s="71" t="s">
        <v>303</v>
      </c>
      <c r="G20" s="71" t="s">
        <v>304</v>
      </c>
      <c r="H20" s="71" t="s">
        <v>310</v>
      </c>
      <c r="I20" s="66"/>
      <c r="J20" s="86">
        <f>K20</f>
        <v>2.9414976380430245E-2</v>
      </c>
      <c r="K20" s="80">
        <v>2.9414976380430245E-2</v>
      </c>
      <c r="L20" s="81">
        <f>K20</f>
        <v>2.9414976380430245E-2</v>
      </c>
      <c r="M20" s="81">
        <f>L20</f>
        <v>2.9414976380430245E-2</v>
      </c>
      <c r="N20" s="81">
        <f t="shared" ref="N20:V20" si="10">M20</f>
        <v>2.9414976380430245E-2</v>
      </c>
      <c r="O20" s="81">
        <f t="shared" si="10"/>
        <v>2.9414976380430245E-2</v>
      </c>
      <c r="P20" s="81">
        <f t="shared" si="10"/>
        <v>2.9414976380430245E-2</v>
      </c>
      <c r="Q20" s="81">
        <f t="shared" si="10"/>
        <v>2.9414976380430245E-2</v>
      </c>
      <c r="R20" s="81">
        <f t="shared" si="10"/>
        <v>2.9414976380430245E-2</v>
      </c>
      <c r="S20" s="81">
        <f t="shared" si="10"/>
        <v>2.9414976380430245E-2</v>
      </c>
      <c r="T20" s="81">
        <f t="shared" si="10"/>
        <v>2.9414976380430245E-2</v>
      </c>
      <c r="U20" s="81">
        <f t="shared" si="10"/>
        <v>2.9414976380430245E-2</v>
      </c>
      <c r="V20" s="81">
        <f t="shared" si="10"/>
        <v>2.9414976380430245E-2</v>
      </c>
      <c r="X20" s="21">
        <v>10</v>
      </c>
      <c r="Y20" s="2"/>
      <c r="Z20" s="29">
        <v>10800</v>
      </c>
      <c r="AA20" s="29">
        <f t="shared" si="5"/>
        <v>10957</v>
      </c>
      <c r="AB20" s="30">
        <v>2.2200000000000001E-2</v>
      </c>
      <c r="AD20" s="29"/>
      <c r="AE20" s="29"/>
      <c r="AF20" s="30"/>
    </row>
    <row r="21" spans="2:32">
      <c r="B21" s="3"/>
      <c r="F21" s="3" t="s">
        <v>290</v>
      </c>
      <c r="G21" s="3" t="s">
        <v>307</v>
      </c>
      <c r="H21" s="3" t="s">
        <v>306</v>
      </c>
      <c r="J21" s="69"/>
      <c r="K21" s="82">
        <f t="shared" ref="K21:V21" si="11">1/(1+K20/$C14)^(K6*$C14)</f>
        <v>0.98720225955305307</v>
      </c>
      <c r="L21" s="82">
        <f t="shared" si="11"/>
        <v>0.97285452478524859</v>
      </c>
      <c r="M21" s="82">
        <f t="shared" si="11"/>
        <v>0.95879201847411732</v>
      </c>
      <c r="N21" s="82">
        <f t="shared" si="11"/>
        <v>0.94485719058506579</v>
      </c>
      <c r="O21" s="82">
        <f t="shared" si="11"/>
        <v>0.9311993826937438</v>
      </c>
      <c r="P21" s="82">
        <f t="shared" si="11"/>
        <v>0.91766557882574806</v>
      </c>
      <c r="Q21" s="82">
        <f t="shared" si="11"/>
        <v>0.90443265111839555</v>
      </c>
      <c r="R21" s="82">
        <f t="shared" si="11"/>
        <v>0.89111390862752837</v>
      </c>
      <c r="S21" s="82">
        <f t="shared" si="11"/>
        <v>0.87823295402974033</v>
      </c>
      <c r="T21" s="82">
        <f t="shared" si="11"/>
        <v>0.86553819222924122</v>
      </c>
      <c r="U21" s="82">
        <f t="shared" si="11"/>
        <v>0.85302693182940337</v>
      </c>
      <c r="V21" s="82">
        <f t="shared" si="11"/>
        <v>0.84062926554648421</v>
      </c>
    </row>
    <row r="22" spans="2:32">
      <c r="B22" s="3"/>
      <c r="G22" s="3" t="s">
        <v>308</v>
      </c>
      <c r="H22" s="3" t="s">
        <v>309</v>
      </c>
      <c r="J22" s="78">
        <f>SUM(K22:V22)</f>
        <v>5536194962.3460093</v>
      </c>
      <c r="K22" s="1">
        <f t="shared" ref="K22:V22" si="12">K21*K11</f>
        <v>44058972.077038996</v>
      </c>
      <c r="L22" s="1">
        <f t="shared" si="12"/>
        <v>43898394.58414533</v>
      </c>
      <c r="M22" s="1">
        <f t="shared" si="12"/>
        <v>43027433.596180931</v>
      </c>
      <c r="N22" s="1">
        <f t="shared" si="12"/>
        <v>42635062.819002837</v>
      </c>
      <c r="O22" s="1">
        <f t="shared" si="12"/>
        <v>41789166.817872666</v>
      </c>
      <c r="P22" s="1">
        <f t="shared" si="12"/>
        <v>41408087.899342664</v>
      </c>
      <c r="Q22" s="1">
        <f t="shared" si="12"/>
        <v>41144272.243500784</v>
      </c>
      <c r="R22" s="1">
        <f t="shared" si="12"/>
        <v>39990262.529640861</v>
      </c>
      <c r="S22" s="1">
        <f t="shared" si="12"/>
        <v>39412207.635636017</v>
      </c>
      <c r="T22" s="1">
        <f t="shared" si="12"/>
        <v>38842508.462232798</v>
      </c>
      <c r="U22" s="1">
        <f t="shared" si="12"/>
        <v>38281044.228398979</v>
      </c>
      <c r="V22" s="1">
        <f t="shared" si="12"/>
        <v>5081707549.4530163</v>
      </c>
    </row>
    <row r="23" spans="2:32">
      <c r="B23" s="3"/>
      <c r="E23" s="72"/>
      <c r="F23" s="72"/>
      <c r="G23" s="72"/>
      <c r="H23" s="72" t="s">
        <v>292</v>
      </c>
      <c r="I23" s="67"/>
      <c r="J23" s="70">
        <f>J16-J22</f>
        <v>43511875.102503777</v>
      </c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</row>
    <row r="24" spans="2:32">
      <c r="B24" s="71" t="s">
        <v>270</v>
      </c>
      <c r="C24" s="66" t="s">
        <v>424</v>
      </c>
      <c r="E24" s="71" t="s">
        <v>311</v>
      </c>
      <c r="F24" s="71" t="s">
        <v>2</v>
      </c>
      <c r="G24" s="71" t="s">
        <v>312</v>
      </c>
      <c r="H24" s="71" t="s">
        <v>313</v>
      </c>
      <c r="I24" s="66"/>
      <c r="J24" s="83">
        <f>SUM(K24:V24)</f>
        <v>31516419997.567062</v>
      </c>
      <c r="K24" s="84">
        <f t="shared" ref="K24:V24" si="13">K6*K11*K21</f>
        <v>19434231.518913094</v>
      </c>
      <c r="L24" s="84">
        <f t="shared" si="13"/>
        <v>41372733.525879435</v>
      </c>
      <c r="M24" s="84">
        <f t="shared" si="13"/>
        <v>62006657.730386771</v>
      </c>
      <c r="N24" s="84">
        <f t="shared" si="13"/>
        <v>82817149.421021938</v>
      </c>
      <c r="O24" s="84">
        <f t="shared" si="13"/>
        <v>102011363.38280697</v>
      </c>
      <c r="P24" s="84">
        <f t="shared" si="13"/>
        <v>121841880.55861376</v>
      </c>
      <c r="Q24" s="84">
        <f t="shared" si="13"/>
        <v>141531799.87586746</v>
      </c>
      <c r="R24" s="84">
        <f t="shared" si="13"/>
        <v>157879365.21976021</v>
      </c>
      <c r="S24" s="84">
        <f t="shared" si="13"/>
        <v>175249350.66475961</v>
      </c>
      <c r="T24" s="84">
        <f t="shared" si="13"/>
        <v>192084185.68309641</v>
      </c>
      <c r="U24" s="84">
        <f t="shared" si="13"/>
        <v>208395712.00501031</v>
      </c>
      <c r="V24" s="84">
        <f t="shared" si="13"/>
        <v>30211795567.980946</v>
      </c>
    </row>
    <row r="25" spans="2:32">
      <c r="B25" s="3" t="s">
        <v>279</v>
      </c>
      <c r="C25" s="1" t="s">
        <v>272</v>
      </c>
      <c r="F25" s="3" t="s">
        <v>314</v>
      </c>
      <c r="G25" s="3" t="s">
        <v>315</v>
      </c>
      <c r="H25" s="3" t="s">
        <v>316</v>
      </c>
      <c r="J25" s="161">
        <f>J24/J22</f>
        <v>5.6927944575513489</v>
      </c>
    </row>
    <row r="26" spans="2:32">
      <c r="B26" s="3" t="s">
        <v>283</v>
      </c>
      <c r="C26" s="1" t="s">
        <v>425</v>
      </c>
      <c r="F26" s="87" t="s">
        <v>290</v>
      </c>
      <c r="G26" s="87" t="s">
        <v>317</v>
      </c>
      <c r="H26" s="87" t="s">
        <v>318</v>
      </c>
      <c r="I26" s="88"/>
      <c r="J26" s="89"/>
      <c r="K26" s="85">
        <f t="shared" ref="K26:V26" si="14">(1+K20/$C14)^(-K6*$C14-1)</f>
        <v>0.97289344076269801</v>
      </c>
      <c r="L26" s="85">
        <f t="shared" si="14"/>
        <v>0.95875366655703553</v>
      </c>
      <c r="M26" s="85">
        <f t="shared" si="14"/>
        <v>0.94489498661744786</v>
      </c>
      <c r="N26" s="85">
        <f t="shared" si="14"/>
        <v>0.93116213448889473</v>
      </c>
      <c r="O26" s="85">
        <f t="shared" si="14"/>
        <v>0.91770228714344815</v>
      </c>
      <c r="P26" s="85">
        <f t="shared" si="14"/>
        <v>0.90436464646816939</v>
      </c>
      <c r="Q26" s="85">
        <f t="shared" si="14"/>
        <v>0.89132352096021217</v>
      </c>
      <c r="R26" s="85">
        <f t="shared" si="14"/>
        <v>0.87819782449509398</v>
      </c>
      <c r="S26" s="85">
        <f t="shared" si="14"/>
        <v>0.86550357048819626</v>
      </c>
      <c r="T26" s="85">
        <f t="shared" si="14"/>
        <v>0.85299281054185838</v>
      </c>
      <c r="U26" s="85">
        <f t="shared" si="14"/>
        <v>0.84066289226939894</v>
      </c>
      <c r="V26" s="85">
        <f t="shared" si="14"/>
        <v>0.82844492164514449</v>
      </c>
    </row>
    <row r="27" spans="2:32">
      <c r="B27" s="3" t="s">
        <v>290</v>
      </c>
      <c r="C27" s="1" t="s">
        <v>426</v>
      </c>
      <c r="F27" s="87" t="s">
        <v>329</v>
      </c>
      <c r="G27" s="87" t="s">
        <v>319</v>
      </c>
      <c r="H27" s="87" t="s">
        <v>320</v>
      </c>
      <c r="I27" s="88"/>
      <c r="J27" s="90">
        <f>SUM(K27:V27)</f>
        <v>31059611133.626575</v>
      </c>
      <c r="K27" s="77">
        <f t="shared" ref="K27:V27" si="15">K6*K11*K26</f>
        <v>19152545.679519016</v>
      </c>
      <c r="L27" s="77">
        <f t="shared" si="15"/>
        <v>40773064.166176505</v>
      </c>
      <c r="M27" s="77">
        <f t="shared" si="15"/>
        <v>61107913.809701905</v>
      </c>
      <c r="N27" s="77">
        <f t="shared" si="15"/>
        <v>81616771.714901522</v>
      </c>
      <c r="O27" s="77">
        <f t="shared" si="15"/>
        <v>100532778.72695084</v>
      </c>
      <c r="P27" s="77">
        <f t="shared" si="15"/>
        <v>120075866.17491633</v>
      </c>
      <c r="Q27" s="77">
        <f t="shared" si="15"/>
        <v>139480393.63373274</v>
      </c>
      <c r="R27" s="77">
        <f t="shared" si="15"/>
        <v>155591012.24466813</v>
      </c>
      <c r="S27" s="77">
        <f t="shared" si="15"/>
        <v>172709231.67949238</v>
      </c>
      <c r="T27" s="77">
        <f t="shared" si="15"/>
        <v>189300057.32557347</v>
      </c>
      <c r="U27" s="77">
        <f t="shared" si="15"/>
        <v>205375159.27540374</v>
      </c>
      <c r="V27" s="77">
        <f t="shared" si="15"/>
        <v>29773896339.195538</v>
      </c>
    </row>
    <row r="28" spans="2:32">
      <c r="B28" s="67" t="s">
        <v>427</v>
      </c>
      <c r="C28" s="67" t="s">
        <v>430</v>
      </c>
      <c r="E28" s="72"/>
      <c r="F28" s="91" t="s">
        <v>321</v>
      </c>
      <c r="G28" s="91" t="s">
        <v>322</v>
      </c>
      <c r="H28" s="91" t="s">
        <v>323</v>
      </c>
      <c r="I28" s="92"/>
      <c r="J28" s="163">
        <f>J27/J16</f>
        <v>5.5665310093297853</v>
      </c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2:32">
      <c r="E29" s="71" t="s">
        <v>324</v>
      </c>
      <c r="F29" s="71" t="s">
        <v>2</v>
      </c>
      <c r="G29" s="71" t="s">
        <v>325</v>
      </c>
      <c r="H29" s="71" t="s">
        <v>326</v>
      </c>
      <c r="I29" s="66"/>
      <c r="J29" s="83">
        <f>SUM(K29:V29)</f>
        <v>200252649609.65598</v>
      </c>
      <c r="K29" s="84">
        <f t="shared" ref="K29:V29" si="16">K6*K11*K21*(K6+1/$C$14)</f>
        <v>18289475.415744241</v>
      </c>
      <c r="L29" s="84">
        <f t="shared" si="16"/>
        <v>59678751.236645274</v>
      </c>
      <c r="M29" s="84">
        <f t="shared" si="16"/>
        <v>120360868.49857268</v>
      </c>
      <c r="N29" s="84">
        <f t="shared" si="16"/>
        <v>202278051.25709876</v>
      </c>
      <c r="O29" s="84">
        <f t="shared" si="16"/>
        <v>300025201.62039256</v>
      </c>
      <c r="P29" s="84">
        <f t="shared" si="16"/>
        <v>419436501.15588546</v>
      </c>
      <c r="Q29" s="84">
        <f t="shared" si="16"/>
        <v>557619823.55464721</v>
      </c>
      <c r="R29" s="84">
        <f t="shared" si="16"/>
        <v>702238765.57337177</v>
      </c>
      <c r="S29" s="84">
        <f t="shared" si="16"/>
        <v>866884116.78143418</v>
      </c>
      <c r="T29" s="84">
        <f t="shared" si="16"/>
        <v>1045937860.3976824</v>
      </c>
      <c r="U29" s="84">
        <f t="shared" si="16"/>
        <v>1238669855.3284106</v>
      </c>
      <c r="V29" s="84">
        <f t="shared" si="16"/>
        <v>194721230338.83609</v>
      </c>
    </row>
    <row r="30" spans="2:32">
      <c r="F30" s="3" t="s">
        <v>327</v>
      </c>
      <c r="G30" s="3" t="s">
        <v>328</v>
      </c>
      <c r="H30" s="3" t="s">
        <v>332</v>
      </c>
      <c r="J30" s="162">
        <f>J29/((1+J20/$C$14)^2*J16)</f>
        <v>34.856610949644214</v>
      </c>
    </row>
    <row r="31" spans="2:32">
      <c r="E31" s="72"/>
      <c r="F31" s="91" t="s">
        <v>329</v>
      </c>
      <c r="G31" s="91" t="s">
        <v>330</v>
      </c>
      <c r="H31" s="91" t="s">
        <v>331</v>
      </c>
      <c r="I31" s="92"/>
      <c r="J31" s="93">
        <f>J30*J22</f>
        <v>192972993943.87503</v>
      </c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</row>
    <row r="32" spans="2:32">
      <c r="E32" s="71" t="s">
        <v>333</v>
      </c>
      <c r="F32" s="71" t="s">
        <v>283</v>
      </c>
      <c r="G32" s="71" t="s">
        <v>334</v>
      </c>
      <c r="H32" s="71" t="s">
        <v>335</v>
      </c>
      <c r="I32" s="66"/>
      <c r="J32" s="68"/>
      <c r="K32" s="66">
        <f t="shared" ref="K32:V32" si="17">K14+0.0001</f>
        <v>3.2253450234643335E-2</v>
      </c>
      <c r="L32" s="66">
        <f t="shared" si="17"/>
        <v>2.8979107186387239E-2</v>
      </c>
      <c r="M32" s="66">
        <f t="shared" si="17"/>
        <v>2.8040465137548643E-2</v>
      </c>
      <c r="N32" s="66">
        <f t="shared" si="17"/>
        <v>2.7388684315630834E-2</v>
      </c>
      <c r="O32" s="66">
        <f t="shared" si="17"/>
        <v>2.7181561027959603E-2</v>
      </c>
      <c r="P32" s="66">
        <f t="shared" si="17"/>
        <v>2.7031150069055494E-2</v>
      </c>
      <c r="Q32" s="66">
        <f t="shared" si="17"/>
        <v>2.717093493872174E-2</v>
      </c>
      <c r="R32" s="66">
        <f t="shared" si="17"/>
        <v>2.7345216744467295E-2</v>
      </c>
      <c r="S32" s="66">
        <f t="shared" si="17"/>
        <v>2.7519498550212851E-2</v>
      </c>
      <c r="T32" s="66">
        <f t="shared" si="17"/>
        <v>2.7693780355958403E-2</v>
      </c>
      <c r="U32" s="66">
        <f t="shared" si="17"/>
        <v>2.7819694833418049E-2</v>
      </c>
      <c r="V32" s="66">
        <f t="shared" si="17"/>
        <v>2.7939957703078507E-2</v>
      </c>
    </row>
    <row r="33" spans="2:38">
      <c r="F33" s="3" t="s">
        <v>290</v>
      </c>
      <c r="G33" s="3" t="s">
        <v>336</v>
      </c>
      <c r="H33" s="3" t="s">
        <v>337</v>
      </c>
      <c r="J33" s="69"/>
      <c r="K33" s="1">
        <f t="shared" ref="K33:V33" si="18">1/EXP(K6*K32)</f>
        <v>0.98587385925840754</v>
      </c>
      <c r="L33" s="1">
        <f t="shared" si="18"/>
        <v>0.97305777914448621</v>
      </c>
      <c r="M33" s="1">
        <f t="shared" si="18"/>
        <v>0.96039655751009523</v>
      </c>
      <c r="N33" s="1">
        <f t="shared" si="18"/>
        <v>0.94818885606019188</v>
      </c>
      <c r="O33" s="1">
        <f t="shared" si="18"/>
        <v>0.93580065845691829</v>
      </c>
      <c r="P33" s="1">
        <f t="shared" si="18"/>
        <v>0.92354270915836434</v>
      </c>
      <c r="Q33" s="1">
        <f t="shared" si="18"/>
        <v>0.91076985129251264</v>
      </c>
      <c r="R33" s="1">
        <f t="shared" si="18"/>
        <v>0.89766582061581168</v>
      </c>
      <c r="S33" s="1">
        <f t="shared" si="18"/>
        <v>0.88482311528047819</v>
      </c>
      <c r="T33" s="1">
        <f t="shared" si="18"/>
        <v>0.87201257494990325</v>
      </c>
      <c r="U33" s="1">
        <f t="shared" si="18"/>
        <v>0.85946442481646346</v>
      </c>
      <c r="V33" s="1">
        <f t="shared" si="18"/>
        <v>0.84695408935358663</v>
      </c>
    </row>
    <row r="34" spans="2:38">
      <c r="F34" s="3" t="s">
        <v>2</v>
      </c>
      <c r="G34" s="3" t="s">
        <v>338</v>
      </c>
      <c r="H34" s="3" t="s">
        <v>339</v>
      </c>
      <c r="J34" s="165">
        <f>SUM(K34:V34)</f>
        <v>5576530720.7939568</v>
      </c>
      <c r="K34" s="85">
        <f t="shared" ref="K34:V34" si="19">K11*K33</f>
        <v>43999685.389916323</v>
      </c>
      <c r="L34" s="1">
        <f t="shared" si="19"/>
        <v>43907566.089067638</v>
      </c>
      <c r="M34" s="1">
        <f t="shared" si="19"/>
        <v>43099440.032918788</v>
      </c>
      <c r="N34" s="1">
        <f t="shared" si="19"/>
        <v>42785398.518661261</v>
      </c>
      <c r="O34" s="1">
        <f t="shared" si="19"/>
        <v>41995656.946641974</v>
      </c>
      <c r="P34" s="1">
        <f t="shared" si="19"/>
        <v>41673283.342022635</v>
      </c>
      <c r="Q34" s="1">
        <f t="shared" si="19"/>
        <v>41432562.907159388</v>
      </c>
      <c r="R34" s="1">
        <f t="shared" si="19"/>
        <v>40284290.79914245</v>
      </c>
      <c r="S34" s="1">
        <f t="shared" si="19"/>
        <v>39707952.406285569</v>
      </c>
      <c r="T34" s="1">
        <f t="shared" si="19"/>
        <v>39133057.473094285</v>
      </c>
      <c r="U34" s="1">
        <f t="shared" si="19"/>
        <v>38569937.749297731</v>
      </c>
      <c r="V34" s="1">
        <f t="shared" si="19"/>
        <v>5119941889.1397486</v>
      </c>
    </row>
    <row r="35" spans="2:38">
      <c r="E35" s="72"/>
      <c r="F35" s="72" t="s">
        <v>333</v>
      </c>
      <c r="G35" s="72" t="s">
        <v>340</v>
      </c>
      <c r="H35" s="72" t="s">
        <v>341</v>
      </c>
      <c r="I35" s="67"/>
      <c r="J35" s="166">
        <f>J34-J16</f>
        <v>-3176116.6545562744</v>
      </c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</row>
    <row r="37" spans="2:38">
      <c r="B37" s="94"/>
      <c r="C37" s="94"/>
      <c r="D37" s="94"/>
      <c r="E37" s="61" t="s">
        <v>286</v>
      </c>
      <c r="F37" s="61"/>
      <c r="G37" s="125" t="s">
        <v>373</v>
      </c>
      <c r="H37" s="125" t="s">
        <v>248</v>
      </c>
      <c r="I37" s="125" t="s">
        <v>342</v>
      </c>
      <c r="J37" s="125" t="s">
        <v>344</v>
      </c>
    </row>
    <row r="38" spans="2:38">
      <c r="E38" s="1"/>
      <c r="F38" s="3" t="s">
        <v>345</v>
      </c>
      <c r="G38" s="126"/>
      <c r="H38" s="98">
        <f>I38-J38</f>
        <v>0</v>
      </c>
      <c r="I38" s="152">
        <f>J13</f>
        <v>1.38897950828915E-5</v>
      </c>
      <c r="J38" s="99">
        <f>K13</f>
        <v>1.38897950828915E-5</v>
      </c>
    </row>
    <row r="39" spans="2:38">
      <c r="F39" s="3" t="s">
        <v>2</v>
      </c>
      <c r="G39" s="126">
        <f>H39/I39</f>
        <v>-7.8397257158655757E-3</v>
      </c>
      <c r="H39" s="96">
        <f>I39-J39</f>
        <v>-43403102.759682655</v>
      </c>
      <c r="I39" s="153">
        <f>Result!F7</f>
        <v>5536303734.6888304</v>
      </c>
      <c r="J39" s="100">
        <f>J16</f>
        <v>5579706837.448513</v>
      </c>
    </row>
    <row r="40" spans="2:38">
      <c r="F40" s="3" t="s">
        <v>343</v>
      </c>
      <c r="G40" s="126" t="e">
        <f>H40/I40</f>
        <v>#DIV/0!</v>
      </c>
      <c r="H40" s="97">
        <f>I40-J40</f>
        <v>-5.6927944575513489</v>
      </c>
      <c r="I40" s="160">
        <f>Result!F11</f>
        <v>0</v>
      </c>
      <c r="J40" s="101">
        <f>J25</f>
        <v>5.6927944575513489</v>
      </c>
    </row>
    <row r="41" spans="2:38">
      <c r="F41" s="3" t="s">
        <v>324</v>
      </c>
      <c r="G41" s="126" t="e">
        <f>H41/I41</f>
        <v>#DIV/0!</v>
      </c>
      <c r="H41" s="97">
        <f>I41-J41</f>
        <v>-34.856610949644214</v>
      </c>
      <c r="I41" s="160">
        <f>Result!F12</f>
        <v>0</v>
      </c>
      <c r="J41" s="101">
        <f>J30</f>
        <v>34.856610949644214</v>
      </c>
    </row>
    <row r="42" spans="2:38">
      <c r="F42" s="3" t="s">
        <v>333</v>
      </c>
      <c r="G42" s="126" t="e">
        <f>H42/I42</f>
        <v>#DIV/0!</v>
      </c>
      <c r="H42" s="96">
        <f>I42-J42</f>
        <v>3176116.6545562744</v>
      </c>
      <c r="I42" s="153">
        <f>Result!F13</f>
        <v>0</v>
      </c>
      <c r="J42" s="100">
        <f>J35</f>
        <v>-3176116.6545562744</v>
      </c>
    </row>
    <row r="43" spans="2:38">
      <c r="G43" s="126"/>
      <c r="I43" s="154"/>
      <c r="J43" s="127"/>
      <c r="K43" s="13" t="s">
        <v>392</v>
      </c>
      <c r="L43" s="13" t="s">
        <v>393</v>
      </c>
      <c r="M43" s="13" t="s">
        <v>394</v>
      </c>
      <c r="X43" s="3" t="s">
        <v>379</v>
      </c>
    </row>
    <row r="44" spans="2:38">
      <c r="C44" s="3"/>
      <c r="F44" s="61" t="s">
        <v>377</v>
      </c>
      <c r="G44" s="142" t="e">
        <f>H44/I44</f>
        <v>#N/A</v>
      </c>
      <c r="H44" s="143" t="e">
        <f>I44-J44</f>
        <v>#N/A</v>
      </c>
      <c r="I44" s="155" t="e">
        <f>IF(K44="GIRR",VLOOKUP(M44,Result!M7:N18,2,FALSE),VLOOKUP(M44,Result!J7:K11,2,FALSE))</f>
        <v>#N/A</v>
      </c>
      <c r="J44" s="147">
        <f>(J48-J16)*10000</f>
        <v>-24131802.768707275</v>
      </c>
      <c r="K44" s="130" t="s">
        <v>376</v>
      </c>
      <c r="L44" s="130">
        <v>180</v>
      </c>
      <c r="M44" s="131">
        <f>L44/360</f>
        <v>0.5</v>
      </c>
      <c r="N44" s="129" t="s">
        <v>378</v>
      </c>
      <c r="Z44" s="3" t="s">
        <v>387</v>
      </c>
      <c r="AD44" s="3" t="s">
        <v>388</v>
      </c>
      <c r="AH44" s="3" t="s">
        <v>390</v>
      </c>
      <c r="AJ44" s="3"/>
      <c r="AK44" s="3" t="s">
        <v>391</v>
      </c>
    </row>
    <row r="45" spans="2:38">
      <c r="F45" s="71" t="s">
        <v>283</v>
      </c>
      <c r="G45" s="71" t="s">
        <v>284</v>
      </c>
      <c r="H45" s="71" t="s">
        <v>285</v>
      </c>
      <c r="I45" s="156"/>
      <c r="J45" s="71"/>
      <c r="K45" s="1" cm="1">
        <f t="array" ref="K45">lin_int(K5,$AA$46:$AB$55)+lin_int(K5,$AE$46:$AF$50)</f>
        <v>3.2239560439560444E-2</v>
      </c>
      <c r="L45" s="1" cm="1">
        <f t="array" ref="L45">lin_int(L5,$AA$46:$AB$55)+lin_int(L5,$AE$46:$AF$50)</f>
        <v>2.887663043478261E-2</v>
      </c>
      <c r="M45" s="1" cm="1">
        <f t="array" ref="M45">lin_int(M5,$AA$46:$AB$55)+lin_int(M5,$AE$46:$AF$50)</f>
        <v>2.7926575342465752E-2</v>
      </c>
      <c r="N45" s="66" cm="1">
        <f t="array" ref="N45">lin_int(N5,$AA$46:$AB$55)+lin_int(N5,$AE$46:$AF$50)</f>
        <v>2.7274794520547943E-2</v>
      </c>
      <c r="O45" s="66" cm="1">
        <f t="array" ref="O45">lin_int(O5,$AA$46:$AB$55)+lin_int(O5,$AE$46:$AF$50)</f>
        <v>2.7067671232876712E-2</v>
      </c>
      <c r="P45" s="66" cm="1">
        <f t="array" ref="P45">lin_int(P5,$AA$46:$AB$55)+lin_int(P5,$AE$46:$AF$50)</f>
        <v>2.6917260273972603E-2</v>
      </c>
      <c r="Q45" s="66" cm="1">
        <f t="array" ref="Q45">lin_int(Q5,$AA$46:$AB$55)+lin_int(Q5,$AE$46:$AF$50)</f>
        <v>2.7057045143638849E-2</v>
      </c>
      <c r="R45" s="66" cm="1">
        <f t="array" ref="R45">lin_int(R5,$AA$46:$AB$55)+lin_int(R5,$AE$46:$AF$50)</f>
        <v>2.7231326949384405E-2</v>
      </c>
      <c r="S45" s="66" cm="1">
        <f t="array" ref="S45">lin_int(S5,$AA$46:$AB$55)+lin_int(S5,$AE$46:$AF$50)</f>
        <v>2.740560875512996E-2</v>
      </c>
      <c r="T45" s="66" cm="1">
        <f t="array" ref="T45">lin_int(T5,$AA$46:$AB$55)+lin_int(T5,$AE$46:$AF$50)</f>
        <v>2.7579890560875512E-2</v>
      </c>
      <c r="U45" s="66" cm="1">
        <f t="array" ref="U45">lin_int(U5,$AA$46:$AB$55)+lin_int(U5,$AE$46:$AF$50)</f>
        <v>2.7705805038335158E-2</v>
      </c>
      <c r="V45" s="66" cm="1">
        <f t="array" ref="V45">lin_int(V5,$AA$46:$AB$55)+lin_int(V5,$AE$46:$AF$50)</f>
        <v>2.7826067907995616E-2</v>
      </c>
      <c r="X45" s="15" t="s">
        <v>10</v>
      </c>
      <c r="Y45" s="12"/>
      <c r="Z45" s="13" t="s">
        <v>11</v>
      </c>
      <c r="AA45" s="13" t="s">
        <v>374</v>
      </c>
      <c r="AB45" s="13" t="s">
        <v>12</v>
      </c>
      <c r="AD45" s="13" t="s">
        <v>11</v>
      </c>
      <c r="AE45" s="13" t="s">
        <v>374</v>
      </c>
      <c r="AF45" s="13" t="s">
        <v>12</v>
      </c>
      <c r="AH45" s="14" t="s">
        <v>374</v>
      </c>
      <c r="AI45" s="14" t="s">
        <v>2</v>
      </c>
      <c r="AJ45" s="2"/>
      <c r="AK45" s="14" t="s">
        <v>374</v>
      </c>
      <c r="AL45" s="14" t="s">
        <v>2</v>
      </c>
    </row>
    <row r="46" spans="2:38">
      <c r="F46" s="3" t="s">
        <v>283</v>
      </c>
      <c r="G46" s="3" t="s">
        <v>293</v>
      </c>
      <c r="H46" s="3" t="s">
        <v>294</v>
      </c>
      <c r="I46" s="154"/>
      <c r="K46" s="1">
        <f t="shared" ref="K46:V46" si="20">K45+K13</f>
        <v>3.2253450234643335E-2</v>
      </c>
      <c r="L46" s="1">
        <f t="shared" si="20"/>
        <v>2.8890520229865501E-2</v>
      </c>
      <c r="M46" s="1">
        <f t="shared" si="20"/>
        <v>2.7940465137548644E-2</v>
      </c>
      <c r="N46" s="1">
        <f t="shared" si="20"/>
        <v>2.7288684315630835E-2</v>
      </c>
      <c r="O46" s="1">
        <f t="shared" si="20"/>
        <v>2.7081561027959604E-2</v>
      </c>
      <c r="P46" s="1">
        <f t="shared" si="20"/>
        <v>2.6931150069055495E-2</v>
      </c>
      <c r="Q46" s="1">
        <f t="shared" si="20"/>
        <v>2.7070934938721741E-2</v>
      </c>
      <c r="R46" s="1">
        <f t="shared" si="20"/>
        <v>2.7245216744467296E-2</v>
      </c>
      <c r="S46" s="1">
        <f t="shared" si="20"/>
        <v>2.7419498550212851E-2</v>
      </c>
      <c r="T46" s="1">
        <f t="shared" si="20"/>
        <v>2.7593780355958403E-2</v>
      </c>
      <c r="U46" s="1">
        <f t="shared" si="20"/>
        <v>2.7719694833418049E-2</v>
      </c>
      <c r="V46" s="1">
        <f t="shared" si="20"/>
        <v>2.7839957703078507E-2</v>
      </c>
      <c r="X46" s="18">
        <v>1</v>
      </c>
      <c r="Y46" s="2"/>
      <c r="Z46" s="29">
        <f t="shared" ref="Z46:AA55" si="21">Z11</f>
        <v>90</v>
      </c>
      <c r="AA46" s="29">
        <f t="shared" si="21"/>
        <v>90</v>
      </c>
      <c r="AB46" s="30">
        <f>AB11+IF(AND($K$44="GIRR",$L$44=Z46), 0.0001, 0)</f>
        <v>3.3700000000000001E-2</v>
      </c>
      <c r="AD46" s="29">
        <f t="shared" ref="AD46:AE50" si="22">AD11</f>
        <v>180</v>
      </c>
      <c r="AE46" s="29">
        <f t="shared" si="22"/>
        <v>181</v>
      </c>
      <c r="AF46" s="30">
        <f>AF11+IF(AND($K$44="CSR",$L$44=AD46), 0.0001, 0)</f>
        <v>1E-4</v>
      </c>
      <c r="AH46" s="29">
        <f>AA46</f>
        <v>90</v>
      </c>
      <c r="AI46" s="30">
        <f t="shared" ref="AI46:AI55" si="23">AB11+IF($K$51="GIRR",$L$51,0)*$M$51</f>
        <v>3.3700000000000001E-2</v>
      </c>
      <c r="AK46" s="29">
        <f>AE46</f>
        <v>181</v>
      </c>
      <c r="AL46" s="30">
        <f>AF11+IF($K$51="CSR",$L$51,0)*$M$51</f>
        <v>-0.05</v>
      </c>
    </row>
    <row r="47" spans="2:38">
      <c r="F47" s="3" t="s">
        <v>290</v>
      </c>
      <c r="G47" s="3" t="s">
        <v>295</v>
      </c>
      <c r="H47" s="3" t="s">
        <v>382</v>
      </c>
      <c r="I47" s="154"/>
      <c r="J47" s="135" t="str">
        <f>J15</f>
        <v>CONT</v>
      </c>
      <c r="K47" s="1">
        <f>IF($J15="CONT",1/EXP(K46*K6), 1/(1+K46*K6))</f>
        <v>0.98587385925840754</v>
      </c>
      <c r="L47" s="1">
        <f t="shared" ref="L47:V47" si="24">IF($J15="CONT",1/EXP(L46*L6), 1/(1+L46*L6))</f>
        <v>0.97313902329803237</v>
      </c>
      <c r="M47" s="1">
        <f t="shared" si="24"/>
        <v>0.96053496983634667</v>
      </c>
      <c r="N47" s="1">
        <f t="shared" si="24"/>
        <v>0.94837305638782166</v>
      </c>
      <c r="O47" s="1">
        <f t="shared" si="24"/>
        <v>0.93602912425529006</v>
      </c>
      <c r="P47" s="1">
        <f t="shared" si="24"/>
        <v>0.9238144984222858</v>
      </c>
      <c r="Q47" s="1">
        <f t="shared" si="24"/>
        <v>0.91108320005877419</v>
      </c>
      <c r="R47" s="1">
        <f t="shared" si="24"/>
        <v>0.89802028412859625</v>
      </c>
      <c r="S47" s="1">
        <f t="shared" si="24"/>
        <v>0.88521664603188588</v>
      </c>
      <c r="T47" s="1">
        <f t="shared" si="24"/>
        <v>0.87244390972944807</v>
      </c>
      <c r="U47" s="1">
        <f t="shared" si="24"/>
        <v>0.85993243049689305</v>
      </c>
      <c r="V47" s="1">
        <f t="shared" si="24"/>
        <v>0.84745777067248473</v>
      </c>
      <c r="X47" s="18">
        <v>2</v>
      </c>
      <c r="Y47" s="2"/>
      <c r="Z47" s="29">
        <f t="shared" si="21"/>
        <v>180</v>
      </c>
      <c r="AA47" s="29">
        <f t="shared" si="21"/>
        <v>181</v>
      </c>
      <c r="AB47" s="30">
        <f t="shared" ref="AB47:AB55" si="25">AB12+IF(AND($K$44="GIRR",$L$44=Z47), 0.0001, 0)</f>
        <v>3.1699999999999999E-2</v>
      </c>
      <c r="AD47" s="29">
        <f t="shared" si="22"/>
        <v>360</v>
      </c>
      <c r="AE47" s="29">
        <f t="shared" si="22"/>
        <v>365</v>
      </c>
      <c r="AF47" s="30">
        <f>AF12+IF(AND($K$44="CSR",$L$44=AD47), 0.0001, 0)</f>
        <v>0</v>
      </c>
      <c r="AH47" s="29">
        <f t="shared" ref="AH47:AH55" si="26">AA47</f>
        <v>181</v>
      </c>
      <c r="AI47" s="30">
        <f t="shared" si="23"/>
        <v>3.1699999999999999E-2</v>
      </c>
      <c r="AK47" s="29">
        <f>AE47</f>
        <v>365</v>
      </c>
      <c r="AL47" s="30">
        <f>AF12+IF($K$51="CSR",$L$51,0)*$M$51</f>
        <v>-0.05</v>
      </c>
    </row>
    <row r="48" spans="2:38">
      <c r="F48" s="72" t="s">
        <v>2</v>
      </c>
      <c r="G48" s="72" t="s">
        <v>296</v>
      </c>
      <c r="H48" s="72" t="s">
        <v>297</v>
      </c>
      <c r="I48" s="157"/>
      <c r="J48" s="128">
        <f>SUM(K48:V48)</f>
        <v>5579704424.2682362</v>
      </c>
      <c r="K48" s="74">
        <f t="shared" ref="K48:V48" si="27">K47*K11</f>
        <v>43999685.389916323</v>
      </c>
      <c r="L48" s="74">
        <f t="shared" si="27"/>
        <v>43911232.092379712</v>
      </c>
      <c r="M48" s="74">
        <f t="shared" si="27"/>
        <v>43105651.523066737</v>
      </c>
      <c r="N48" s="74">
        <f t="shared" si="27"/>
        <v>42793710.243034035</v>
      </c>
      <c r="O48" s="74">
        <f t="shared" si="27"/>
        <v>42005909.74055247</v>
      </c>
      <c r="P48" s="74">
        <f t="shared" si="27"/>
        <v>41685547.367164515</v>
      </c>
      <c r="Q48" s="74">
        <f t="shared" si="27"/>
        <v>41446817.70759178</v>
      </c>
      <c r="R48" s="74">
        <f t="shared" si="27"/>
        <v>40300197.956236728</v>
      </c>
      <c r="S48" s="74">
        <f t="shared" si="27"/>
        <v>39725612.77260901</v>
      </c>
      <c r="T48" s="74">
        <f t="shared" si="27"/>
        <v>39152414.359913312</v>
      </c>
      <c r="U48" s="74">
        <f t="shared" si="27"/>
        <v>38590940.305586599</v>
      </c>
      <c r="V48" s="74">
        <f t="shared" si="27"/>
        <v>5122986704.8101845</v>
      </c>
      <c r="X48" s="18">
        <v>3</v>
      </c>
      <c r="Y48" s="2"/>
      <c r="Z48" s="29">
        <f t="shared" si="21"/>
        <v>360</v>
      </c>
      <c r="AA48" s="29">
        <f t="shared" si="21"/>
        <v>365</v>
      </c>
      <c r="AB48" s="30">
        <f t="shared" si="25"/>
        <v>2.8500000000000001E-2</v>
      </c>
      <c r="AD48" s="29">
        <f t="shared" si="22"/>
        <v>1080</v>
      </c>
      <c r="AE48" s="29">
        <f t="shared" si="22"/>
        <v>1095</v>
      </c>
      <c r="AF48" s="30">
        <f>AF13+IF(AND($K$44="CSR",$L$44=AD48), 0.0001, 0)</f>
        <v>0</v>
      </c>
      <c r="AH48" s="29">
        <f t="shared" si="26"/>
        <v>365</v>
      </c>
      <c r="AI48" s="30">
        <f t="shared" si="23"/>
        <v>2.8500000000000001E-2</v>
      </c>
      <c r="AK48" s="29">
        <f>AE48</f>
        <v>1095</v>
      </c>
      <c r="AL48" s="30">
        <f>AF13+IF($K$51="CSR",$L$51,0)*$M$51</f>
        <v>-0.05</v>
      </c>
    </row>
    <row r="49" spans="6:38">
      <c r="I49" s="158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X49" s="18">
        <v>4</v>
      </c>
      <c r="Y49" s="2"/>
      <c r="Z49" s="29">
        <f t="shared" si="21"/>
        <v>720</v>
      </c>
      <c r="AA49" s="29">
        <f t="shared" si="21"/>
        <v>730</v>
      </c>
      <c r="AB49" s="30">
        <f t="shared" si="25"/>
        <v>2.7199999999999998E-2</v>
      </c>
      <c r="AD49" s="29">
        <f t="shared" si="22"/>
        <v>1800</v>
      </c>
      <c r="AE49" s="29">
        <f t="shared" si="22"/>
        <v>1826</v>
      </c>
      <c r="AF49" s="30">
        <f>AF14+IF(AND($K$44="CSR",$L$44=AD49), 0.0001, 0)</f>
        <v>5.0000000000000001E-4</v>
      </c>
      <c r="AH49" s="29">
        <f t="shared" si="26"/>
        <v>730</v>
      </c>
      <c r="AI49" s="30">
        <f t="shared" si="23"/>
        <v>2.7199999999999998E-2</v>
      </c>
      <c r="AK49" s="29">
        <f>AE49</f>
        <v>1826</v>
      </c>
      <c r="AL49" s="30">
        <f>AF14+IF($K$51="CSR",$L$51,0)*$M$51</f>
        <v>-4.9500000000000002E-2</v>
      </c>
    </row>
    <row r="50" spans="6:38">
      <c r="I50" s="154"/>
      <c r="K50" s="13" t="s">
        <v>392</v>
      </c>
      <c r="L50" s="13" t="s">
        <v>395</v>
      </c>
      <c r="M50" s="13" t="s">
        <v>396</v>
      </c>
      <c r="X50" s="18">
        <v>5</v>
      </c>
      <c r="Y50" s="2"/>
      <c r="Z50" s="29">
        <f t="shared" si="21"/>
        <v>1080</v>
      </c>
      <c r="AA50" s="29">
        <f t="shared" si="21"/>
        <v>1095</v>
      </c>
      <c r="AB50" s="30">
        <f t="shared" si="25"/>
        <v>2.69E-2</v>
      </c>
      <c r="AD50" s="29">
        <f t="shared" si="22"/>
        <v>3600</v>
      </c>
      <c r="AE50" s="29">
        <f t="shared" si="22"/>
        <v>3652</v>
      </c>
      <c r="AF50" s="30">
        <f>AF15+IF(AND($K$44="CSR",$L$44=AD50), 0.0001, 0)</f>
        <v>1E-3</v>
      </c>
      <c r="AH50" s="29">
        <f t="shared" si="26"/>
        <v>1095</v>
      </c>
      <c r="AI50" s="30">
        <f t="shared" si="23"/>
        <v>2.69E-2</v>
      </c>
      <c r="AK50" s="29">
        <f>AE50</f>
        <v>3652</v>
      </c>
      <c r="AL50" s="30">
        <f>AF15+IF($K$51="CSR",$L$51,0)*$M$51</f>
        <v>-4.9000000000000002E-2</v>
      </c>
    </row>
    <row r="51" spans="6:38">
      <c r="F51" s="145" t="s">
        <v>386</v>
      </c>
      <c r="G51" s="142" t="e">
        <f>H51/I51</f>
        <v>#DIV/0!</v>
      </c>
      <c r="H51" s="143">
        <f>I51-J51</f>
        <v>-1845666832.0240135</v>
      </c>
      <c r="I51" s="159">
        <f>IF(K51="GIRR", IF(M51=1, Result!N24, Result!N25), IF(M51=1, Result!K24,Result!K25))</f>
        <v>0</v>
      </c>
      <c r="J51" s="146">
        <f>J55-J16</f>
        <v>1845666832.0240135</v>
      </c>
      <c r="K51" s="130" t="s">
        <v>376</v>
      </c>
      <c r="L51" s="130">
        <f>IF(K51="GIRR", Result!F34, Result!F35)</f>
        <v>0.05</v>
      </c>
      <c r="M51" s="144">
        <v>-1</v>
      </c>
      <c r="N51" s="129" t="s">
        <v>389</v>
      </c>
      <c r="X51" s="18">
        <v>6</v>
      </c>
      <c r="Y51" s="2"/>
      <c r="Z51" s="29">
        <f t="shared" si="21"/>
        <v>1800</v>
      </c>
      <c r="AA51" s="29">
        <f t="shared" si="21"/>
        <v>1826</v>
      </c>
      <c r="AB51" s="30">
        <f t="shared" si="25"/>
        <v>2.7099999999999999E-2</v>
      </c>
      <c r="AD51" s="29"/>
      <c r="AE51" s="29"/>
      <c r="AF51" s="30"/>
      <c r="AH51" s="29">
        <f t="shared" si="26"/>
        <v>1826</v>
      </c>
      <c r="AI51" s="30">
        <f t="shared" si="23"/>
        <v>2.7099999999999999E-2</v>
      </c>
    </row>
    <row r="52" spans="6:38">
      <c r="F52" s="71" t="s">
        <v>283</v>
      </c>
      <c r="G52" s="71" t="s">
        <v>284</v>
      </c>
      <c r="H52" s="71" t="s">
        <v>285</v>
      </c>
      <c r="I52" s="156"/>
      <c r="J52" s="71"/>
      <c r="K52" s="1" cm="1">
        <f t="array" ref="K52">lin_int(K5,$AH$46:$AI$55)+lin_int(K5,$AK$46:$AL$50)</f>
        <v>-1.7860439560439562E-2</v>
      </c>
      <c r="L52" s="1" cm="1">
        <f t="array" ref="L52">lin_int(L5,$AH$46:$AI$55)+lin_int(L5,$AK$46:$AL$50)</f>
        <v>-2.1134782608695654E-2</v>
      </c>
      <c r="M52" s="1" cm="1">
        <f t="array" ref="M52">lin_int(M5,$AH$46:$AI$55)+lin_int(M5,$AK$46:$AL$50)</f>
        <v>-2.207342465753425E-2</v>
      </c>
      <c r="N52" s="66" cm="1">
        <f t="array" ref="N52">lin_int(N5,$AH$46:$AI$55)+lin_int(N5,$AK$46:$AL$50)</f>
        <v>-2.272520547945206E-2</v>
      </c>
      <c r="O52" s="66" cm="1">
        <f t="array" ref="O52">lin_int(O5,$AH$46:$AI$55)+lin_int(O5,$AK$46:$AL$50)</f>
        <v>-2.293232876712329E-2</v>
      </c>
      <c r="P52" s="66" cm="1">
        <f t="array" ref="P52">lin_int(P5,$AH$46:$AI$55)+lin_int(P5,$AK$46:$AL$50)</f>
        <v>-2.3082739726027399E-2</v>
      </c>
      <c r="Q52" s="66" cm="1">
        <f t="array" ref="Q52">lin_int(Q5,$AH$46:$AI$55)+lin_int(Q5,$AK$46:$AL$50)</f>
        <v>-2.2942954856361154E-2</v>
      </c>
      <c r="R52" s="66" cm="1">
        <f t="array" ref="R52">lin_int(R5,$AH$46:$AI$55)+lin_int(R5,$AK$46:$AL$50)</f>
        <v>-2.2768673050615598E-2</v>
      </c>
      <c r="S52" s="66" cm="1">
        <f t="array" ref="S52">lin_int(S5,$AH$46:$AI$55)+lin_int(S5,$AK$46:$AL$50)</f>
        <v>-2.2594391244870046E-2</v>
      </c>
      <c r="T52" s="66" cm="1">
        <f t="array" ref="T52">lin_int(T5,$AH$46:$AI$55)+lin_int(T5,$AK$46:$AL$50)</f>
        <v>-2.2420109439124494E-2</v>
      </c>
      <c r="U52" s="66" cm="1">
        <f t="array" ref="U52">lin_int(U5,$AH$46:$AI$55)+lin_int(U5,$AK$46:$AL$50)</f>
        <v>-2.2294194961664841E-2</v>
      </c>
      <c r="V52" s="66" cm="1">
        <f t="array" ref="V52">lin_int(V5,$AH$46:$AI$55)+lin_int(V5,$AK$46:$AL$50)</f>
        <v>-2.2173932092004384E-2</v>
      </c>
      <c r="X52" s="18">
        <v>7</v>
      </c>
      <c r="Y52" s="2"/>
      <c r="Z52" s="29">
        <f t="shared" si="21"/>
        <v>3600</v>
      </c>
      <c r="AA52" s="29">
        <f t="shared" si="21"/>
        <v>3652</v>
      </c>
      <c r="AB52" s="30">
        <f t="shared" si="25"/>
        <v>2.7799999999999998E-2</v>
      </c>
      <c r="AD52" s="29"/>
      <c r="AE52" s="29"/>
      <c r="AF52" s="30"/>
      <c r="AH52" s="29">
        <f t="shared" si="26"/>
        <v>3652</v>
      </c>
      <c r="AI52" s="30">
        <f t="shared" si="23"/>
        <v>2.7799999999999998E-2</v>
      </c>
    </row>
    <row r="53" spans="6:38">
      <c r="F53" s="3" t="s">
        <v>283</v>
      </c>
      <c r="G53" s="3" t="s">
        <v>293</v>
      </c>
      <c r="H53" s="3" t="s">
        <v>294</v>
      </c>
      <c r="I53" s="154"/>
      <c r="K53" s="1">
        <f t="shared" ref="K53:V53" si="28">K52+K13</f>
        <v>-1.784654976535667E-2</v>
      </c>
      <c r="L53" s="1">
        <f t="shared" si="28"/>
        <v>-2.1120892813612763E-2</v>
      </c>
      <c r="M53" s="1">
        <f t="shared" si="28"/>
        <v>-2.2059534862451359E-2</v>
      </c>
      <c r="N53" s="1">
        <f t="shared" si="28"/>
        <v>-2.2711315684369168E-2</v>
      </c>
      <c r="O53" s="1">
        <f t="shared" si="28"/>
        <v>-2.2918438972040399E-2</v>
      </c>
      <c r="P53" s="1">
        <f t="shared" si="28"/>
        <v>-2.3068849930944508E-2</v>
      </c>
      <c r="Q53" s="1">
        <f t="shared" si="28"/>
        <v>-2.2929065061278262E-2</v>
      </c>
      <c r="R53" s="1">
        <f t="shared" si="28"/>
        <v>-2.2754783255532707E-2</v>
      </c>
      <c r="S53" s="1">
        <f t="shared" si="28"/>
        <v>-2.2580501449787155E-2</v>
      </c>
      <c r="T53" s="1">
        <f t="shared" si="28"/>
        <v>-2.2406219644041603E-2</v>
      </c>
      <c r="U53" s="1">
        <f t="shared" si="28"/>
        <v>-2.228030516658195E-2</v>
      </c>
      <c r="V53" s="1">
        <f t="shared" si="28"/>
        <v>-2.2160042296921492E-2</v>
      </c>
      <c r="X53" s="18">
        <v>8</v>
      </c>
      <c r="Y53" s="2"/>
      <c r="Z53" s="29">
        <f t="shared" si="21"/>
        <v>5400</v>
      </c>
      <c r="AA53" s="29">
        <f t="shared" si="21"/>
        <v>5478</v>
      </c>
      <c r="AB53" s="30">
        <f t="shared" si="25"/>
        <v>2.7199999999999998E-2</v>
      </c>
      <c r="AD53" s="29"/>
      <c r="AE53" s="29"/>
      <c r="AF53" s="30"/>
      <c r="AH53" s="29">
        <f t="shared" si="26"/>
        <v>5478</v>
      </c>
      <c r="AI53" s="30">
        <f t="shared" si="23"/>
        <v>2.7199999999999998E-2</v>
      </c>
    </row>
    <row r="54" spans="6:38">
      <c r="F54" s="3" t="s">
        <v>290</v>
      </c>
      <c r="G54" s="3" t="s">
        <v>295</v>
      </c>
      <c r="H54" s="3" t="s">
        <v>382</v>
      </c>
      <c r="I54" s="154"/>
      <c r="J54" s="135" t="str">
        <f>J15</f>
        <v>CONT</v>
      </c>
      <c r="K54" s="1">
        <f t="shared" ref="K54:V54" si="29">IF($J15="CONT",1/EXP(K53*K6), 1/(1+K53*K6))</f>
        <v>1.0079031057285117</v>
      </c>
      <c r="L54" s="1">
        <f t="shared" si="29"/>
        <v>1.0201051580999778</v>
      </c>
      <c r="M54" s="1">
        <f t="shared" si="29"/>
        <v>1.0323006013616354</v>
      </c>
      <c r="N54" s="1">
        <f t="shared" si="29"/>
        <v>1.0451035306816978</v>
      </c>
      <c r="O54" s="1">
        <f t="shared" si="29"/>
        <v>1.0575406883606604</v>
      </c>
      <c r="P54" s="1">
        <f t="shared" si="29"/>
        <v>1.070236124137927</v>
      </c>
      <c r="Q54" s="1">
        <f t="shared" si="29"/>
        <v>1.0820674079705852</v>
      </c>
      <c r="R54" s="1">
        <f t="shared" si="29"/>
        <v>1.0939933632205741</v>
      </c>
      <c r="S54" s="1">
        <f t="shared" si="29"/>
        <v>1.1056195990740103</v>
      </c>
      <c r="T54" s="1">
        <f t="shared" si="29"/>
        <v>1.1171752040978531</v>
      </c>
      <c r="U54" s="1">
        <f t="shared" si="29"/>
        <v>1.1289526209776013</v>
      </c>
      <c r="V54" s="1">
        <f t="shared" si="29"/>
        <v>1.1408185201378418</v>
      </c>
      <c r="X54" s="18">
        <v>9</v>
      </c>
      <c r="Y54" s="2"/>
      <c r="Z54" s="29">
        <f t="shared" si="21"/>
        <v>7200</v>
      </c>
      <c r="AA54" s="29">
        <f t="shared" si="21"/>
        <v>7305</v>
      </c>
      <c r="AB54" s="30">
        <f t="shared" si="25"/>
        <v>2.5399999999999999E-2</v>
      </c>
      <c r="AD54" s="29"/>
      <c r="AE54" s="29"/>
      <c r="AF54" s="30"/>
      <c r="AH54" s="29">
        <f t="shared" si="26"/>
        <v>7305</v>
      </c>
      <c r="AI54" s="30">
        <f t="shared" si="23"/>
        <v>2.5399999999999999E-2</v>
      </c>
    </row>
    <row r="55" spans="6:38">
      <c r="F55" s="72" t="s">
        <v>2</v>
      </c>
      <c r="G55" s="72" t="s">
        <v>296</v>
      </c>
      <c r="H55" s="72" t="s">
        <v>297</v>
      </c>
      <c r="I55" s="157"/>
      <c r="J55" s="128">
        <f>SUM(K55:V55)</f>
        <v>7425373669.4725266</v>
      </c>
      <c r="K55" s="74">
        <f t="shared" ref="K55:V55" si="30">K54*K11</f>
        <v>44982853.67758207</v>
      </c>
      <c r="L55" s="74">
        <f t="shared" si="30"/>
        <v>46030498.503853798</v>
      </c>
      <c r="M55" s="74">
        <f t="shared" si="30"/>
        <v>46326257.124119416</v>
      </c>
      <c r="N55" s="74">
        <f t="shared" si="30"/>
        <v>47158507.261171408</v>
      </c>
      <c r="O55" s="74">
        <f t="shared" si="30"/>
        <v>47458949.247527719</v>
      </c>
      <c r="P55" s="74">
        <f t="shared" si="30"/>
        <v>48292572.505620986</v>
      </c>
      <c r="Q55" s="74">
        <f t="shared" si="30"/>
        <v>49225197.657678261</v>
      </c>
      <c r="R55" s="74">
        <f t="shared" si="30"/>
        <v>49094825.450830139</v>
      </c>
      <c r="S55" s="74">
        <f t="shared" si="30"/>
        <v>49616572.692691199</v>
      </c>
      <c r="T55" s="74">
        <f t="shared" si="30"/>
        <v>50135150.255131051</v>
      </c>
      <c r="U55" s="74">
        <f t="shared" si="30"/>
        <v>50663682.004419476</v>
      </c>
      <c r="V55" s="74">
        <f t="shared" si="30"/>
        <v>6896388603.0919008</v>
      </c>
      <c r="X55" s="21">
        <v>10</v>
      </c>
      <c r="Y55" s="2"/>
      <c r="Z55" s="29">
        <f t="shared" si="21"/>
        <v>10800</v>
      </c>
      <c r="AA55" s="29">
        <f t="shared" si="21"/>
        <v>10957</v>
      </c>
      <c r="AB55" s="30">
        <f t="shared" si="25"/>
        <v>2.2200000000000001E-2</v>
      </c>
      <c r="AD55" s="29"/>
      <c r="AE55" s="29"/>
      <c r="AF55" s="30"/>
      <c r="AH55" s="29">
        <f t="shared" si="26"/>
        <v>10957</v>
      </c>
      <c r="AI55" s="30">
        <f t="shared" si="23"/>
        <v>2.2200000000000001E-2</v>
      </c>
    </row>
    <row r="60" spans="6:38">
      <c r="K60" s="1">
        <f>_xlfn.DAYS(K4, J4+1)</f>
        <v>160</v>
      </c>
      <c r="L60" s="1">
        <f>K60/365</f>
        <v>0.43835616438356162</v>
      </c>
    </row>
    <row r="61" spans="6:38">
      <c r="K61" s="1">
        <v>22</v>
      </c>
      <c r="L61" s="1">
        <f>K61/366</f>
        <v>6.0109289617486336E-2</v>
      </c>
    </row>
    <row r="62" spans="6:38">
      <c r="L62" s="1">
        <f>SUM(L60,L61)</f>
        <v>0.49846545400104797</v>
      </c>
    </row>
    <row r="63" spans="6:38">
      <c r="K63" s="85">
        <f>C6*C11*L62</f>
        <v>44861890.860094316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/>
  </sheetViews>
  <sheetFormatPr defaultRowHeight="13.2"/>
  <cols>
    <col min="1" max="1" width="6.6640625" style="103" customWidth="1"/>
    <col min="2" max="2" width="3.6640625" style="103" customWidth="1"/>
    <col min="3" max="7" width="8.6640625" style="103"/>
    <col min="8" max="8" width="18.33203125" style="103" bestFit="1" customWidth="1"/>
    <col min="9" max="256" width="8.6640625" style="103"/>
    <col min="257" max="257" width="6.6640625" style="103" customWidth="1"/>
    <col min="258" max="263" width="8.6640625" style="103"/>
    <col min="264" max="264" width="18.33203125" style="103" bestFit="1" customWidth="1"/>
    <col min="265" max="512" width="8.6640625" style="103"/>
    <col min="513" max="513" width="6.6640625" style="103" customWidth="1"/>
    <col min="514" max="519" width="8.6640625" style="103"/>
    <col min="520" max="520" width="18.33203125" style="103" bestFit="1" customWidth="1"/>
    <col min="521" max="768" width="8.6640625" style="103"/>
    <col min="769" max="769" width="6.6640625" style="103" customWidth="1"/>
    <col min="770" max="775" width="8.6640625" style="103"/>
    <col min="776" max="776" width="18.33203125" style="103" bestFit="1" customWidth="1"/>
    <col min="777" max="1024" width="8.6640625" style="103"/>
    <col min="1025" max="1025" width="6.6640625" style="103" customWidth="1"/>
    <col min="1026" max="1031" width="8.6640625" style="103"/>
    <col min="1032" max="1032" width="18.33203125" style="103" bestFit="1" customWidth="1"/>
    <col min="1033" max="1280" width="8.6640625" style="103"/>
    <col min="1281" max="1281" width="6.6640625" style="103" customWidth="1"/>
    <col min="1282" max="1287" width="8.6640625" style="103"/>
    <col min="1288" max="1288" width="18.33203125" style="103" bestFit="1" customWidth="1"/>
    <col min="1289" max="1536" width="8.6640625" style="103"/>
    <col min="1537" max="1537" width="6.6640625" style="103" customWidth="1"/>
    <col min="1538" max="1543" width="8.6640625" style="103"/>
    <col min="1544" max="1544" width="18.33203125" style="103" bestFit="1" customWidth="1"/>
    <col min="1545" max="1792" width="8.6640625" style="103"/>
    <col min="1793" max="1793" width="6.6640625" style="103" customWidth="1"/>
    <col min="1794" max="1799" width="8.6640625" style="103"/>
    <col min="1800" max="1800" width="18.33203125" style="103" bestFit="1" customWidth="1"/>
    <col min="1801" max="2048" width="8.6640625" style="103"/>
    <col min="2049" max="2049" width="6.6640625" style="103" customWidth="1"/>
    <col min="2050" max="2055" width="8.6640625" style="103"/>
    <col min="2056" max="2056" width="18.33203125" style="103" bestFit="1" customWidth="1"/>
    <col min="2057" max="2304" width="8.6640625" style="103"/>
    <col min="2305" max="2305" width="6.6640625" style="103" customWidth="1"/>
    <col min="2306" max="2311" width="8.6640625" style="103"/>
    <col min="2312" max="2312" width="18.33203125" style="103" bestFit="1" customWidth="1"/>
    <col min="2313" max="2560" width="8.6640625" style="103"/>
    <col min="2561" max="2561" width="6.6640625" style="103" customWidth="1"/>
    <col min="2562" max="2567" width="8.6640625" style="103"/>
    <col min="2568" max="2568" width="18.33203125" style="103" bestFit="1" customWidth="1"/>
    <col min="2569" max="2816" width="8.6640625" style="103"/>
    <col min="2817" max="2817" width="6.6640625" style="103" customWidth="1"/>
    <col min="2818" max="2823" width="8.6640625" style="103"/>
    <col min="2824" max="2824" width="18.33203125" style="103" bestFit="1" customWidth="1"/>
    <col min="2825" max="3072" width="8.6640625" style="103"/>
    <col min="3073" max="3073" width="6.6640625" style="103" customWidth="1"/>
    <col min="3074" max="3079" width="8.6640625" style="103"/>
    <col min="3080" max="3080" width="18.33203125" style="103" bestFit="1" customWidth="1"/>
    <col min="3081" max="3328" width="8.6640625" style="103"/>
    <col min="3329" max="3329" width="6.6640625" style="103" customWidth="1"/>
    <col min="3330" max="3335" width="8.6640625" style="103"/>
    <col min="3336" max="3336" width="18.33203125" style="103" bestFit="1" customWidth="1"/>
    <col min="3337" max="3584" width="8.6640625" style="103"/>
    <col min="3585" max="3585" width="6.6640625" style="103" customWidth="1"/>
    <col min="3586" max="3591" width="8.6640625" style="103"/>
    <col min="3592" max="3592" width="18.33203125" style="103" bestFit="1" customWidth="1"/>
    <col min="3593" max="3840" width="8.6640625" style="103"/>
    <col min="3841" max="3841" width="6.6640625" style="103" customWidth="1"/>
    <col min="3842" max="3847" width="8.6640625" style="103"/>
    <col min="3848" max="3848" width="18.33203125" style="103" bestFit="1" customWidth="1"/>
    <col min="3849" max="4096" width="8.6640625" style="103"/>
    <col min="4097" max="4097" width="6.6640625" style="103" customWidth="1"/>
    <col min="4098" max="4103" width="8.6640625" style="103"/>
    <col min="4104" max="4104" width="18.33203125" style="103" bestFit="1" customWidth="1"/>
    <col min="4105" max="4352" width="8.6640625" style="103"/>
    <col min="4353" max="4353" width="6.6640625" style="103" customWidth="1"/>
    <col min="4354" max="4359" width="8.6640625" style="103"/>
    <col min="4360" max="4360" width="18.33203125" style="103" bestFit="1" customWidth="1"/>
    <col min="4361" max="4608" width="8.6640625" style="103"/>
    <col min="4609" max="4609" width="6.6640625" style="103" customWidth="1"/>
    <col min="4610" max="4615" width="8.6640625" style="103"/>
    <col min="4616" max="4616" width="18.33203125" style="103" bestFit="1" customWidth="1"/>
    <col min="4617" max="4864" width="8.6640625" style="103"/>
    <col min="4865" max="4865" width="6.6640625" style="103" customWidth="1"/>
    <col min="4866" max="4871" width="8.6640625" style="103"/>
    <col min="4872" max="4872" width="18.33203125" style="103" bestFit="1" customWidth="1"/>
    <col min="4873" max="5120" width="8.6640625" style="103"/>
    <col min="5121" max="5121" width="6.6640625" style="103" customWidth="1"/>
    <col min="5122" max="5127" width="8.6640625" style="103"/>
    <col min="5128" max="5128" width="18.33203125" style="103" bestFit="1" customWidth="1"/>
    <col min="5129" max="5376" width="8.6640625" style="103"/>
    <col min="5377" max="5377" width="6.6640625" style="103" customWidth="1"/>
    <col min="5378" max="5383" width="8.6640625" style="103"/>
    <col min="5384" max="5384" width="18.33203125" style="103" bestFit="1" customWidth="1"/>
    <col min="5385" max="5632" width="8.6640625" style="103"/>
    <col min="5633" max="5633" width="6.6640625" style="103" customWidth="1"/>
    <col min="5634" max="5639" width="8.6640625" style="103"/>
    <col min="5640" max="5640" width="18.33203125" style="103" bestFit="1" customWidth="1"/>
    <col min="5641" max="5888" width="8.6640625" style="103"/>
    <col min="5889" max="5889" width="6.6640625" style="103" customWidth="1"/>
    <col min="5890" max="5895" width="8.6640625" style="103"/>
    <col min="5896" max="5896" width="18.33203125" style="103" bestFit="1" customWidth="1"/>
    <col min="5897" max="6144" width="8.6640625" style="103"/>
    <col min="6145" max="6145" width="6.6640625" style="103" customWidth="1"/>
    <col min="6146" max="6151" width="8.6640625" style="103"/>
    <col min="6152" max="6152" width="18.33203125" style="103" bestFit="1" customWidth="1"/>
    <col min="6153" max="6400" width="8.6640625" style="103"/>
    <col min="6401" max="6401" width="6.6640625" style="103" customWidth="1"/>
    <col min="6402" max="6407" width="8.6640625" style="103"/>
    <col min="6408" max="6408" width="18.33203125" style="103" bestFit="1" customWidth="1"/>
    <col min="6409" max="6656" width="8.6640625" style="103"/>
    <col min="6657" max="6657" width="6.6640625" style="103" customWidth="1"/>
    <col min="6658" max="6663" width="8.6640625" style="103"/>
    <col min="6664" max="6664" width="18.33203125" style="103" bestFit="1" customWidth="1"/>
    <col min="6665" max="6912" width="8.6640625" style="103"/>
    <col min="6913" max="6913" width="6.6640625" style="103" customWidth="1"/>
    <col min="6914" max="6919" width="8.6640625" style="103"/>
    <col min="6920" max="6920" width="18.33203125" style="103" bestFit="1" customWidth="1"/>
    <col min="6921" max="7168" width="8.6640625" style="103"/>
    <col min="7169" max="7169" width="6.6640625" style="103" customWidth="1"/>
    <col min="7170" max="7175" width="8.6640625" style="103"/>
    <col min="7176" max="7176" width="18.33203125" style="103" bestFit="1" customWidth="1"/>
    <col min="7177" max="7424" width="8.6640625" style="103"/>
    <col min="7425" max="7425" width="6.6640625" style="103" customWidth="1"/>
    <col min="7426" max="7431" width="8.6640625" style="103"/>
    <col min="7432" max="7432" width="18.33203125" style="103" bestFit="1" customWidth="1"/>
    <col min="7433" max="7680" width="8.6640625" style="103"/>
    <col min="7681" max="7681" width="6.6640625" style="103" customWidth="1"/>
    <col min="7682" max="7687" width="8.6640625" style="103"/>
    <col min="7688" max="7688" width="18.33203125" style="103" bestFit="1" customWidth="1"/>
    <col min="7689" max="7936" width="8.6640625" style="103"/>
    <col min="7937" max="7937" width="6.6640625" style="103" customWidth="1"/>
    <col min="7938" max="7943" width="8.6640625" style="103"/>
    <col min="7944" max="7944" width="18.33203125" style="103" bestFit="1" customWidth="1"/>
    <col min="7945" max="8192" width="8.6640625" style="103"/>
    <col min="8193" max="8193" width="6.6640625" style="103" customWidth="1"/>
    <col min="8194" max="8199" width="8.6640625" style="103"/>
    <col min="8200" max="8200" width="18.33203125" style="103" bestFit="1" customWidth="1"/>
    <col min="8201" max="8448" width="8.6640625" style="103"/>
    <col min="8449" max="8449" width="6.6640625" style="103" customWidth="1"/>
    <col min="8450" max="8455" width="8.6640625" style="103"/>
    <col min="8456" max="8456" width="18.33203125" style="103" bestFit="1" customWidth="1"/>
    <col min="8457" max="8704" width="8.6640625" style="103"/>
    <col min="8705" max="8705" width="6.6640625" style="103" customWidth="1"/>
    <col min="8706" max="8711" width="8.6640625" style="103"/>
    <col min="8712" max="8712" width="18.33203125" style="103" bestFit="1" customWidth="1"/>
    <col min="8713" max="8960" width="8.6640625" style="103"/>
    <col min="8961" max="8961" width="6.6640625" style="103" customWidth="1"/>
    <col min="8962" max="8967" width="8.6640625" style="103"/>
    <col min="8968" max="8968" width="18.33203125" style="103" bestFit="1" customWidth="1"/>
    <col min="8969" max="9216" width="8.6640625" style="103"/>
    <col min="9217" max="9217" width="6.6640625" style="103" customWidth="1"/>
    <col min="9218" max="9223" width="8.6640625" style="103"/>
    <col min="9224" max="9224" width="18.33203125" style="103" bestFit="1" customWidth="1"/>
    <col min="9225" max="9472" width="8.6640625" style="103"/>
    <col min="9473" max="9473" width="6.6640625" style="103" customWidth="1"/>
    <col min="9474" max="9479" width="8.6640625" style="103"/>
    <col min="9480" max="9480" width="18.33203125" style="103" bestFit="1" customWidth="1"/>
    <col min="9481" max="9728" width="8.6640625" style="103"/>
    <col min="9729" max="9729" width="6.6640625" style="103" customWidth="1"/>
    <col min="9730" max="9735" width="8.6640625" style="103"/>
    <col min="9736" max="9736" width="18.33203125" style="103" bestFit="1" customWidth="1"/>
    <col min="9737" max="9984" width="8.6640625" style="103"/>
    <col min="9985" max="9985" width="6.6640625" style="103" customWidth="1"/>
    <col min="9986" max="9991" width="8.6640625" style="103"/>
    <col min="9992" max="9992" width="18.33203125" style="103" bestFit="1" customWidth="1"/>
    <col min="9993" max="10240" width="8.6640625" style="103"/>
    <col min="10241" max="10241" width="6.6640625" style="103" customWidth="1"/>
    <col min="10242" max="10247" width="8.6640625" style="103"/>
    <col min="10248" max="10248" width="18.33203125" style="103" bestFit="1" customWidth="1"/>
    <col min="10249" max="10496" width="8.6640625" style="103"/>
    <col min="10497" max="10497" width="6.6640625" style="103" customWidth="1"/>
    <col min="10498" max="10503" width="8.6640625" style="103"/>
    <col min="10504" max="10504" width="18.33203125" style="103" bestFit="1" customWidth="1"/>
    <col min="10505" max="10752" width="8.6640625" style="103"/>
    <col min="10753" max="10753" width="6.6640625" style="103" customWidth="1"/>
    <col min="10754" max="10759" width="8.6640625" style="103"/>
    <col min="10760" max="10760" width="18.33203125" style="103" bestFit="1" customWidth="1"/>
    <col min="10761" max="11008" width="8.6640625" style="103"/>
    <col min="11009" max="11009" width="6.6640625" style="103" customWidth="1"/>
    <col min="11010" max="11015" width="8.6640625" style="103"/>
    <col min="11016" max="11016" width="18.33203125" style="103" bestFit="1" customWidth="1"/>
    <col min="11017" max="11264" width="8.6640625" style="103"/>
    <col min="11265" max="11265" width="6.6640625" style="103" customWidth="1"/>
    <col min="11266" max="11271" width="8.6640625" style="103"/>
    <col min="11272" max="11272" width="18.33203125" style="103" bestFit="1" customWidth="1"/>
    <col min="11273" max="11520" width="8.6640625" style="103"/>
    <col min="11521" max="11521" width="6.6640625" style="103" customWidth="1"/>
    <col min="11522" max="11527" width="8.6640625" style="103"/>
    <col min="11528" max="11528" width="18.33203125" style="103" bestFit="1" customWidth="1"/>
    <col min="11529" max="11776" width="8.6640625" style="103"/>
    <col min="11777" max="11777" width="6.6640625" style="103" customWidth="1"/>
    <col min="11778" max="11783" width="8.6640625" style="103"/>
    <col min="11784" max="11784" width="18.33203125" style="103" bestFit="1" customWidth="1"/>
    <col min="11785" max="12032" width="8.6640625" style="103"/>
    <col min="12033" max="12033" width="6.6640625" style="103" customWidth="1"/>
    <col min="12034" max="12039" width="8.6640625" style="103"/>
    <col min="12040" max="12040" width="18.33203125" style="103" bestFit="1" customWidth="1"/>
    <col min="12041" max="12288" width="8.6640625" style="103"/>
    <col min="12289" max="12289" width="6.6640625" style="103" customWidth="1"/>
    <col min="12290" max="12295" width="8.6640625" style="103"/>
    <col min="12296" max="12296" width="18.33203125" style="103" bestFit="1" customWidth="1"/>
    <col min="12297" max="12544" width="8.6640625" style="103"/>
    <col min="12545" max="12545" width="6.6640625" style="103" customWidth="1"/>
    <col min="12546" max="12551" width="8.6640625" style="103"/>
    <col min="12552" max="12552" width="18.33203125" style="103" bestFit="1" customWidth="1"/>
    <col min="12553" max="12800" width="8.6640625" style="103"/>
    <col min="12801" max="12801" width="6.6640625" style="103" customWidth="1"/>
    <col min="12802" max="12807" width="8.6640625" style="103"/>
    <col min="12808" max="12808" width="18.33203125" style="103" bestFit="1" customWidth="1"/>
    <col min="12809" max="13056" width="8.6640625" style="103"/>
    <col min="13057" max="13057" width="6.6640625" style="103" customWidth="1"/>
    <col min="13058" max="13063" width="8.6640625" style="103"/>
    <col min="13064" max="13064" width="18.33203125" style="103" bestFit="1" customWidth="1"/>
    <col min="13065" max="13312" width="8.6640625" style="103"/>
    <col min="13313" max="13313" width="6.6640625" style="103" customWidth="1"/>
    <col min="13314" max="13319" width="8.6640625" style="103"/>
    <col min="13320" max="13320" width="18.33203125" style="103" bestFit="1" customWidth="1"/>
    <col min="13321" max="13568" width="8.6640625" style="103"/>
    <col min="13569" max="13569" width="6.6640625" style="103" customWidth="1"/>
    <col min="13570" max="13575" width="8.6640625" style="103"/>
    <col min="13576" max="13576" width="18.33203125" style="103" bestFit="1" customWidth="1"/>
    <col min="13577" max="13824" width="8.6640625" style="103"/>
    <col min="13825" max="13825" width="6.6640625" style="103" customWidth="1"/>
    <col min="13826" max="13831" width="8.6640625" style="103"/>
    <col min="13832" max="13832" width="18.33203125" style="103" bestFit="1" customWidth="1"/>
    <col min="13833" max="14080" width="8.6640625" style="103"/>
    <col min="14081" max="14081" width="6.6640625" style="103" customWidth="1"/>
    <col min="14082" max="14087" width="8.6640625" style="103"/>
    <col min="14088" max="14088" width="18.33203125" style="103" bestFit="1" customWidth="1"/>
    <col min="14089" max="14336" width="8.6640625" style="103"/>
    <col min="14337" max="14337" width="6.6640625" style="103" customWidth="1"/>
    <col min="14338" max="14343" width="8.6640625" style="103"/>
    <col min="14344" max="14344" width="18.33203125" style="103" bestFit="1" customWidth="1"/>
    <col min="14345" max="14592" width="8.6640625" style="103"/>
    <col min="14593" max="14593" width="6.6640625" style="103" customWidth="1"/>
    <col min="14594" max="14599" width="8.6640625" style="103"/>
    <col min="14600" max="14600" width="18.33203125" style="103" bestFit="1" customWidth="1"/>
    <col min="14601" max="14848" width="8.6640625" style="103"/>
    <col min="14849" max="14849" width="6.6640625" style="103" customWidth="1"/>
    <col min="14850" max="14855" width="8.6640625" style="103"/>
    <col min="14856" max="14856" width="18.33203125" style="103" bestFit="1" customWidth="1"/>
    <col min="14857" max="15104" width="8.6640625" style="103"/>
    <col min="15105" max="15105" width="6.6640625" style="103" customWidth="1"/>
    <col min="15106" max="15111" width="8.6640625" style="103"/>
    <col min="15112" max="15112" width="18.33203125" style="103" bestFit="1" customWidth="1"/>
    <col min="15113" max="15360" width="8.6640625" style="103"/>
    <col min="15361" max="15361" width="6.6640625" style="103" customWidth="1"/>
    <col min="15362" max="15367" width="8.6640625" style="103"/>
    <col min="15368" max="15368" width="18.33203125" style="103" bestFit="1" customWidth="1"/>
    <col min="15369" max="15616" width="8.6640625" style="103"/>
    <col min="15617" max="15617" width="6.6640625" style="103" customWidth="1"/>
    <col min="15618" max="15623" width="8.6640625" style="103"/>
    <col min="15624" max="15624" width="18.33203125" style="103" bestFit="1" customWidth="1"/>
    <col min="15625" max="15872" width="8.6640625" style="103"/>
    <col min="15873" max="15873" width="6.6640625" style="103" customWidth="1"/>
    <col min="15874" max="15879" width="8.6640625" style="103"/>
    <col min="15880" max="15880" width="18.33203125" style="103" bestFit="1" customWidth="1"/>
    <col min="15881" max="16128" width="8.6640625" style="103"/>
    <col min="16129" max="16129" width="6.6640625" style="103" customWidth="1"/>
    <col min="16130" max="16135" width="8.6640625" style="103"/>
    <col min="16136" max="16136" width="18.33203125" style="103" bestFit="1" customWidth="1"/>
    <col min="16137" max="16384" width="8.6640625" style="103"/>
  </cols>
  <sheetData>
    <row r="1" spans="2:13">
      <c r="B1" s="102"/>
      <c r="C1" s="102"/>
      <c r="D1" s="102"/>
      <c r="E1" s="102"/>
      <c r="F1" s="102"/>
      <c r="G1" s="102"/>
      <c r="H1" s="102"/>
      <c r="I1" s="102"/>
      <c r="J1" s="102"/>
    </row>
    <row r="2" spans="2:13" ht="20.399999999999999">
      <c r="B2" s="170" t="s">
        <v>372</v>
      </c>
      <c r="C2" s="102"/>
      <c r="D2" s="102"/>
      <c r="E2" s="102"/>
      <c r="F2" s="102"/>
      <c r="G2" s="102"/>
      <c r="H2" s="102"/>
      <c r="I2" s="102"/>
      <c r="J2" s="102"/>
    </row>
    <row r="3" spans="2:13" ht="20.399999999999999">
      <c r="B3" s="104"/>
      <c r="C3" s="102"/>
      <c r="D3" s="102"/>
      <c r="E3" s="102"/>
      <c r="F3" s="102"/>
      <c r="G3" s="102"/>
      <c r="H3" s="102"/>
      <c r="I3" s="102"/>
      <c r="J3" s="102"/>
    </row>
    <row r="4" spans="2:13" s="106" customFormat="1" ht="17.399999999999999">
      <c r="B4" s="105" t="s">
        <v>431</v>
      </c>
    </row>
    <row r="5" spans="2:13" ht="81.900000000000006" customHeight="1">
      <c r="B5" s="102"/>
      <c r="C5" s="246" t="s">
        <v>432</v>
      </c>
      <c r="D5" s="246"/>
      <c r="E5" s="246"/>
      <c r="F5" s="246"/>
      <c r="G5" s="246"/>
      <c r="H5" s="246"/>
      <c r="I5" s="246"/>
      <c r="J5" s="246"/>
      <c r="K5" s="246"/>
      <c r="L5" s="246"/>
      <c r="M5" s="172"/>
    </row>
    <row r="6" spans="2:13" ht="14.4">
      <c r="B6" s="107"/>
      <c r="C6" s="173" t="s">
        <v>433</v>
      </c>
      <c r="D6" s="173" t="s">
        <v>434</v>
      </c>
      <c r="E6" s="107"/>
      <c r="F6" s="107"/>
      <c r="G6" s="107"/>
      <c r="H6" s="102"/>
      <c r="I6" s="102"/>
      <c r="J6" s="102"/>
    </row>
    <row r="7" spans="2:13" ht="14.4">
      <c r="B7" s="107"/>
      <c r="C7" s="171"/>
      <c r="D7" s="173" t="s">
        <v>435</v>
      </c>
      <c r="E7" s="107"/>
      <c r="F7" s="107"/>
      <c r="G7" s="107"/>
      <c r="H7" s="102"/>
      <c r="I7" s="102"/>
      <c r="J7" s="102"/>
    </row>
    <row r="8" spans="2:13" ht="14.4">
      <c r="B8" s="107"/>
      <c r="C8" s="171"/>
      <c r="D8" s="173" t="s">
        <v>436</v>
      </c>
      <c r="E8" s="107"/>
      <c r="F8" s="107"/>
      <c r="G8" s="107"/>
      <c r="H8" s="102"/>
      <c r="I8" s="102"/>
      <c r="J8" s="102"/>
    </row>
    <row r="9" spans="2:13">
      <c r="B9" s="102"/>
      <c r="C9" s="102"/>
      <c r="D9" s="102"/>
      <c r="E9" s="102"/>
      <c r="F9" s="102"/>
      <c r="G9" s="102"/>
      <c r="H9" s="102"/>
      <c r="I9" s="102"/>
      <c r="J9" s="102"/>
    </row>
    <row r="10" spans="2:13" s="106" customFormat="1" ht="17.399999999999999">
      <c r="B10" s="105" t="s">
        <v>346</v>
      </c>
    </row>
    <row r="11" spans="2:13" s="106" customFormat="1" ht="17.399999999999999">
      <c r="B11" s="105"/>
    </row>
    <row r="12" spans="2:13" ht="14.4">
      <c r="B12" s="107" t="s">
        <v>347</v>
      </c>
      <c r="C12" s="107"/>
      <c r="D12" s="107"/>
      <c r="E12" s="107"/>
      <c r="F12" s="107"/>
      <c r="G12" s="107"/>
      <c r="H12" s="107"/>
      <c r="I12" s="107"/>
      <c r="J12" s="102"/>
    </row>
    <row r="13" spans="2:13" ht="14.4">
      <c r="B13" s="107" t="s">
        <v>348</v>
      </c>
      <c r="C13" s="107"/>
      <c r="D13" s="107"/>
      <c r="E13" s="107"/>
      <c r="F13" s="107"/>
      <c r="G13" s="107"/>
      <c r="H13" s="107"/>
      <c r="I13" s="107"/>
      <c r="J13" s="102"/>
    </row>
    <row r="14" spans="2:13" ht="14.4">
      <c r="B14" s="107" t="s">
        <v>349</v>
      </c>
      <c r="C14" s="107"/>
      <c r="D14" s="107"/>
      <c r="E14" s="107"/>
      <c r="F14" s="107"/>
      <c r="G14" s="107"/>
      <c r="H14" s="107"/>
      <c r="I14" s="107"/>
      <c r="J14" s="102"/>
    </row>
    <row r="15" spans="2:13" ht="14.4">
      <c r="B15" s="107" t="s">
        <v>350</v>
      </c>
      <c r="C15" s="107"/>
      <c r="D15" s="107"/>
      <c r="E15" s="107"/>
      <c r="F15" s="107"/>
      <c r="G15" s="107"/>
      <c r="H15" s="107"/>
      <c r="I15" s="107"/>
      <c r="J15" s="102"/>
    </row>
    <row r="16" spans="2:13" ht="14.4">
      <c r="B16" s="107" t="s">
        <v>351</v>
      </c>
      <c r="C16" s="107"/>
      <c r="D16" s="107"/>
      <c r="E16" s="107"/>
      <c r="F16" s="107"/>
      <c r="G16" s="107"/>
      <c r="H16" s="107"/>
      <c r="I16" s="107"/>
      <c r="J16" s="102"/>
    </row>
    <row r="17" spans="2:10" ht="14.4">
      <c r="B17" s="107" t="s">
        <v>352</v>
      </c>
      <c r="C17" s="107"/>
      <c r="D17" s="107"/>
      <c r="E17" s="107"/>
      <c r="F17" s="107"/>
      <c r="G17" s="107"/>
      <c r="H17" s="107"/>
      <c r="I17" s="107"/>
      <c r="J17" s="102"/>
    </row>
    <row r="18" spans="2:10" ht="14.4">
      <c r="B18" s="107" t="s">
        <v>353</v>
      </c>
      <c r="C18" s="107"/>
      <c r="D18" s="107"/>
      <c r="E18" s="107"/>
      <c r="F18" s="107"/>
      <c r="G18" s="107"/>
      <c r="H18" s="107"/>
      <c r="I18" s="107"/>
      <c r="J18" s="102"/>
    </row>
    <row r="19" spans="2:10">
      <c r="B19" s="102"/>
      <c r="C19" s="102"/>
      <c r="D19" s="102"/>
      <c r="E19" s="102"/>
      <c r="F19" s="102"/>
      <c r="G19" s="102"/>
      <c r="H19" s="102"/>
      <c r="I19" s="102"/>
      <c r="J19" s="102"/>
    </row>
    <row r="20" spans="2:10">
      <c r="B20" s="102"/>
      <c r="C20" s="102"/>
      <c r="D20" s="102"/>
      <c r="E20" s="102"/>
      <c r="F20" s="102"/>
      <c r="G20" s="102"/>
      <c r="H20" s="102"/>
      <c r="I20" s="102"/>
      <c r="J20" s="102"/>
    </row>
    <row r="21" spans="2:10">
      <c r="B21" s="102"/>
      <c r="C21" s="102"/>
      <c r="D21" s="102"/>
      <c r="E21" s="102"/>
      <c r="F21" s="102"/>
      <c r="G21" s="102"/>
      <c r="H21" s="102"/>
      <c r="I21" s="102"/>
      <c r="J21" s="102"/>
    </row>
    <row r="22" spans="2:10">
      <c r="B22" s="102"/>
      <c r="C22" s="102"/>
      <c r="D22" s="102"/>
      <c r="E22" s="102"/>
      <c r="F22" s="102"/>
      <c r="G22" s="102"/>
      <c r="H22" s="102"/>
      <c r="I22" s="102"/>
      <c r="J22" s="102"/>
    </row>
    <row r="23" spans="2:10">
      <c r="B23" s="102"/>
      <c r="C23" s="102"/>
      <c r="D23" s="102"/>
      <c r="E23" s="102"/>
      <c r="F23" s="102"/>
      <c r="G23" s="102"/>
      <c r="H23" s="102"/>
      <c r="I23" s="102"/>
      <c r="J23" s="102"/>
    </row>
    <row r="24" spans="2:10">
      <c r="B24" s="102"/>
      <c r="C24" s="102"/>
      <c r="D24" s="102"/>
      <c r="E24" s="102"/>
      <c r="F24" s="102"/>
      <c r="G24" s="102"/>
      <c r="H24" s="102"/>
      <c r="I24" s="102"/>
      <c r="J24" s="102"/>
    </row>
    <row r="25" spans="2:10">
      <c r="B25" s="102"/>
      <c r="C25" s="102"/>
      <c r="D25" s="102"/>
      <c r="E25" s="102"/>
      <c r="F25" s="102"/>
      <c r="G25" s="102"/>
      <c r="H25" s="102"/>
      <c r="I25" s="102"/>
      <c r="J25" s="102"/>
    </row>
    <row r="26" spans="2:10">
      <c r="B26" s="102"/>
      <c r="C26" s="102"/>
      <c r="D26" s="102"/>
      <c r="E26" s="102"/>
      <c r="F26" s="102"/>
      <c r="G26" s="102"/>
      <c r="H26" s="102"/>
      <c r="I26" s="102"/>
      <c r="J26" s="102"/>
    </row>
    <row r="27" spans="2:10">
      <c r="B27" s="102"/>
      <c r="C27" s="102"/>
      <c r="D27" s="102"/>
      <c r="E27" s="102"/>
      <c r="F27" s="102"/>
      <c r="G27" s="102"/>
      <c r="H27" s="102"/>
      <c r="I27" s="102"/>
      <c r="J27" s="102"/>
    </row>
    <row r="28" spans="2:10">
      <c r="B28" s="102"/>
      <c r="C28" s="102"/>
      <c r="D28" s="102"/>
      <c r="E28" s="102"/>
      <c r="F28" s="102"/>
      <c r="G28" s="102"/>
      <c r="H28" s="102"/>
      <c r="I28" s="102"/>
      <c r="J28" s="102"/>
    </row>
    <row r="29" spans="2:10">
      <c r="B29" s="102"/>
      <c r="C29" s="102"/>
      <c r="D29" s="102"/>
      <c r="E29" s="102"/>
      <c r="F29" s="102"/>
      <c r="G29" s="102"/>
      <c r="H29" s="102"/>
      <c r="I29" s="102"/>
      <c r="J29" s="102"/>
    </row>
    <row r="30" spans="2:10">
      <c r="B30" s="102"/>
      <c r="C30" s="102"/>
      <c r="D30" s="102"/>
      <c r="E30" s="102"/>
      <c r="F30" s="102"/>
      <c r="G30" s="102"/>
      <c r="H30" s="102"/>
      <c r="I30" s="102"/>
      <c r="J30" s="102"/>
    </row>
    <row r="31" spans="2:10">
      <c r="B31" s="102"/>
      <c r="C31" s="102"/>
      <c r="D31" s="102"/>
      <c r="E31" s="102"/>
      <c r="F31" s="102"/>
      <c r="G31" s="102"/>
      <c r="H31" s="102"/>
      <c r="I31" s="102"/>
      <c r="J31" s="102"/>
    </row>
    <row r="32" spans="2:10">
      <c r="B32" s="102"/>
      <c r="C32" s="102"/>
      <c r="D32" s="102"/>
      <c r="E32" s="102"/>
      <c r="F32" s="102"/>
      <c r="G32" s="102"/>
      <c r="H32" s="102"/>
      <c r="I32" s="102"/>
      <c r="J32" s="102"/>
    </row>
    <row r="33" spans="2:10">
      <c r="B33" s="102"/>
      <c r="C33" s="102"/>
      <c r="D33" s="102"/>
      <c r="E33" s="102"/>
      <c r="F33" s="102"/>
      <c r="G33" s="102"/>
      <c r="H33" s="102"/>
      <c r="I33" s="102"/>
      <c r="J33" s="102"/>
    </row>
    <row r="34" spans="2:10">
      <c r="B34" s="102"/>
      <c r="C34" s="102"/>
      <c r="D34" s="102"/>
      <c r="E34" s="102"/>
      <c r="F34" s="102"/>
      <c r="G34" s="102"/>
      <c r="H34" s="102"/>
      <c r="I34" s="102"/>
      <c r="J34" s="102"/>
    </row>
    <row r="35" spans="2:10">
      <c r="B35" s="102"/>
      <c r="C35" s="102"/>
      <c r="D35" s="102"/>
      <c r="E35" s="102"/>
      <c r="F35" s="102"/>
      <c r="G35" s="102"/>
      <c r="H35" s="102"/>
      <c r="I35" s="102"/>
      <c r="J35" s="102"/>
    </row>
    <row r="36" spans="2:10">
      <c r="B36" s="102"/>
      <c r="C36" s="102"/>
      <c r="D36" s="102"/>
      <c r="E36" s="102"/>
      <c r="F36" s="102"/>
      <c r="G36" s="102"/>
      <c r="H36" s="102"/>
      <c r="I36" s="102"/>
      <c r="J36" s="102"/>
    </row>
    <row r="37" spans="2:10">
      <c r="B37" s="102"/>
      <c r="C37" s="102"/>
      <c r="D37" s="102"/>
      <c r="E37" s="102"/>
      <c r="F37" s="102"/>
      <c r="G37" s="102"/>
      <c r="H37" s="102"/>
      <c r="I37" s="102"/>
      <c r="J37" s="102"/>
    </row>
    <row r="38" spans="2:10">
      <c r="B38" s="102"/>
      <c r="C38" s="102"/>
      <c r="D38" s="102"/>
      <c r="E38" s="102"/>
      <c r="F38" s="102"/>
      <c r="G38" s="102"/>
      <c r="H38" s="102"/>
      <c r="I38" s="102"/>
      <c r="J38" s="102"/>
    </row>
    <row r="39" spans="2:10">
      <c r="B39" s="102"/>
      <c r="C39" s="102"/>
      <c r="D39" s="102"/>
      <c r="E39" s="102"/>
      <c r="F39" s="102"/>
      <c r="G39" s="102"/>
      <c r="H39" s="102"/>
      <c r="I39" s="102"/>
      <c r="J39" s="102"/>
    </row>
    <row r="40" spans="2:10">
      <c r="B40" s="102"/>
      <c r="C40" s="102"/>
      <c r="D40" s="102"/>
      <c r="E40" s="102"/>
      <c r="F40" s="102"/>
      <c r="G40" s="102"/>
      <c r="H40" s="102"/>
      <c r="I40" s="102"/>
      <c r="J40" s="102"/>
    </row>
    <row r="41" spans="2:10">
      <c r="B41" s="102"/>
      <c r="C41" s="102"/>
      <c r="D41" s="102"/>
      <c r="E41" s="102"/>
      <c r="F41" s="102"/>
      <c r="G41" s="102"/>
      <c r="H41" s="102"/>
      <c r="I41" s="102"/>
      <c r="J41" s="102"/>
    </row>
    <row r="42" spans="2:10">
      <c r="B42" s="102"/>
      <c r="C42" s="102"/>
      <c r="D42" s="102"/>
      <c r="E42" s="102"/>
      <c r="F42" s="102"/>
      <c r="G42" s="102"/>
      <c r="H42" s="102"/>
      <c r="I42" s="102"/>
      <c r="J42" s="102"/>
    </row>
    <row r="43" spans="2:10" ht="14.4">
      <c r="B43" s="107" t="s">
        <v>354</v>
      </c>
      <c r="C43" s="102"/>
      <c r="D43" s="102"/>
      <c r="E43" s="102"/>
      <c r="F43" s="102"/>
      <c r="G43" s="102"/>
      <c r="H43" s="102"/>
      <c r="I43" s="102"/>
      <c r="J43" s="102"/>
    </row>
    <row r="44" spans="2:10">
      <c r="B44" s="102"/>
      <c r="C44" s="52" t="s">
        <v>355</v>
      </c>
      <c r="D44" s="108">
        <v>36381</v>
      </c>
      <c r="E44" s="52" t="s">
        <v>356</v>
      </c>
      <c r="F44" s="109">
        <v>0.08</v>
      </c>
      <c r="G44" s="110"/>
      <c r="H44" s="111"/>
      <c r="I44" s="102"/>
      <c r="J44" s="102"/>
    </row>
    <row r="45" spans="2:10">
      <c r="B45" s="102"/>
      <c r="C45" s="52" t="s">
        <v>357</v>
      </c>
      <c r="D45" s="108">
        <v>37477</v>
      </c>
      <c r="E45" s="112" t="s">
        <v>358</v>
      </c>
      <c r="F45" s="52" t="s">
        <v>359</v>
      </c>
      <c r="G45" s="110"/>
      <c r="H45" s="111"/>
      <c r="I45" s="102"/>
      <c r="J45" s="102"/>
    </row>
    <row r="46" spans="2:10">
      <c r="B46" s="102"/>
      <c r="C46" s="113"/>
      <c r="D46" s="114"/>
      <c r="E46" s="115"/>
      <c r="F46" s="113"/>
      <c r="G46" s="110"/>
      <c r="H46" s="111"/>
      <c r="I46" s="102"/>
      <c r="J46" s="102"/>
    </row>
    <row r="47" spans="2:10" ht="14.4">
      <c r="B47" s="107" t="s">
        <v>360</v>
      </c>
      <c r="C47" s="102"/>
      <c r="D47" s="102"/>
      <c r="E47" s="102"/>
      <c r="F47" s="102"/>
      <c r="G47" s="102"/>
      <c r="H47" s="102"/>
      <c r="I47" s="102"/>
      <c r="J47" s="102"/>
    </row>
    <row r="48" spans="2:10">
      <c r="B48" s="102"/>
      <c r="C48" s="52" t="s">
        <v>361</v>
      </c>
      <c r="D48" s="108">
        <v>36803</v>
      </c>
      <c r="E48" s="52" t="s">
        <v>362</v>
      </c>
      <c r="F48" s="109">
        <v>0.10299999999999999</v>
      </c>
      <c r="G48" s="52" t="s">
        <v>363</v>
      </c>
      <c r="H48" s="116">
        <v>20000000000</v>
      </c>
      <c r="I48" s="102"/>
      <c r="J48" s="102"/>
    </row>
    <row r="49" spans="2:10">
      <c r="B49" s="102"/>
      <c r="C49" s="52" t="s">
        <v>364</v>
      </c>
      <c r="D49" s="117">
        <v>36</v>
      </c>
      <c r="E49" s="52" t="s">
        <v>365</v>
      </c>
      <c r="F49" s="117">
        <v>92</v>
      </c>
      <c r="G49" s="118" t="s">
        <v>366</v>
      </c>
      <c r="H49" s="119">
        <f>+H48*0.9737</f>
        <v>19474000000</v>
      </c>
      <c r="I49" s="102"/>
      <c r="J49" s="102"/>
    </row>
    <row r="50" spans="2:10">
      <c r="B50" s="102"/>
      <c r="C50" s="113"/>
      <c r="D50" s="120"/>
      <c r="E50" s="113"/>
      <c r="F50" s="120"/>
      <c r="G50" s="120"/>
      <c r="H50" s="120"/>
      <c r="I50" s="120"/>
      <c r="J50" s="102"/>
    </row>
    <row r="51" spans="2:10" ht="14.4">
      <c r="B51" s="107" t="s">
        <v>367</v>
      </c>
      <c r="C51" s="113"/>
      <c r="D51" s="120"/>
      <c r="E51" s="113"/>
      <c r="F51" s="121"/>
      <c r="G51" s="244"/>
      <c r="H51" s="245"/>
      <c r="I51" s="102"/>
      <c r="J51" s="102"/>
    </row>
    <row r="52" spans="2:10">
      <c r="B52" s="102"/>
      <c r="C52" s="113"/>
      <c r="D52" s="120"/>
      <c r="E52" s="113"/>
      <c r="F52" s="121"/>
      <c r="G52" s="122"/>
      <c r="H52" s="113"/>
      <c r="I52" s="102"/>
      <c r="J52" s="102"/>
    </row>
    <row r="53" spans="2:10">
      <c r="B53" s="102"/>
      <c r="C53" s="113"/>
      <c r="D53" s="120"/>
      <c r="E53" s="113"/>
      <c r="F53" s="121"/>
      <c r="G53" s="122"/>
      <c r="H53" s="113"/>
      <c r="I53" s="102"/>
      <c r="J53" s="102"/>
    </row>
    <row r="54" spans="2:10">
      <c r="B54" s="102"/>
      <c r="C54" s="113"/>
      <c r="D54" s="120"/>
      <c r="E54" s="113"/>
      <c r="F54" s="121"/>
      <c r="G54" s="122"/>
      <c r="H54" s="113"/>
      <c r="I54" s="102"/>
      <c r="J54" s="102"/>
    </row>
    <row r="55" spans="2:10">
      <c r="B55" s="102"/>
      <c r="C55" s="113"/>
      <c r="D55" s="120"/>
      <c r="E55" s="113"/>
      <c r="F55" s="121"/>
      <c r="G55" s="122"/>
      <c r="H55" s="113"/>
      <c r="I55" s="102"/>
      <c r="J55" s="102"/>
    </row>
    <row r="56" spans="2:10">
      <c r="B56" s="102"/>
      <c r="C56" s="113"/>
      <c r="D56" s="120"/>
      <c r="E56" s="113"/>
      <c r="F56" s="121"/>
      <c r="G56" s="122"/>
      <c r="H56" s="113"/>
      <c r="I56" s="102"/>
      <c r="J56" s="102"/>
    </row>
    <row r="57" spans="2:10">
      <c r="B57" s="102" t="s">
        <v>368</v>
      </c>
      <c r="C57" s="102"/>
      <c r="D57" s="102"/>
      <c r="E57" s="102"/>
      <c r="F57" s="102"/>
      <c r="G57" s="102"/>
      <c r="H57" s="102"/>
      <c r="I57" s="102"/>
      <c r="J57" s="102"/>
    </row>
    <row r="58" spans="2:10">
      <c r="B58" s="102" t="s">
        <v>369</v>
      </c>
      <c r="C58" s="102"/>
      <c r="D58" s="102"/>
      <c r="E58" s="102"/>
      <c r="F58" s="102"/>
      <c r="G58" s="102"/>
      <c r="H58" s="102"/>
      <c r="I58" s="102"/>
      <c r="J58" s="102"/>
    </row>
    <row r="59" spans="2:10">
      <c r="B59" s="102" t="s">
        <v>370</v>
      </c>
      <c r="C59" s="102"/>
      <c r="D59" s="102"/>
      <c r="E59" s="102"/>
      <c r="F59" s="102"/>
      <c r="G59" s="102"/>
      <c r="H59" s="102"/>
      <c r="I59" s="102"/>
      <c r="J59" s="102"/>
    </row>
    <row r="60" spans="2:10">
      <c r="B60" s="102" t="s">
        <v>371</v>
      </c>
      <c r="C60" s="102"/>
      <c r="D60" s="102"/>
      <c r="E60" s="102"/>
      <c r="F60" s="102"/>
      <c r="G60" s="102"/>
      <c r="H60" s="102"/>
      <c r="I60" s="102"/>
      <c r="J60" s="102"/>
    </row>
    <row r="61" spans="2:10">
      <c r="B61" s="102"/>
      <c r="C61" s="102"/>
      <c r="D61" s="102"/>
      <c r="E61" s="102"/>
      <c r="F61" s="102"/>
      <c r="G61" s="102"/>
      <c r="H61" s="102"/>
      <c r="I61" s="102"/>
      <c r="J61" s="102"/>
    </row>
    <row r="120" spans="2:9">
      <c r="B120" s="123"/>
      <c r="C120" s="123"/>
      <c r="D120" s="123"/>
      <c r="E120" s="123"/>
      <c r="F120" s="123"/>
      <c r="G120" s="123"/>
      <c r="H120" s="123"/>
      <c r="I120" s="123"/>
    </row>
    <row r="121" spans="2:9">
      <c r="B121" s="123"/>
      <c r="C121" s="123"/>
      <c r="D121" s="123"/>
      <c r="E121" s="123"/>
      <c r="F121" s="123"/>
      <c r="G121" s="123"/>
      <c r="H121" s="123"/>
      <c r="I121" s="123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72"/>
  <sheetViews>
    <sheetView zoomScale="99" zoomScaleNormal="99" workbookViewId="0"/>
  </sheetViews>
  <sheetFormatPr defaultColWidth="8.6640625" defaultRowHeight="10.8"/>
  <cols>
    <col min="1" max="1" width="3.33203125" style="1" customWidth="1"/>
    <col min="2" max="2" width="19.33203125" style="1" bestFit="1" customWidth="1"/>
    <col min="3" max="3" width="30.109375" style="1" bestFit="1" customWidth="1"/>
    <col min="4" max="4" width="20.6640625" style="4" customWidth="1"/>
    <col min="5" max="5" width="30.109375" style="1" bestFit="1" customWidth="1"/>
    <col min="6" max="6" width="30.109375" style="1" customWidth="1"/>
    <col min="7" max="16384" width="8.6640625" style="1"/>
  </cols>
  <sheetData>
    <row r="3" spans="2:6">
      <c r="C3" s="124"/>
    </row>
    <row r="5" spans="2:6" ht="13.2">
      <c r="B5" s="174" t="s">
        <v>111</v>
      </c>
      <c r="C5" s="174" t="s">
        <v>2</v>
      </c>
      <c r="D5" s="175" t="s">
        <v>112</v>
      </c>
      <c r="E5" s="174" t="s">
        <v>438</v>
      </c>
      <c r="F5" s="174" t="s">
        <v>439</v>
      </c>
    </row>
    <row r="6" spans="2:6" ht="13.2">
      <c r="B6" s="176" t="s">
        <v>95</v>
      </c>
      <c r="C6" s="102" t="s">
        <v>614</v>
      </c>
      <c r="D6" s="123">
        <v>0</v>
      </c>
      <c r="E6" s="123" t="s">
        <v>164</v>
      </c>
      <c r="F6" s="123" t="s">
        <v>440</v>
      </c>
    </row>
    <row r="7" spans="2:6" ht="13.2">
      <c r="B7" s="176" t="s">
        <v>95</v>
      </c>
      <c r="C7" s="102" t="s">
        <v>615</v>
      </c>
      <c r="D7" s="123">
        <v>1</v>
      </c>
      <c r="E7" s="123" t="s">
        <v>165</v>
      </c>
      <c r="F7" s="123" t="s">
        <v>442</v>
      </c>
    </row>
    <row r="8" spans="2:6" ht="13.2">
      <c r="B8" s="176" t="s">
        <v>95</v>
      </c>
      <c r="C8" s="102" t="s">
        <v>616</v>
      </c>
      <c r="D8" s="123">
        <v>2</v>
      </c>
      <c r="E8" s="123" t="s">
        <v>166</v>
      </c>
      <c r="F8" s="123" t="s">
        <v>443</v>
      </c>
    </row>
    <row r="9" spans="2:6" ht="13.2">
      <c r="B9" s="176" t="s">
        <v>95</v>
      </c>
      <c r="C9" s="102" t="s">
        <v>617</v>
      </c>
      <c r="D9" s="123">
        <v>3</v>
      </c>
      <c r="E9" s="123" t="s">
        <v>167</v>
      </c>
      <c r="F9" s="123" t="s">
        <v>444</v>
      </c>
    </row>
    <row r="10" spans="2:6" ht="13.2">
      <c r="B10" s="176" t="s">
        <v>95</v>
      </c>
      <c r="C10" s="102" t="s">
        <v>618</v>
      </c>
      <c r="D10" s="123">
        <v>4</v>
      </c>
      <c r="E10" s="123" t="s">
        <v>168</v>
      </c>
      <c r="F10" s="123" t="s">
        <v>445</v>
      </c>
    </row>
    <row r="11" spans="2:6" ht="13.2">
      <c r="B11" s="176" t="s">
        <v>95</v>
      </c>
      <c r="C11" s="102" t="s">
        <v>619</v>
      </c>
      <c r="D11" s="123">
        <v>5</v>
      </c>
      <c r="E11" s="123" t="s">
        <v>169</v>
      </c>
      <c r="F11" s="123" t="s">
        <v>446</v>
      </c>
    </row>
    <row r="12" spans="2:6" ht="13.2">
      <c r="B12" s="176" t="s">
        <v>95</v>
      </c>
      <c r="C12" s="102" t="s">
        <v>620</v>
      </c>
      <c r="D12" s="123">
        <v>6</v>
      </c>
      <c r="E12" s="123" t="s">
        <v>170</v>
      </c>
      <c r="F12" s="123" t="s">
        <v>447</v>
      </c>
    </row>
    <row r="13" spans="2:6" ht="13.2">
      <c r="B13" s="176" t="s">
        <v>95</v>
      </c>
      <c r="C13" s="102" t="s">
        <v>621</v>
      </c>
      <c r="D13" s="123">
        <v>7</v>
      </c>
      <c r="E13" s="123" t="s">
        <v>171</v>
      </c>
      <c r="F13" s="123" t="s">
        <v>448</v>
      </c>
    </row>
    <row r="14" spans="2:6" ht="13.2">
      <c r="B14" s="208" t="s">
        <v>95</v>
      </c>
      <c r="C14" s="124" t="s">
        <v>622</v>
      </c>
      <c r="D14" s="209">
        <v>8</v>
      </c>
      <c r="E14" s="209"/>
      <c r="F14" s="209" t="s">
        <v>623</v>
      </c>
    </row>
    <row r="15" spans="2:6" ht="13.2">
      <c r="B15" s="208" t="s">
        <v>95</v>
      </c>
      <c r="C15" s="124" t="s">
        <v>624</v>
      </c>
      <c r="D15" s="209">
        <v>9</v>
      </c>
      <c r="E15" s="209"/>
      <c r="F15" s="209" t="s">
        <v>625</v>
      </c>
    </row>
    <row r="16" spans="2:6" ht="13.2">
      <c r="B16" s="208" t="s">
        <v>95</v>
      </c>
      <c r="C16" s="124" t="s">
        <v>626</v>
      </c>
      <c r="D16" s="209">
        <v>10</v>
      </c>
      <c r="E16" s="209"/>
      <c r="F16" s="209" t="s">
        <v>627</v>
      </c>
    </row>
    <row r="17" spans="2:6" ht="13.2">
      <c r="B17" s="208" t="s">
        <v>95</v>
      </c>
      <c r="C17" s="124" t="s">
        <v>628</v>
      </c>
      <c r="D17" s="209">
        <v>11</v>
      </c>
      <c r="E17" s="209"/>
      <c r="F17" s="209" t="s">
        <v>629</v>
      </c>
    </row>
    <row r="18" spans="2:6" ht="13.2">
      <c r="B18" s="208" t="s">
        <v>95</v>
      </c>
      <c r="C18" s="124" t="s">
        <v>630</v>
      </c>
      <c r="D18" s="209">
        <v>12</v>
      </c>
      <c r="E18" s="209"/>
      <c r="F18" s="209" t="s">
        <v>631</v>
      </c>
    </row>
    <row r="19" spans="2:6" ht="13.2">
      <c r="B19" s="208" t="s">
        <v>95</v>
      </c>
      <c r="C19" s="124" t="s">
        <v>632</v>
      </c>
      <c r="D19" s="209">
        <v>13</v>
      </c>
      <c r="E19" s="209"/>
      <c r="F19" s="209" t="s">
        <v>633</v>
      </c>
    </row>
    <row r="20" spans="2:6" ht="13.2">
      <c r="B20" s="208" t="s">
        <v>95</v>
      </c>
      <c r="C20" s="124" t="s">
        <v>634</v>
      </c>
      <c r="D20" s="209">
        <v>14</v>
      </c>
      <c r="E20" s="209"/>
      <c r="F20" s="209" t="s">
        <v>635</v>
      </c>
    </row>
    <row r="21" spans="2:6" ht="13.2">
      <c r="B21" s="208" t="s">
        <v>95</v>
      </c>
      <c r="C21" s="124" t="s">
        <v>636</v>
      </c>
      <c r="D21" s="209">
        <v>15</v>
      </c>
      <c r="E21" s="209"/>
      <c r="F21" s="209" t="s">
        <v>637</v>
      </c>
    </row>
    <row r="22" spans="2:6" ht="13.2">
      <c r="B22" s="208" t="s">
        <v>95</v>
      </c>
      <c r="C22" s="124" t="s">
        <v>638</v>
      </c>
      <c r="D22" s="209">
        <v>16</v>
      </c>
      <c r="E22" s="209"/>
      <c r="F22" s="209" t="s">
        <v>639</v>
      </c>
    </row>
    <row r="23" spans="2:6" ht="13.2">
      <c r="B23" s="208" t="s">
        <v>95</v>
      </c>
      <c r="C23" s="124" t="s">
        <v>640</v>
      </c>
      <c r="D23" s="209">
        <v>17</v>
      </c>
      <c r="E23" s="209"/>
      <c r="F23" s="209" t="s">
        <v>641</v>
      </c>
    </row>
    <row r="24" spans="2:6" ht="13.2">
      <c r="B24" s="208" t="s">
        <v>95</v>
      </c>
      <c r="C24" s="124" t="s">
        <v>642</v>
      </c>
      <c r="D24" s="209">
        <v>18</v>
      </c>
      <c r="E24" s="209"/>
      <c r="F24" s="209" t="s">
        <v>643</v>
      </c>
    </row>
    <row r="25" spans="2:6" ht="13.2">
      <c r="B25" s="208" t="s">
        <v>95</v>
      </c>
      <c r="C25" s="124" t="s">
        <v>644</v>
      </c>
      <c r="D25" s="209">
        <v>19</v>
      </c>
      <c r="E25" s="209"/>
      <c r="F25" s="209" t="s">
        <v>645</v>
      </c>
    </row>
    <row r="26" spans="2:6" ht="13.2">
      <c r="B26" s="208" t="s">
        <v>95</v>
      </c>
      <c r="C26" s="124" t="s">
        <v>646</v>
      </c>
      <c r="D26" s="209">
        <v>20</v>
      </c>
      <c r="E26" s="209"/>
      <c r="F26" s="209" t="s">
        <v>647</v>
      </c>
    </row>
    <row r="27" spans="2:6" ht="13.2">
      <c r="B27" s="208" t="s">
        <v>95</v>
      </c>
      <c r="C27" s="124" t="s">
        <v>648</v>
      </c>
      <c r="D27" s="209">
        <v>21</v>
      </c>
      <c r="E27" s="209"/>
      <c r="F27" s="209" t="s">
        <v>649</v>
      </c>
    </row>
    <row r="28" spans="2:6" ht="13.2">
      <c r="B28" s="208" t="s">
        <v>95</v>
      </c>
      <c r="C28" s="124" t="s">
        <v>650</v>
      </c>
      <c r="D28" s="209">
        <v>22</v>
      </c>
      <c r="E28" s="209"/>
      <c r="F28" s="209" t="s">
        <v>651</v>
      </c>
    </row>
    <row r="29" spans="2:6" ht="13.2">
      <c r="B29" s="208" t="s">
        <v>95</v>
      </c>
      <c r="C29" s="124" t="s">
        <v>652</v>
      </c>
      <c r="D29" s="209">
        <v>23</v>
      </c>
      <c r="E29" s="209"/>
      <c r="F29" s="209" t="s">
        <v>653</v>
      </c>
    </row>
    <row r="30" spans="2:6" ht="13.2">
      <c r="B30" s="208" t="s">
        <v>95</v>
      </c>
      <c r="C30" s="124" t="s">
        <v>654</v>
      </c>
      <c r="D30" s="209">
        <v>24</v>
      </c>
      <c r="E30" s="209"/>
      <c r="F30" s="209" t="s">
        <v>655</v>
      </c>
    </row>
    <row r="31" spans="2:6" ht="13.2">
      <c r="B31" s="208" t="s">
        <v>95</v>
      </c>
      <c r="C31" s="124" t="s">
        <v>656</v>
      </c>
      <c r="D31" s="209">
        <v>25</v>
      </c>
      <c r="E31" s="209"/>
      <c r="F31" s="209" t="s">
        <v>657</v>
      </c>
    </row>
    <row r="32" spans="2:6" ht="13.2">
      <c r="B32" s="208" t="s">
        <v>95</v>
      </c>
      <c r="C32" s="124" t="s">
        <v>658</v>
      </c>
      <c r="D32" s="209">
        <v>26</v>
      </c>
      <c r="E32" s="209"/>
      <c r="F32" s="209" t="s">
        <v>659</v>
      </c>
    </row>
    <row r="33" spans="2:6" ht="13.2">
      <c r="B33" s="208" t="s">
        <v>95</v>
      </c>
      <c r="C33" s="124" t="s">
        <v>660</v>
      </c>
      <c r="D33" s="209">
        <v>27</v>
      </c>
      <c r="E33" s="209"/>
      <c r="F33" s="209" t="s">
        <v>661</v>
      </c>
    </row>
    <row r="34" spans="2:6" ht="13.2">
      <c r="B34" s="208" t="s">
        <v>95</v>
      </c>
      <c r="C34" s="124" t="s">
        <v>662</v>
      </c>
      <c r="D34" s="209">
        <v>28</v>
      </c>
      <c r="E34" s="209"/>
      <c r="F34" s="209" t="s">
        <v>663</v>
      </c>
    </row>
    <row r="35" spans="2:6" ht="13.2">
      <c r="B35" s="208" t="s">
        <v>95</v>
      </c>
      <c r="C35" s="124" t="s">
        <v>664</v>
      </c>
      <c r="D35" s="209">
        <v>29</v>
      </c>
      <c r="E35" s="209"/>
      <c r="F35" s="209" t="s">
        <v>665</v>
      </c>
    </row>
    <row r="36" spans="2:6" ht="13.2">
      <c r="B36" s="208" t="s">
        <v>95</v>
      </c>
      <c r="C36" s="124" t="s">
        <v>666</v>
      </c>
      <c r="D36" s="209">
        <v>30</v>
      </c>
      <c r="E36" s="209"/>
      <c r="F36" s="209" t="s">
        <v>667</v>
      </c>
    </row>
    <row r="37" spans="2:6" ht="13.2">
      <c r="B37" s="208" t="s">
        <v>95</v>
      </c>
      <c r="C37" s="124" t="s">
        <v>668</v>
      </c>
      <c r="D37" s="209">
        <v>31</v>
      </c>
      <c r="E37" s="209"/>
      <c r="F37" s="209" t="s">
        <v>669</v>
      </c>
    </row>
    <row r="38" spans="2:6" ht="13.2">
      <c r="B38" s="208" t="s">
        <v>95</v>
      </c>
      <c r="C38" s="124" t="s">
        <v>670</v>
      </c>
      <c r="D38" s="209">
        <v>32</v>
      </c>
      <c r="E38" s="209"/>
      <c r="F38" s="209" t="s">
        <v>671</v>
      </c>
    </row>
    <row r="39" spans="2:6" ht="13.2">
      <c r="B39" s="208" t="s">
        <v>95</v>
      </c>
      <c r="C39" s="124" t="s">
        <v>672</v>
      </c>
      <c r="D39" s="209">
        <v>33</v>
      </c>
      <c r="E39" s="209"/>
      <c r="F39" s="209" t="s">
        <v>673</v>
      </c>
    </row>
    <row r="40" spans="2:6" ht="13.2">
      <c r="B40" s="208" t="s">
        <v>95</v>
      </c>
      <c r="C40" s="124" t="s">
        <v>674</v>
      </c>
      <c r="D40" s="209">
        <v>34</v>
      </c>
      <c r="E40" s="209"/>
      <c r="F40" s="209" t="s">
        <v>675</v>
      </c>
    </row>
    <row r="41" spans="2:6" ht="13.2">
      <c r="B41" s="208" t="s">
        <v>95</v>
      </c>
      <c r="C41" s="124" t="s">
        <v>676</v>
      </c>
      <c r="D41" s="209">
        <v>35</v>
      </c>
      <c r="E41" s="209"/>
      <c r="F41" s="209" t="s">
        <v>677</v>
      </c>
    </row>
    <row r="42" spans="2:6" ht="13.2">
      <c r="B42" s="208" t="s">
        <v>95</v>
      </c>
      <c r="C42" s="124" t="s">
        <v>678</v>
      </c>
      <c r="D42" s="209">
        <v>36</v>
      </c>
      <c r="E42" s="209"/>
      <c r="F42" s="209" t="s">
        <v>679</v>
      </c>
    </row>
    <row r="43" spans="2:6" ht="13.2">
      <c r="B43" s="208" t="s">
        <v>95</v>
      </c>
      <c r="C43" s="124" t="s">
        <v>680</v>
      </c>
      <c r="D43" s="209">
        <v>37</v>
      </c>
      <c r="E43" s="209"/>
      <c r="F43" s="209" t="s">
        <v>681</v>
      </c>
    </row>
    <row r="44" spans="2:6" ht="13.2">
      <c r="B44" s="208" t="s">
        <v>95</v>
      </c>
      <c r="C44" s="124" t="s">
        <v>682</v>
      </c>
      <c r="D44" s="209">
        <v>38</v>
      </c>
      <c r="E44" s="209"/>
      <c r="F44" s="209" t="s">
        <v>683</v>
      </c>
    </row>
    <row r="45" spans="2:6" ht="13.2">
      <c r="B45" s="208" t="s">
        <v>95</v>
      </c>
      <c r="C45" s="124" t="s">
        <v>684</v>
      </c>
      <c r="D45" s="209">
        <v>39</v>
      </c>
      <c r="E45" s="209"/>
      <c r="F45" s="209" t="s">
        <v>685</v>
      </c>
    </row>
    <row r="46" spans="2:6" ht="13.2">
      <c r="B46" s="208" t="s">
        <v>95</v>
      </c>
      <c r="C46" s="124" t="s">
        <v>686</v>
      </c>
      <c r="D46" s="209">
        <v>40</v>
      </c>
      <c r="E46" s="209"/>
      <c r="F46" s="209" t="s">
        <v>687</v>
      </c>
    </row>
    <row r="47" spans="2:6" ht="13.2">
      <c r="B47" s="208" t="s">
        <v>95</v>
      </c>
      <c r="C47" s="124" t="s">
        <v>688</v>
      </c>
      <c r="D47" s="209">
        <v>41</v>
      </c>
      <c r="E47" s="209"/>
      <c r="F47" s="209" t="s">
        <v>689</v>
      </c>
    </row>
    <row r="48" spans="2:6" ht="13.2">
      <c r="B48" s="208" t="s">
        <v>95</v>
      </c>
      <c r="C48" s="124" t="s">
        <v>690</v>
      </c>
      <c r="D48" s="209">
        <v>42</v>
      </c>
      <c r="E48" s="209"/>
      <c r="F48" s="209" t="s">
        <v>691</v>
      </c>
    </row>
    <row r="49" spans="2:6" ht="13.2">
      <c r="B49" s="208" t="s">
        <v>95</v>
      </c>
      <c r="C49" s="124" t="s">
        <v>692</v>
      </c>
      <c r="D49" s="209">
        <v>43</v>
      </c>
      <c r="E49" s="209"/>
      <c r="F49" s="209" t="s">
        <v>693</v>
      </c>
    </row>
    <row r="50" spans="2:6" ht="13.2">
      <c r="B50" s="208" t="s">
        <v>95</v>
      </c>
      <c r="C50" s="124" t="s">
        <v>694</v>
      </c>
      <c r="D50" s="209">
        <v>44</v>
      </c>
      <c r="E50" s="209"/>
      <c r="F50" s="209" t="s">
        <v>695</v>
      </c>
    </row>
    <row r="51" spans="2:6" ht="13.2">
      <c r="B51" s="208" t="s">
        <v>95</v>
      </c>
      <c r="C51" s="124" t="s">
        <v>696</v>
      </c>
      <c r="D51" s="209">
        <v>45</v>
      </c>
      <c r="E51" s="209"/>
      <c r="F51" s="209" t="s">
        <v>697</v>
      </c>
    </row>
    <row r="52" spans="2:6" ht="13.2">
      <c r="B52" s="208" t="s">
        <v>95</v>
      </c>
      <c r="C52" s="124" t="s">
        <v>698</v>
      </c>
      <c r="D52" s="209">
        <v>46</v>
      </c>
      <c r="E52" s="209"/>
      <c r="F52" s="209" t="s">
        <v>699</v>
      </c>
    </row>
    <row r="53" spans="2:6" ht="13.2">
      <c r="B53" s="208" t="s">
        <v>95</v>
      </c>
      <c r="C53" s="124" t="s">
        <v>700</v>
      </c>
      <c r="D53" s="209">
        <v>47</v>
      </c>
      <c r="E53" s="209"/>
      <c r="F53" s="209" t="s">
        <v>701</v>
      </c>
    </row>
    <row r="54" spans="2:6" ht="13.2">
      <c r="B54" s="208" t="s">
        <v>95</v>
      </c>
      <c r="C54" s="124" t="s">
        <v>702</v>
      </c>
      <c r="D54" s="209">
        <v>48</v>
      </c>
      <c r="E54" s="209"/>
      <c r="F54" s="209" t="s">
        <v>703</v>
      </c>
    </row>
    <row r="55" spans="2:6" ht="13.2">
      <c r="B55" s="208" t="s">
        <v>95</v>
      </c>
      <c r="C55" s="124" t="s">
        <v>704</v>
      </c>
      <c r="D55" s="209">
        <v>49</v>
      </c>
      <c r="E55" s="209"/>
      <c r="F55" s="209" t="s">
        <v>705</v>
      </c>
    </row>
    <row r="56" spans="2:6" ht="13.2">
      <c r="B56" s="208" t="s">
        <v>95</v>
      </c>
      <c r="C56" s="124" t="s">
        <v>706</v>
      </c>
      <c r="D56" s="209">
        <v>50</v>
      </c>
      <c r="E56" s="209"/>
      <c r="F56" s="209" t="s">
        <v>707</v>
      </c>
    </row>
    <row r="57" spans="2:6" ht="13.2">
      <c r="B57" s="208" t="s">
        <v>95</v>
      </c>
      <c r="C57" s="124" t="s">
        <v>708</v>
      </c>
      <c r="D57" s="209">
        <v>51</v>
      </c>
      <c r="E57" s="209"/>
      <c r="F57" s="209" t="s">
        <v>709</v>
      </c>
    </row>
    <row r="58" spans="2:6" ht="13.2">
      <c r="B58" s="208" t="s">
        <v>95</v>
      </c>
      <c r="C58" s="124" t="s">
        <v>710</v>
      </c>
      <c r="D58" s="209">
        <v>52</v>
      </c>
      <c r="E58" s="209"/>
      <c r="F58" s="209" t="s">
        <v>711</v>
      </c>
    </row>
    <row r="59" spans="2:6" ht="13.2">
      <c r="B59" s="208" t="s">
        <v>95</v>
      </c>
      <c r="C59" s="124" t="s">
        <v>712</v>
      </c>
      <c r="D59" s="209">
        <v>53</v>
      </c>
      <c r="E59" s="209"/>
      <c r="F59" s="209" t="s">
        <v>713</v>
      </c>
    </row>
    <row r="60" spans="2:6" ht="13.2">
      <c r="B60" s="208" t="s">
        <v>95</v>
      </c>
      <c r="C60" s="124" t="s">
        <v>714</v>
      </c>
      <c r="D60" s="209">
        <v>54</v>
      </c>
      <c r="E60" s="209"/>
      <c r="F60" s="209" t="s">
        <v>715</v>
      </c>
    </row>
    <row r="61" spans="2:6" ht="13.2">
      <c r="B61" s="208" t="s">
        <v>95</v>
      </c>
      <c r="C61" s="124" t="s">
        <v>716</v>
      </c>
      <c r="D61" s="209">
        <v>55</v>
      </c>
      <c r="E61" s="209"/>
      <c r="F61" s="209" t="s">
        <v>717</v>
      </c>
    </row>
    <row r="62" spans="2:6" ht="13.2">
      <c r="B62" s="208" t="s">
        <v>95</v>
      </c>
      <c r="C62" s="124" t="s">
        <v>718</v>
      </c>
      <c r="D62" s="209">
        <v>56</v>
      </c>
      <c r="E62" s="209"/>
      <c r="F62" s="209" t="s">
        <v>719</v>
      </c>
    </row>
    <row r="63" spans="2:6" ht="13.2">
      <c r="B63" s="208" t="s">
        <v>95</v>
      </c>
      <c r="C63" s="124" t="s">
        <v>720</v>
      </c>
      <c r="D63" s="209">
        <v>57</v>
      </c>
      <c r="E63" s="209"/>
      <c r="F63" s="209" t="s">
        <v>721</v>
      </c>
    </row>
    <row r="64" spans="2:6" ht="13.2">
      <c r="B64" s="208" t="s">
        <v>95</v>
      </c>
      <c r="C64" s="124" t="s">
        <v>722</v>
      </c>
      <c r="D64" s="209">
        <v>58</v>
      </c>
      <c r="E64" s="209"/>
      <c r="F64" s="209" t="s">
        <v>723</v>
      </c>
    </row>
    <row r="65" spans="2:6" ht="13.2">
      <c r="B65" s="208" t="s">
        <v>95</v>
      </c>
      <c r="C65" s="124" t="s">
        <v>724</v>
      </c>
      <c r="D65" s="209">
        <v>59</v>
      </c>
      <c r="E65" s="209"/>
      <c r="F65" s="209" t="s">
        <v>725</v>
      </c>
    </row>
    <row r="66" spans="2:6" ht="13.2">
      <c r="B66" s="208" t="s">
        <v>95</v>
      </c>
      <c r="C66" s="124" t="s">
        <v>726</v>
      </c>
      <c r="D66" s="209">
        <v>60</v>
      </c>
      <c r="E66" s="209"/>
      <c r="F66" s="209" t="s">
        <v>727</v>
      </c>
    </row>
    <row r="67" spans="2:6" ht="13.2">
      <c r="B67" s="208" t="s">
        <v>95</v>
      </c>
      <c r="C67" s="124" t="s">
        <v>728</v>
      </c>
      <c r="D67" s="209">
        <v>61</v>
      </c>
      <c r="E67" s="209"/>
      <c r="F67" s="209" t="s">
        <v>729</v>
      </c>
    </row>
    <row r="68" spans="2:6" ht="13.2">
      <c r="B68" s="208" t="s">
        <v>95</v>
      </c>
      <c r="C68" s="124" t="s">
        <v>730</v>
      </c>
      <c r="D68" s="209">
        <v>62</v>
      </c>
      <c r="E68" s="209"/>
      <c r="F68" s="209" t="s">
        <v>731</v>
      </c>
    </row>
    <row r="69" spans="2:6" ht="13.2">
      <c r="B69" s="208" t="s">
        <v>95</v>
      </c>
      <c r="C69" s="124" t="s">
        <v>732</v>
      </c>
      <c r="D69" s="209">
        <v>63</v>
      </c>
      <c r="E69" s="209"/>
      <c r="F69" s="209" t="s">
        <v>733</v>
      </c>
    </row>
    <row r="70" spans="2:6" ht="13.2">
      <c r="B70" s="208" t="s">
        <v>95</v>
      </c>
      <c r="C70" s="124" t="s">
        <v>734</v>
      </c>
      <c r="D70" s="209">
        <v>64</v>
      </c>
      <c r="E70" s="209"/>
      <c r="F70" s="209" t="s">
        <v>735</v>
      </c>
    </row>
    <row r="71" spans="2:6" ht="13.2">
      <c r="B71" s="208" t="s">
        <v>95</v>
      </c>
      <c r="C71" s="124" t="s">
        <v>736</v>
      </c>
      <c r="D71" s="209">
        <v>65</v>
      </c>
      <c r="E71" s="209"/>
      <c r="F71" s="209" t="s">
        <v>737</v>
      </c>
    </row>
    <row r="72" spans="2:6" ht="13.2">
      <c r="B72" s="208" t="s">
        <v>95</v>
      </c>
      <c r="C72" s="124" t="s">
        <v>738</v>
      </c>
      <c r="D72" s="209">
        <v>66</v>
      </c>
      <c r="E72" s="209"/>
      <c r="F72" s="209" t="s">
        <v>739</v>
      </c>
    </row>
    <row r="73" spans="2:6" ht="13.2">
      <c r="B73" s="102" t="s">
        <v>449</v>
      </c>
      <c r="C73" s="102" t="s">
        <v>450</v>
      </c>
      <c r="D73" s="123">
        <v>0</v>
      </c>
      <c r="E73" s="123" t="s">
        <v>172</v>
      </c>
      <c r="F73" s="123" t="s">
        <v>172</v>
      </c>
    </row>
    <row r="74" spans="2:6" ht="13.2">
      <c r="B74" s="102" t="s">
        <v>449</v>
      </c>
      <c r="C74" s="102" t="s">
        <v>451</v>
      </c>
      <c r="D74" s="123">
        <v>1</v>
      </c>
      <c r="E74" s="123" t="s">
        <v>173</v>
      </c>
      <c r="F74" s="123" t="s">
        <v>173</v>
      </c>
    </row>
    <row r="75" spans="2:6" ht="13.2">
      <c r="B75" s="102" t="s">
        <v>449</v>
      </c>
      <c r="C75" s="102" t="s">
        <v>452</v>
      </c>
      <c r="D75" s="123">
        <v>2</v>
      </c>
      <c r="E75" s="123" t="s">
        <v>174</v>
      </c>
      <c r="F75" s="123" t="s">
        <v>174</v>
      </c>
    </row>
    <row r="76" spans="2:6" ht="13.2">
      <c r="B76" s="102" t="s">
        <v>449</v>
      </c>
      <c r="C76" s="102" t="s">
        <v>453</v>
      </c>
      <c r="D76" s="123">
        <v>3</v>
      </c>
      <c r="E76" s="123" t="s">
        <v>175</v>
      </c>
      <c r="F76" s="123" t="s">
        <v>175</v>
      </c>
    </row>
    <row r="77" spans="2:6" ht="13.2">
      <c r="B77" s="102" t="s">
        <v>449</v>
      </c>
      <c r="C77" s="102" t="s">
        <v>454</v>
      </c>
      <c r="D77" s="123">
        <v>4</v>
      </c>
      <c r="E77" s="123" t="s">
        <v>176</v>
      </c>
      <c r="F77" s="123" t="s">
        <v>176</v>
      </c>
    </row>
    <row r="78" spans="2:6" ht="13.2">
      <c r="B78" s="102" t="s">
        <v>449</v>
      </c>
      <c r="C78" s="102" t="s">
        <v>455</v>
      </c>
      <c r="D78" s="123">
        <v>5</v>
      </c>
      <c r="E78" s="123" t="s">
        <v>177</v>
      </c>
      <c r="F78" s="123" t="s">
        <v>177</v>
      </c>
    </row>
    <row r="79" spans="2:6" ht="13.2">
      <c r="B79" s="102" t="s">
        <v>449</v>
      </c>
      <c r="C79" s="102" t="s">
        <v>456</v>
      </c>
      <c r="D79" s="123">
        <v>6</v>
      </c>
      <c r="E79" s="123" t="s">
        <v>178</v>
      </c>
      <c r="F79" s="123" t="s">
        <v>178</v>
      </c>
    </row>
    <row r="80" spans="2:6" ht="13.2">
      <c r="B80" s="102" t="s">
        <v>449</v>
      </c>
      <c r="C80" s="102" t="s">
        <v>457</v>
      </c>
      <c r="D80" s="123">
        <v>7</v>
      </c>
      <c r="E80" s="123" t="s">
        <v>179</v>
      </c>
      <c r="F80" s="123" t="s">
        <v>179</v>
      </c>
    </row>
    <row r="81" spans="2:6" ht="13.2">
      <c r="B81" s="102" t="s">
        <v>449</v>
      </c>
      <c r="C81" s="102" t="s">
        <v>458</v>
      </c>
      <c r="D81" s="123">
        <v>8</v>
      </c>
      <c r="E81" s="123" t="s">
        <v>180</v>
      </c>
      <c r="F81" s="123" t="s">
        <v>180</v>
      </c>
    </row>
    <row r="82" spans="2:6" ht="13.2">
      <c r="B82" s="102" t="s">
        <v>449</v>
      </c>
      <c r="C82" s="102" t="s">
        <v>459</v>
      </c>
      <c r="D82" s="123">
        <v>9</v>
      </c>
      <c r="E82" s="123" t="s">
        <v>181</v>
      </c>
      <c r="F82" s="123" t="s">
        <v>181</v>
      </c>
    </row>
    <row r="83" spans="2:6" ht="13.2">
      <c r="B83" s="102" t="s">
        <v>449</v>
      </c>
      <c r="C83" s="102" t="s">
        <v>460</v>
      </c>
      <c r="D83" s="123">
        <v>10</v>
      </c>
      <c r="E83" s="123" t="s">
        <v>182</v>
      </c>
      <c r="F83" s="123" t="s">
        <v>182</v>
      </c>
    </row>
    <row r="84" spans="2:6" ht="13.2">
      <c r="B84" s="102" t="s">
        <v>449</v>
      </c>
      <c r="C84" s="102" t="s">
        <v>461</v>
      </c>
      <c r="D84" s="123">
        <v>11</v>
      </c>
      <c r="E84" s="123" t="s">
        <v>183</v>
      </c>
      <c r="F84" s="123" t="s">
        <v>183</v>
      </c>
    </row>
    <row r="85" spans="2:6" ht="13.2">
      <c r="B85" s="102" t="s">
        <v>449</v>
      </c>
      <c r="C85" s="102" t="s">
        <v>462</v>
      </c>
      <c r="D85" s="123">
        <v>12</v>
      </c>
      <c r="E85" s="123" t="s">
        <v>184</v>
      </c>
      <c r="F85" s="123" t="s">
        <v>184</v>
      </c>
    </row>
    <row r="86" spans="2:6" ht="13.2">
      <c r="B86" s="102" t="s">
        <v>449</v>
      </c>
      <c r="C86" s="102" t="s">
        <v>463</v>
      </c>
      <c r="D86" s="123">
        <v>13</v>
      </c>
      <c r="E86" s="123" t="s">
        <v>185</v>
      </c>
      <c r="F86" s="123" t="s">
        <v>185</v>
      </c>
    </row>
    <row r="87" spans="2:6" ht="13.2">
      <c r="B87" s="102" t="s">
        <v>449</v>
      </c>
      <c r="C87" s="102" t="s">
        <v>464</v>
      </c>
      <c r="D87" s="123">
        <v>14</v>
      </c>
      <c r="E87" s="123" t="s">
        <v>186</v>
      </c>
      <c r="F87" s="123" t="s">
        <v>186</v>
      </c>
    </row>
    <row r="88" spans="2:6" ht="13.2">
      <c r="B88" s="102" t="s">
        <v>449</v>
      </c>
      <c r="C88" s="102" t="s">
        <v>465</v>
      </c>
      <c r="D88" s="123">
        <v>15</v>
      </c>
      <c r="E88" s="123" t="s">
        <v>187</v>
      </c>
      <c r="F88" s="123" t="s">
        <v>187</v>
      </c>
    </row>
    <row r="89" spans="2:6" ht="13.2">
      <c r="B89" s="102" t="s">
        <v>449</v>
      </c>
      <c r="C89" s="102" t="s">
        <v>466</v>
      </c>
      <c r="D89" s="123">
        <v>16</v>
      </c>
      <c r="E89" s="123" t="s">
        <v>188</v>
      </c>
      <c r="F89" s="123" t="s">
        <v>188</v>
      </c>
    </row>
    <row r="90" spans="2:6" ht="13.2">
      <c r="B90" s="102" t="s">
        <v>449</v>
      </c>
      <c r="C90" s="102" t="s">
        <v>467</v>
      </c>
      <c r="D90" s="123">
        <v>17</v>
      </c>
      <c r="E90" s="123" t="s">
        <v>189</v>
      </c>
      <c r="F90" s="123" t="s">
        <v>189</v>
      </c>
    </row>
    <row r="91" spans="2:6" ht="13.2">
      <c r="B91" s="102" t="s">
        <v>449</v>
      </c>
      <c r="C91" s="102" t="s">
        <v>468</v>
      </c>
      <c r="D91" s="123">
        <v>18</v>
      </c>
      <c r="E91" s="123" t="s">
        <v>190</v>
      </c>
      <c r="F91" s="123" t="s">
        <v>190</v>
      </c>
    </row>
    <row r="92" spans="2:6" ht="13.2">
      <c r="B92" s="123" t="s">
        <v>120</v>
      </c>
      <c r="C92" s="102" t="s">
        <v>469</v>
      </c>
      <c r="D92" s="123">
        <v>0</v>
      </c>
      <c r="E92" s="123" t="s">
        <v>101</v>
      </c>
      <c r="F92" s="123" t="s">
        <v>470</v>
      </c>
    </row>
    <row r="93" spans="2:6" ht="13.2">
      <c r="B93" s="123" t="s">
        <v>122</v>
      </c>
      <c r="C93" s="102" t="s">
        <v>471</v>
      </c>
      <c r="D93" s="123">
        <v>0</v>
      </c>
      <c r="E93" s="123" t="s">
        <v>191</v>
      </c>
      <c r="F93" s="123" t="s">
        <v>472</v>
      </c>
    </row>
    <row r="94" spans="2:6" ht="13.2">
      <c r="B94" s="123" t="s">
        <v>122</v>
      </c>
      <c r="C94" s="102" t="s">
        <v>458</v>
      </c>
      <c r="D94" s="123">
        <v>1</v>
      </c>
      <c r="E94" s="123" t="s">
        <v>192</v>
      </c>
      <c r="F94" s="123" t="s">
        <v>473</v>
      </c>
    </row>
    <row r="95" spans="2:6" ht="13.2">
      <c r="B95" s="123" t="s">
        <v>122</v>
      </c>
      <c r="C95" s="102" t="s">
        <v>474</v>
      </c>
      <c r="D95" s="123">
        <v>2</v>
      </c>
      <c r="E95" s="123" t="s">
        <v>193</v>
      </c>
      <c r="F95" s="123" t="s">
        <v>475</v>
      </c>
    </row>
    <row r="96" spans="2:6" ht="13.2">
      <c r="B96" s="123" t="s">
        <v>122</v>
      </c>
      <c r="C96" s="102" t="s">
        <v>476</v>
      </c>
      <c r="D96" s="123">
        <v>3</v>
      </c>
      <c r="E96" s="123" t="s">
        <v>194</v>
      </c>
      <c r="F96" s="123" t="s">
        <v>477</v>
      </c>
    </row>
    <row r="97" spans="2:6" ht="13.2">
      <c r="B97" s="123" t="s">
        <v>122</v>
      </c>
      <c r="C97" s="102" t="s">
        <v>478</v>
      </c>
      <c r="D97" s="123">
        <v>4</v>
      </c>
      <c r="E97" s="123" t="s">
        <v>195</v>
      </c>
      <c r="F97" s="123" t="s">
        <v>479</v>
      </c>
    </row>
    <row r="98" spans="2:6" ht="13.2">
      <c r="B98" s="123" t="s">
        <v>124</v>
      </c>
      <c r="C98" s="102" t="s">
        <v>480</v>
      </c>
      <c r="D98" s="123">
        <v>0</v>
      </c>
      <c r="E98" s="123" t="s">
        <v>196</v>
      </c>
      <c r="F98" s="123" t="s">
        <v>481</v>
      </c>
    </row>
    <row r="99" spans="2:6" ht="13.2">
      <c r="B99" s="123" t="s">
        <v>124</v>
      </c>
      <c r="C99" s="102" t="s">
        <v>482</v>
      </c>
      <c r="D99" s="123">
        <v>1</v>
      </c>
      <c r="E99" s="123" t="s">
        <v>197</v>
      </c>
      <c r="F99" s="123" t="s">
        <v>483</v>
      </c>
    </row>
    <row r="100" spans="2:6" ht="13.2">
      <c r="B100" s="123" t="s">
        <v>124</v>
      </c>
      <c r="C100" s="102" t="s">
        <v>740</v>
      </c>
      <c r="D100" s="123">
        <v>2</v>
      </c>
      <c r="E100" s="123" t="s">
        <v>198</v>
      </c>
      <c r="F100" s="123" t="s">
        <v>484</v>
      </c>
    </row>
    <row r="101" spans="2:6" ht="13.2">
      <c r="B101" s="123" t="s">
        <v>124</v>
      </c>
      <c r="C101" s="102" t="s">
        <v>485</v>
      </c>
      <c r="D101" s="123">
        <v>3</v>
      </c>
      <c r="E101" s="123" t="s">
        <v>199</v>
      </c>
      <c r="F101" s="123" t="s">
        <v>486</v>
      </c>
    </row>
    <row r="102" spans="2:6" ht="13.2">
      <c r="B102" s="123" t="s">
        <v>124</v>
      </c>
      <c r="C102" s="102" t="s">
        <v>487</v>
      </c>
      <c r="D102" s="123">
        <v>4</v>
      </c>
      <c r="E102" s="123" t="s">
        <v>200</v>
      </c>
      <c r="F102" s="123" t="s">
        <v>488</v>
      </c>
    </row>
    <row r="103" spans="2:6" ht="13.2">
      <c r="B103" s="123" t="s">
        <v>124</v>
      </c>
      <c r="C103" s="102" t="s">
        <v>489</v>
      </c>
      <c r="D103" s="123">
        <v>5</v>
      </c>
      <c r="E103" s="123" t="s">
        <v>201</v>
      </c>
      <c r="F103" s="123" t="s">
        <v>490</v>
      </c>
    </row>
    <row r="104" spans="2:6" ht="13.2">
      <c r="B104" s="123" t="s">
        <v>124</v>
      </c>
      <c r="C104" s="102" t="s">
        <v>491</v>
      </c>
      <c r="D104" s="123">
        <v>6</v>
      </c>
      <c r="E104" s="123" t="s">
        <v>202</v>
      </c>
      <c r="F104" s="123" t="s">
        <v>492</v>
      </c>
    </row>
    <row r="105" spans="2:6" ht="13.2">
      <c r="B105" s="123" t="s">
        <v>124</v>
      </c>
      <c r="C105" s="102" t="s">
        <v>493</v>
      </c>
      <c r="D105" s="123">
        <v>7</v>
      </c>
      <c r="E105" s="123" t="s">
        <v>203</v>
      </c>
      <c r="F105" s="123" t="s">
        <v>494</v>
      </c>
    </row>
    <row r="106" spans="2:6" ht="13.2">
      <c r="B106" s="123" t="s">
        <v>124</v>
      </c>
      <c r="C106" s="102" t="s">
        <v>495</v>
      </c>
      <c r="D106" s="123">
        <v>8</v>
      </c>
      <c r="E106" s="123" t="s">
        <v>204</v>
      </c>
      <c r="F106" s="123" t="s">
        <v>496</v>
      </c>
    </row>
    <row r="107" spans="2:6" ht="13.2">
      <c r="B107" s="123" t="s">
        <v>124</v>
      </c>
      <c r="C107" s="102" t="s">
        <v>497</v>
      </c>
      <c r="D107" s="123">
        <v>9</v>
      </c>
      <c r="E107" s="123" t="s">
        <v>205</v>
      </c>
      <c r="F107" s="123" t="s">
        <v>498</v>
      </c>
    </row>
    <row r="108" spans="2:6" ht="13.2">
      <c r="B108" s="123" t="s">
        <v>124</v>
      </c>
      <c r="C108" s="102" t="s">
        <v>499</v>
      </c>
      <c r="D108" s="123">
        <v>10</v>
      </c>
      <c r="E108" s="123" t="s">
        <v>206</v>
      </c>
      <c r="F108" s="123" t="s">
        <v>500</v>
      </c>
    </row>
    <row r="109" spans="2:6" ht="13.2">
      <c r="B109" s="123" t="s">
        <v>124</v>
      </c>
      <c r="C109" s="102" t="s">
        <v>501</v>
      </c>
      <c r="D109" s="123">
        <v>11</v>
      </c>
      <c r="E109" s="123" t="s">
        <v>207</v>
      </c>
      <c r="F109" s="123" t="s">
        <v>741</v>
      </c>
    </row>
    <row r="110" spans="2:6" ht="13.2">
      <c r="B110" s="123" t="s">
        <v>94</v>
      </c>
      <c r="C110" s="102" t="s">
        <v>502</v>
      </c>
      <c r="D110" s="123">
        <v>0</v>
      </c>
      <c r="E110" s="123" t="s">
        <v>208</v>
      </c>
      <c r="F110" s="123" t="s">
        <v>208</v>
      </c>
    </row>
    <row r="111" spans="2:6" ht="13.2">
      <c r="B111" s="123" t="s">
        <v>94</v>
      </c>
      <c r="C111" s="102" t="s">
        <v>503</v>
      </c>
      <c r="D111" s="123">
        <v>1</v>
      </c>
      <c r="E111" s="123" t="s">
        <v>209</v>
      </c>
      <c r="F111" s="123" t="s">
        <v>209</v>
      </c>
    </row>
    <row r="112" spans="2:6" ht="13.2">
      <c r="B112" s="123" t="s">
        <v>94</v>
      </c>
      <c r="C112" s="102" t="s">
        <v>504</v>
      </c>
      <c r="D112" s="123">
        <v>2</v>
      </c>
      <c r="E112" s="123" t="s">
        <v>210</v>
      </c>
      <c r="F112" s="123" t="s">
        <v>210</v>
      </c>
    </row>
    <row r="113" spans="2:6" ht="13.2">
      <c r="B113" s="123" t="s">
        <v>94</v>
      </c>
      <c r="C113" s="102" t="s">
        <v>505</v>
      </c>
      <c r="D113" s="123">
        <v>3</v>
      </c>
      <c r="E113" s="123" t="s">
        <v>211</v>
      </c>
      <c r="F113" s="123" t="s">
        <v>211</v>
      </c>
    </row>
    <row r="114" spans="2:6" ht="13.2">
      <c r="B114" s="123" t="s">
        <v>94</v>
      </c>
      <c r="C114" s="102" t="s">
        <v>506</v>
      </c>
      <c r="D114" s="123">
        <v>4</v>
      </c>
      <c r="E114" s="123" t="s">
        <v>212</v>
      </c>
      <c r="F114" s="123" t="s">
        <v>212</v>
      </c>
    </row>
    <row r="115" spans="2:6" ht="13.2">
      <c r="B115" s="123" t="s">
        <v>94</v>
      </c>
      <c r="C115" s="102" t="s">
        <v>507</v>
      </c>
      <c r="D115" s="123">
        <v>5</v>
      </c>
      <c r="E115" s="123" t="s">
        <v>213</v>
      </c>
      <c r="F115" s="123" t="s">
        <v>213</v>
      </c>
    </row>
    <row r="116" spans="2:6" ht="13.2">
      <c r="B116" s="123" t="s">
        <v>94</v>
      </c>
      <c r="C116" s="102" t="s">
        <v>508</v>
      </c>
      <c r="D116" s="123">
        <v>6</v>
      </c>
      <c r="E116" s="123" t="s">
        <v>214</v>
      </c>
      <c r="F116" s="123" t="s">
        <v>213</v>
      </c>
    </row>
    <row r="117" spans="2:6" ht="13.2">
      <c r="B117" s="123" t="s">
        <v>78</v>
      </c>
      <c r="C117" s="102" t="s">
        <v>509</v>
      </c>
      <c r="D117" s="123">
        <v>0</v>
      </c>
      <c r="E117" s="102" t="s">
        <v>509</v>
      </c>
      <c r="F117" s="123" t="s">
        <v>510</v>
      </c>
    </row>
    <row r="118" spans="2:6" ht="13.2">
      <c r="B118" s="123" t="s">
        <v>78</v>
      </c>
      <c r="C118" s="102" t="s">
        <v>511</v>
      </c>
      <c r="D118" s="123">
        <v>1</v>
      </c>
      <c r="E118" s="102" t="s">
        <v>511</v>
      </c>
      <c r="F118" s="123" t="s">
        <v>512</v>
      </c>
    </row>
    <row r="119" spans="2:6" ht="13.2">
      <c r="B119" s="123" t="s">
        <v>78</v>
      </c>
      <c r="C119" s="102" t="s">
        <v>513</v>
      </c>
      <c r="D119" s="123">
        <v>2</v>
      </c>
      <c r="E119" s="102" t="s">
        <v>513</v>
      </c>
      <c r="F119" s="123" t="s">
        <v>514</v>
      </c>
    </row>
    <row r="120" spans="2:6" ht="13.2">
      <c r="B120" s="123" t="s">
        <v>78</v>
      </c>
      <c r="C120" s="102" t="s">
        <v>515</v>
      </c>
      <c r="D120" s="123">
        <v>3</v>
      </c>
      <c r="E120" s="102" t="s">
        <v>515</v>
      </c>
      <c r="F120" s="123" t="s">
        <v>516</v>
      </c>
    </row>
    <row r="121" spans="2:6" ht="13.2">
      <c r="B121" s="123" t="s">
        <v>78</v>
      </c>
      <c r="C121" s="102" t="s">
        <v>517</v>
      </c>
      <c r="D121" s="123">
        <v>4</v>
      </c>
      <c r="E121" s="102" t="s">
        <v>517</v>
      </c>
      <c r="F121" s="123" t="s">
        <v>518</v>
      </c>
    </row>
    <row r="122" spans="2:6" ht="13.2">
      <c r="B122" s="123" t="s">
        <v>151</v>
      </c>
      <c r="C122" s="177" t="s">
        <v>519</v>
      </c>
      <c r="D122" s="123">
        <v>0</v>
      </c>
      <c r="E122" s="177" t="b">
        <v>0</v>
      </c>
      <c r="F122" s="177" t="s">
        <v>520</v>
      </c>
    </row>
    <row r="123" spans="2:6" ht="13.2">
      <c r="B123" s="123" t="s">
        <v>151</v>
      </c>
      <c r="C123" s="177" t="s">
        <v>521</v>
      </c>
      <c r="D123" s="123">
        <v>1</v>
      </c>
      <c r="E123" s="177" t="b">
        <v>1</v>
      </c>
      <c r="F123" s="177" t="s">
        <v>522</v>
      </c>
    </row>
    <row r="124" spans="2:6" ht="13.2">
      <c r="B124" s="123" t="s">
        <v>152</v>
      </c>
      <c r="C124" s="102" t="s">
        <v>523</v>
      </c>
      <c r="D124" s="123">
        <v>0</v>
      </c>
      <c r="E124" s="123" t="s">
        <v>215</v>
      </c>
      <c r="F124" s="123" t="s">
        <v>524</v>
      </c>
    </row>
    <row r="125" spans="2:6" ht="13.2">
      <c r="B125" s="123" t="s">
        <v>152</v>
      </c>
      <c r="C125" s="102" t="s">
        <v>525</v>
      </c>
      <c r="D125" s="123">
        <v>1</v>
      </c>
      <c r="E125" s="123" t="s">
        <v>216</v>
      </c>
      <c r="F125" s="123" t="s">
        <v>526</v>
      </c>
    </row>
    <row r="126" spans="2:6" ht="13.2">
      <c r="B126" s="123" t="s">
        <v>153</v>
      </c>
      <c r="C126" s="102" t="s">
        <v>458</v>
      </c>
      <c r="D126" s="123">
        <v>0</v>
      </c>
      <c r="E126" s="123" t="s">
        <v>192</v>
      </c>
      <c r="F126" s="123" t="s">
        <v>473</v>
      </c>
    </row>
    <row r="127" spans="2:6" ht="13.2">
      <c r="B127" s="123" t="s">
        <v>153</v>
      </c>
      <c r="C127" s="102" t="s">
        <v>474</v>
      </c>
      <c r="D127" s="123">
        <v>1</v>
      </c>
      <c r="E127" s="123" t="s">
        <v>217</v>
      </c>
      <c r="F127" s="123" t="s">
        <v>475</v>
      </c>
    </row>
    <row r="128" spans="2:6" ht="13.2">
      <c r="B128" s="123" t="s">
        <v>154</v>
      </c>
      <c r="C128" s="102" t="s">
        <v>504</v>
      </c>
      <c r="D128" s="123">
        <v>0</v>
      </c>
      <c r="E128" s="123" t="s">
        <v>218</v>
      </c>
      <c r="F128" s="123" t="s">
        <v>527</v>
      </c>
    </row>
    <row r="129" spans="2:6" ht="13.2">
      <c r="B129" s="123" t="s">
        <v>154</v>
      </c>
      <c r="C129" s="102" t="s">
        <v>528</v>
      </c>
      <c r="D129" s="123">
        <v>1</v>
      </c>
      <c r="E129" s="123" t="s">
        <v>219</v>
      </c>
      <c r="F129" s="123" t="s">
        <v>529</v>
      </c>
    </row>
    <row r="130" spans="2:6" ht="13.2">
      <c r="B130" s="123" t="s">
        <v>155</v>
      </c>
      <c r="C130" s="102" t="s">
        <v>441</v>
      </c>
      <c r="D130" s="123">
        <v>0</v>
      </c>
      <c r="E130" s="102" t="s">
        <v>530</v>
      </c>
      <c r="F130" s="123" t="s">
        <v>531</v>
      </c>
    </row>
    <row r="131" spans="2:6" ht="13.2">
      <c r="B131" s="123" t="s">
        <v>155</v>
      </c>
      <c r="C131" s="102" t="s">
        <v>532</v>
      </c>
      <c r="D131" s="123">
        <v>1</v>
      </c>
      <c r="E131" s="123" t="s">
        <v>220</v>
      </c>
      <c r="F131" s="123" t="s">
        <v>533</v>
      </c>
    </row>
    <row r="132" spans="2:6" ht="13.2">
      <c r="B132" s="123" t="s">
        <v>156</v>
      </c>
      <c r="C132" s="123" t="s">
        <v>221</v>
      </c>
      <c r="D132" s="123">
        <v>0</v>
      </c>
      <c r="E132" s="102" t="s">
        <v>11</v>
      </c>
      <c r="F132" s="123" t="s">
        <v>534</v>
      </c>
    </row>
    <row r="133" spans="2:6" ht="13.2">
      <c r="B133" s="123" t="s">
        <v>156</v>
      </c>
      <c r="C133" s="123" t="s">
        <v>222</v>
      </c>
      <c r="D133" s="123">
        <v>1</v>
      </c>
      <c r="E133" s="102" t="s">
        <v>535</v>
      </c>
      <c r="F133" s="123" t="s">
        <v>486</v>
      </c>
    </row>
    <row r="134" spans="2:6" ht="13.2">
      <c r="B134" s="123" t="s">
        <v>156</v>
      </c>
      <c r="C134" s="123" t="s">
        <v>223</v>
      </c>
      <c r="D134" s="123">
        <v>2</v>
      </c>
      <c r="E134" s="102" t="s">
        <v>536</v>
      </c>
      <c r="F134" s="123" t="s">
        <v>481</v>
      </c>
    </row>
    <row r="135" spans="2:6" ht="13.2">
      <c r="B135" s="123" t="s">
        <v>157</v>
      </c>
      <c r="C135" s="178" t="s">
        <v>537</v>
      </c>
      <c r="D135" s="123">
        <v>0</v>
      </c>
      <c r="E135" s="102" t="s">
        <v>538</v>
      </c>
      <c r="F135" s="123" t="s">
        <v>224</v>
      </c>
    </row>
    <row r="136" spans="2:6" ht="13.2">
      <c r="B136" s="123" t="s">
        <v>157</v>
      </c>
      <c r="C136" s="178" t="s">
        <v>539</v>
      </c>
      <c r="D136" s="123">
        <v>1</v>
      </c>
      <c r="E136" s="123" t="s">
        <v>225</v>
      </c>
      <c r="F136" s="123" t="s">
        <v>225</v>
      </c>
    </row>
    <row r="137" spans="2:6" ht="13.2">
      <c r="B137" s="123" t="s">
        <v>157</v>
      </c>
      <c r="C137" s="178" t="s">
        <v>540</v>
      </c>
      <c r="D137" s="123">
        <v>2</v>
      </c>
      <c r="E137" s="123" t="s">
        <v>226</v>
      </c>
      <c r="F137" s="123" t="s">
        <v>226</v>
      </c>
    </row>
    <row r="138" spans="2:6" ht="13.2">
      <c r="B138" s="123" t="s">
        <v>157</v>
      </c>
      <c r="C138" s="178" t="s">
        <v>541</v>
      </c>
      <c r="D138" s="123">
        <v>3</v>
      </c>
      <c r="E138" s="123" t="s">
        <v>227</v>
      </c>
      <c r="F138" s="123" t="s">
        <v>227</v>
      </c>
    </row>
    <row r="139" spans="2:6" ht="13.2">
      <c r="B139" s="123" t="s">
        <v>157</v>
      </c>
      <c r="C139" s="178" t="s">
        <v>542</v>
      </c>
      <c r="D139" s="123">
        <v>4</v>
      </c>
      <c r="E139" s="123" t="s">
        <v>228</v>
      </c>
      <c r="F139" s="123" t="s">
        <v>228</v>
      </c>
    </row>
    <row r="140" spans="2:6" ht="13.2">
      <c r="B140" s="123" t="s">
        <v>157</v>
      </c>
      <c r="C140" s="178" t="s">
        <v>543</v>
      </c>
      <c r="D140" s="123">
        <v>5</v>
      </c>
      <c r="E140" s="123" t="s">
        <v>229</v>
      </c>
      <c r="F140" s="123" t="s">
        <v>229</v>
      </c>
    </row>
    <row r="141" spans="2:6" ht="13.2">
      <c r="B141" s="123" t="s">
        <v>157</v>
      </c>
      <c r="C141" s="178" t="s">
        <v>544</v>
      </c>
      <c r="D141" s="123">
        <v>6</v>
      </c>
      <c r="E141" s="123" t="s">
        <v>230</v>
      </c>
      <c r="F141" s="123" t="s">
        <v>230</v>
      </c>
    </row>
    <row r="142" spans="2:6" ht="13.2">
      <c r="B142" s="123" t="s">
        <v>158</v>
      </c>
      <c r="C142" s="102" t="s">
        <v>545</v>
      </c>
      <c r="D142" s="123">
        <v>0</v>
      </c>
      <c r="E142" s="123" t="s">
        <v>231</v>
      </c>
      <c r="F142" s="123" t="s">
        <v>231</v>
      </c>
    </row>
    <row r="143" spans="2:6" ht="13.2">
      <c r="B143" s="123" t="s">
        <v>158</v>
      </c>
      <c r="C143" s="102" t="s">
        <v>504</v>
      </c>
      <c r="D143" s="123">
        <v>1</v>
      </c>
      <c r="E143" s="123" t="s">
        <v>232</v>
      </c>
      <c r="F143" s="123" t="s">
        <v>232</v>
      </c>
    </row>
    <row r="144" spans="2:6" ht="13.2">
      <c r="B144" s="123" t="s">
        <v>159</v>
      </c>
      <c r="C144" s="102" t="s">
        <v>546</v>
      </c>
      <c r="D144" s="123">
        <v>0</v>
      </c>
      <c r="E144" s="123" t="s">
        <v>233</v>
      </c>
      <c r="F144" s="123" t="s">
        <v>547</v>
      </c>
    </row>
    <row r="145" spans="2:6" ht="13.2">
      <c r="B145" s="123" t="s">
        <v>159</v>
      </c>
      <c r="C145" s="102" t="s">
        <v>548</v>
      </c>
      <c r="D145" s="123">
        <v>1</v>
      </c>
      <c r="E145" s="123" t="s">
        <v>234</v>
      </c>
      <c r="F145" s="123" t="s">
        <v>549</v>
      </c>
    </row>
    <row r="146" spans="2:6" ht="13.2">
      <c r="B146" s="123" t="s">
        <v>160</v>
      </c>
      <c r="C146" s="102" t="s">
        <v>550</v>
      </c>
      <c r="D146" s="123">
        <v>0</v>
      </c>
      <c r="E146" s="123" t="s">
        <v>235</v>
      </c>
      <c r="F146" s="123" t="s">
        <v>551</v>
      </c>
    </row>
    <row r="147" spans="2:6" ht="13.2">
      <c r="B147" s="123" t="s">
        <v>160</v>
      </c>
      <c r="C147" s="102" t="s">
        <v>552</v>
      </c>
      <c r="D147" s="123">
        <v>1</v>
      </c>
      <c r="E147" s="123" t="s">
        <v>236</v>
      </c>
      <c r="F147" s="123" t="s">
        <v>553</v>
      </c>
    </row>
    <row r="148" spans="2:6" ht="13.2">
      <c r="B148" s="123" t="s">
        <v>161</v>
      </c>
      <c r="C148" s="102" t="s">
        <v>554</v>
      </c>
      <c r="D148" s="123">
        <v>0</v>
      </c>
      <c r="E148" s="123" t="s">
        <v>237</v>
      </c>
      <c r="F148" s="123" t="s">
        <v>555</v>
      </c>
    </row>
    <row r="149" spans="2:6" ht="13.2">
      <c r="B149" s="123" t="s">
        <v>161</v>
      </c>
      <c r="C149" s="102" t="s">
        <v>556</v>
      </c>
      <c r="D149" s="123">
        <v>1</v>
      </c>
      <c r="E149" s="123" t="s">
        <v>238</v>
      </c>
      <c r="F149" s="123" t="s">
        <v>557</v>
      </c>
    </row>
    <row r="150" spans="2:6" ht="13.2">
      <c r="B150" s="123" t="s">
        <v>162</v>
      </c>
      <c r="C150" s="102" t="s">
        <v>558</v>
      </c>
      <c r="D150" s="123">
        <v>0</v>
      </c>
      <c r="E150" s="123" t="s">
        <v>239</v>
      </c>
      <c r="F150" s="123" t="s">
        <v>239</v>
      </c>
    </row>
    <row r="151" spans="2:6" ht="13.2">
      <c r="B151" s="123" t="s">
        <v>162</v>
      </c>
      <c r="C151" s="102" t="s">
        <v>559</v>
      </c>
      <c r="D151" s="123">
        <v>1</v>
      </c>
      <c r="E151" s="123" t="s">
        <v>240</v>
      </c>
      <c r="F151" s="123" t="s">
        <v>240</v>
      </c>
    </row>
    <row r="152" spans="2:6" ht="13.2">
      <c r="B152" s="123" t="s">
        <v>162</v>
      </c>
      <c r="C152" s="102" t="s">
        <v>560</v>
      </c>
      <c r="D152" s="123">
        <v>2</v>
      </c>
      <c r="E152" s="123" t="s">
        <v>241</v>
      </c>
      <c r="F152" s="123" t="s">
        <v>241</v>
      </c>
    </row>
    <row r="153" spans="2:6" ht="13.2">
      <c r="B153" s="123" t="s">
        <v>162</v>
      </c>
      <c r="C153" s="102" t="s">
        <v>561</v>
      </c>
      <c r="D153" s="123">
        <v>3</v>
      </c>
      <c r="E153" s="123" t="s">
        <v>242</v>
      </c>
      <c r="F153" s="123" t="s">
        <v>242</v>
      </c>
    </row>
    <row r="154" spans="2:6" ht="13.2">
      <c r="B154" s="123" t="s">
        <v>162</v>
      </c>
      <c r="C154" s="102" t="s">
        <v>562</v>
      </c>
      <c r="D154" s="123">
        <v>4</v>
      </c>
      <c r="E154" s="123" t="s">
        <v>243</v>
      </c>
      <c r="F154" s="123" t="s">
        <v>243</v>
      </c>
    </row>
    <row r="155" spans="2:6" ht="13.2">
      <c r="B155" s="123" t="s">
        <v>163</v>
      </c>
      <c r="C155" s="102" t="s">
        <v>563</v>
      </c>
      <c r="D155" s="123">
        <v>0</v>
      </c>
      <c r="E155" s="123" t="s">
        <v>244</v>
      </c>
      <c r="F155" s="123" t="s">
        <v>244</v>
      </c>
    </row>
    <row r="156" spans="2:6" ht="13.2">
      <c r="B156" s="123" t="s">
        <v>163</v>
      </c>
      <c r="C156" s="102" t="s">
        <v>564</v>
      </c>
      <c r="D156" s="123">
        <v>1</v>
      </c>
      <c r="E156" s="123" t="s">
        <v>245</v>
      </c>
      <c r="F156" s="123" t="s">
        <v>245</v>
      </c>
    </row>
    <row r="157" spans="2:6" ht="13.2">
      <c r="B157" s="123" t="s">
        <v>163</v>
      </c>
      <c r="C157" s="102" t="s">
        <v>565</v>
      </c>
      <c r="D157" s="123">
        <v>2</v>
      </c>
      <c r="E157" s="123" t="s">
        <v>246</v>
      </c>
      <c r="F157" s="123" t="s">
        <v>246</v>
      </c>
    </row>
    <row r="158" spans="2:6" ht="13.2">
      <c r="B158" s="123" t="s">
        <v>163</v>
      </c>
      <c r="C158" s="102" t="s">
        <v>566</v>
      </c>
      <c r="D158" s="123">
        <v>3</v>
      </c>
      <c r="E158" s="123" t="s">
        <v>247</v>
      </c>
      <c r="F158" s="123" t="s">
        <v>247</v>
      </c>
    </row>
    <row r="159" spans="2:6" ht="13.2">
      <c r="B159" s="123" t="s">
        <v>163</v>
      </c>
      <c r="C159" s="102" t="s">
        <v>567</v>
      </c>
      <c r="D159" s="123">
        <v>4</v>
      </c>
      <c r="E159" s="123" t="s">
        <v>248</v>
      </c>
      <c r="F159" s="123" t="s">
        <v>248</v>
      </c>
    </row>
    <row r="160" spans="2:6" ht="13.2">
      <c r="B160" s="123" t="s">
        <v>163</v>
      </c>
      <c r="C160" s="102" t="s">
        <v>568</v>
      </c>
      <c r="D160" s="123">
        <v>5</v>
      </c>
      <c r="E160" s="123" t="s">
        <v>249</v>
      </c>
      <c r="F160" s="123" t="s">
        <v>249</v>
      </c>
    </row>
    <row r="161" spans="2:6" ht="13.2">
      <c r="B161" s="123" t="s">
        <v>163</v>
      </c>
      <c r="C161" s="102" t="s">
        <v>569</v>
      </c>
      <c r="D161" s="123">
        <v>6</v>
      </c>
      <c r="E161" s="123" t="s">
        <v>250</v>
      </c>
      <c r="F161" s="123" t="s">
        <v>250</v>
      </c>
    </row>
    <row r="162" spans="2:6" ht="13.2">
      <c r="B162" s="123" t="s">
        <v>93</v>
      </c>
      <c r="C162" s="102" t="s">
        <v>570</v>
      </c>
      <c r="D162" s="123">
        <v>0</v>
      </c>
      <c r="E162" s="123" t="s">
        <v>126</v>
      </c>
      <c r="F162" s="123" t="s">
        <v>571</v>
      </c>
    </row>
    <row r="163" spans="2:6" ht="13.2">
      <c r="B163" s="123" t="s">
        <v>93</v>
      </c>
      <c r="C163" s="102" t="s">
        <v>572</v>
      </c>
      <c r="D163" s="123">
        <v>0</v>
      </c>
      <c r="E163" s="123" t="s">
        <v>127</v>
      </c>
      <c r="F163" s="123" t="s">
        <v>573</v>
      </c>
    </row>
    <row r="164" spans="2:6" ht="13.2">
      <c r="B164" s="123" t="s">
        <v>93</v>
      </c>
      <c r="C164" s="102" t="s">
        <v>574</v>
      </c>
      <c r="D164" s="123">
        <v>1</v>
      </c>
      <c r="E164" s="123" t="s">
        <v>128</v>
      </c>
      <c r="F164" s="123" t="s">
        <v>575</v>
      </c>
    </row>
    <row r="165" spans="2:6" ht="13.2">
      <c r="B165" s="123" t="s">
        <v>93</v>
      </c>
      <c r="C165" s="102" t="s">
        <v>576</v>
      </c>
      <c r="D165" s="123">
        <v>2</v>
      </c>
      <c r="E165" s="123" t="s">
        <v>129</v>
      </c>
      <c r="F165" s="123" t="s">
        <v>577</v>
      </c>
    </row>
    <row r="166" spans="2:6" ht="13.2">
      <c r="B166" s="123" t="s">
        <v>93</v>
      </c>
      <c r="C166" s="102" t="s">
        <v>578</v>
      </c>
      <c r="D166" s="123">
        <v>3</v>
      </c>
      <c r="E166" s="123" t="s">
        <v>130</v>
      </c>
      <c r="F166" s="123" t="s">
        <v>579</v>
      </c>
    </row>
    <row r="167" spans="2:6" ht="13.2">
      <c r="B167" s="123" t="s">
        <v>93</v>
      </c>
      <c r="C167" s="102" t="s">
        <v>580</v>
      </c>
      <c r="D167" s="123">
        <v>4</v>
      </c>
      <c r="E167" s="123" t="s">
        <v>131</v>
      </c>
      <c r="F167" s="123" t="s">
        <v>581</v>
      </c>
    </row>
    <row r="168" spans="2:6" ht="13.2">
      <c r="B168" s="123" t="s">
        <v>93</v>
      </c>
      <c r="C168" s="102" t="s">
        <v>582</v>
      </c>
      <c r="D168" s="123">
        <v>5</v>
      </c>
      <c r="E168" s="123" t="s">
        <v>132</v>
      </c>
      <c r="F168" s="123" t="s">
        <v>583</v>
      </c>
    </row>
    <row r="169" spans="2:6" ht="13.2">
      <c r="B169" s="123" t="s">
        <v>93</v>
      </c>
      <c r="C169" s="102" t="s">
        <v>584</v>
      </c>
      <c r="D169" s="123">
        <v>6</v>
      </c>
      <c r="E169" s="123" t="s">
        <v>133</v>
      </c>
      <c r="F169" s="123" t="s">
        <v>585</v>
      </c>
    </row>
    <row r="170" spans="2:6" ht="13.2">
      <c r="B170" s="123" t="s">
        <v>93</v>
      </c>
      <c r="C170" s="102" t="s">
        <v>586</v>
      </c>
      <c r="D170" s="123">
        <v>7</v>
      </c>
      <c r="E170" s="123" t="s">
        <v>134</v>
      </c>
      <c r="F170" s="123" t="s">
        <v>587</v>
      </c>
    </row>
    <row r="171" spans="2:6" ht="13.2">
      <c r="B171" s="177" t="s">
        <v>135</v>
      </c>
      <c r="C171" s="102" t="s">
        <v>503</v>
      </c>
      <c r="D171" s="179">
        <v>0</v>
      </c>
      <c r="E171" s="176" t="b">
        <v>0</v>
      </c>
      <c r="F171" s="123" t="s">
        <v>588</v>
      </c>
    </row>
    <row r="172" spans="2:6" ht="13.2">
      <c r="B172" s="177" t="s">
        <v>135</v>
      </c>
      <c r="C172" s="102" t="s">
        <v>589</v>
      </c>
      <c r="D172" s="179">
        <v>1</v>
      </c>
      <c r="E172" s="176" t="b">
        <v>1</v>
      </c>
      <c r="F172" s="123" t="s">
        <v>590</v>
      </c>
    </row>
  </sheetData>
  <dataConsolidate/>
  <phoneticPr fontId="1" type="noConversion"/>
  <conditionalFormatting sqref="B122:B123 E132:E135">
    <cfRule type="expression" dxfId="29" priority="29">
      <formula>$K122="GROUP"</formula>
    </cfRule>
  </conditionalFormatting>
  <conditionalFormatting sqref="B124:B125">
    <cfRule type="expression" dxfId="28" priority="28">
      <formula>$K124="GROUP"</formula>
    </cfRule>
  </conditionalFormatting>
  <conditionalFormatting sqref="B126:B127">
    <cfRule type="expression" dxfId="27" priority="27">
      <formula>$K126="GROUP"</formula>
    </cfRule>
  </conditionalFormatting>
  <conditionalFormatting sqref="B128:B129">
    <cfRule type="expression" dxfId="26" priority="26">
      <formula>$K128="GROUP"</formula>
    </cfRule>
  </conditionalFormatting>
  <conditionalFormatting sqref="B130:B131">
    <cfRule type="expression" dxfId="25" priority="25">
      <formula>$K130="GROUP"</formula>
    </cfRule>
  </conditionalFormatting>
  <conditionalFormatting sqref="B132:B134">
    <cfRule type="expression" dxfId="24" priority="24">
      <formula>$K132="GROUP"</formula>
    </cfRule>
  </conditionalFormatting>
  <conditionalFormatting sqref="C6:C72">
    <cfRule type="expression" dxfId="23" priority="23">
      <formula>$K6="GROUP"</formula>
    </cfRule>
  </conditionalFormatting>
  <conditionalFormatting sqref="B73:B91">
    <cfRule type="expression" dxfId="22" priority="22">
      <formula>$K73="GROUP"</formula>
    </cfRule>
  </conditionalFormatting>
  <conditionalFormatting sqref="C73:C80">
    <cfRule type="expression" dxfId="21" priority="21">
      <formula>$K73="GROUP"</formula>
    </cfRule>
  </conditionalFormatting>
  <conditionalFormatting sqref="C92">
    <cfRule type="expression" dxfId="20" priority="20">
      <formula>$K92="GROUP"</formula>
    </cfRule>
  </conditionalFormatting>
  <conditionalFormatting sqref="C93:C97">
    <cfRule type="expression" dxfId="19" priority="19">
      <formula>$K93="GROUP"</formula>
    </cfRule>
  </conditionalFormatting>
  <conditionalFormatting sqref="C98:C105">
    <cfRule type="expression" dxfId="18" priority="18">
      <formula>$K98="GROUP"</formula>
    </cfRule>
  </conditionalFormatting>
  <conditionalFormatting sqref="C110:C116">
    <cfRule type="expression" dxfId="17" priority="17">
      <formula>$K110="GROUP"</formula>
    </cfRule>
  </conditionalFormatting>
  <conditionalFormatting sqref="C117:C121">
    <cfRule type="expression" dxfId="16" priority="16">
      <formula>$K117="GROUP"</formula>
    </cfRule>
  </conditionalFormatting>
  <conditionalFormatting sqref="C124:C125">
    <cfRule type="expression" dxfId="15" priority="15">
      <formula>$K124="GROUP"</formula>
    </cfRule>
  </conditionalFormatting>
  <conditionalFormatting sqref="C126:C127">
    <cfRule type="expression" dxfId="14" priority="14">
      <formula>$K126="GROUP"</formula>
    </cfRule>
  </conditionalFormatting>
  <conditionalFormatting sqref="C128:C129">
    <cfRule type="expression" dxfId="13" priority="13">
      <formula>$K128="GROUP"</formula>
    </cfRule>
  </conditionalFormatting>
  <conditionalFormatting sqref="C130:C131">
    <cfRule type="expression" dxfId="12" priority="12">
      <formula>$K130="GROUP"</formula>
    </cfRule>
  </conditionalFormatting>
  <conditionalFormatting sqref="C142:C143">
    <cfRule type="expression" dxfId="11" priority="11">
      <formula>$K142="GROUP"</formula>
    </cfRule>
  </conditionalFormatting>
  <conditionalFormatting sqref="C144:C145">
    <cfRule type="expression" dxfId="10" priority="10">
      <formula>$K144="GROUP"</formula>
    </cfRule>
  </conditionalFormatting>
  <conditionalFormatting sqref="C146:C147">
    <cfRule type="expression" dxfId="9" priority="9">
      <formula>$K146="GROUP"</formula>
    </cfRule>
  </conditionalFormatting>
  <conditionalFormatting sqref="C148:C149">
    <cfRule type="expression" dxfId="8" priority="8">
      <formula>$K148="GROUP"</formula>
    </cfRule>
  </conditionalFormatting>
  <conditionalFormatting sqref="C150:C154">
    <cfRule type="expression" dxfId="7" priority="7">
      <formula>$K150="GROUP"</formula>
    </cfRule>
  </conditionalFormatting>
  <conditionalFormatting sqref="C155:C161">
    <cfRule type="expression" dxfId="6" priority="6">
      <formula>$K155="GROUP"</formula>
    </cfRule>
  </conditionalFormatting>
  <conditionalFormatting sqref="C162:C170">
    <cfRule type="expression" dxfId="5" priority="5">
      <formula>$K162="GROUP"</formula>
    </cfRule>
  </conditionalFormatting>
  <conditionalFormatting sqref="C171:C172">
    <cfRule type="expression" dxfId="4" priority="4">
      <formula>$K171="GROUP"</formula>
    </cfRule>
  </conditionalFormatting>
  <conditionalFormatting sqref="E117:E121">
    <cfRule type="expression" dxfId="3" priority="3">
      <formula>$K117="GROUP"</formula>
    </cfRule>
  </conditionalFormatting>
  <conditionalFormatting sqref="C135:C141">
    <cfRule type="expression" dxfId="2" priority="1">
      <formula>$K135="GROUP"</formula>
    </cfRule>
  </conditionalFormatting>
  <conditionalFormatting sqref="C135:C141">
    <cfRule type="expression" dxfId="1" priority="2">
      <formula>$K135="GROUP"</formula>
    </cfRule>
  </conditionalFormatting>
  <conditionalFormatting sqref="E130">
    <cfRule type="expression" dxfId="0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2025-08-24T14:55:21Z</dcterms:modified>
</cp:coreProperties>
</file>