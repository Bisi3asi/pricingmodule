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5409567F-E24C-49D7-A63D-4FA82CC7BC60}" xr6:coauthVersionLast="47" xr6:coauthVersionMax="47" xr10:uidLastSave="{00000000-0000-0000-0000-000000000000}"/>
  <bookViews>
    <workbookView minimized="1" xWindow="-21675" yWindow="3735" windowWidth="21600" windowHeight="11250" activeTab="1" xr2:uid="{C823104A-F605-4FED-B28E-5F229F6706E8}"/>
  </bookViews>
  <sheets>
    <sheet name="Trade" sheetId="21" r:id="rId1"/>
    <sheet name="Result_001" sheetId="26" r:id="rId2"/>
    <sheet name="Result_002" sheetId="27" r:id="rId3"/>
    <sheet name="Verify" sheetId="22" r:id="rId4"/>
    <sheet name="Doc" sheetId="25" r:id="rId5"/>
    <sheet name="ConvData" sheetId="24" r:id="rId6"/>
  </sheets>
  <functionGroups builtInGroupCount="19"/>
  <definedNames>
    <definedName name="solver_adj" localSheetId="3" hidden="1">Verify!$K$18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Verify!$J$21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7" l="1"/>
  <c r="C5" i="26"/>
  <c r="M22" i="27"/>
  <c r="M5" i="27"/>
  <c r="M22" i="26"/>
  <c r="M5" i="26"/>
  <c r="N5" i="21"/>
  <c r="K5" i="21"/>
  <c r="B2" i="27" l="1"/>
  <c r="B2" i="26"/>
  <c r="S5" i="27"/>
  <c r="T7" i="27" s="1"/>
  <c r="P5" i="27"/>
  <c r="S5" i="26"/>
  <c r="T7" i="26" s="1"/>
  <c r="P5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O10" i="22" a="1"/>
  <c r="T10" i="22" a="1"/>
  <c r="L10" i="22" a="1"/>
  <c r="N10" i="22" a="1"/>
  <c r="P10" i="22" a="1"/>
  <c r="M10" i="22" a="1"/>
  <c r="Q10" i="22" a="1"/>
  <c r="V10" i="22" a="1"/>
  <c r="S10" i="22" a="1"/>
  <c r="U10" i="22" a="1"/>
  <c r="R10" i="22" a="1"/>
  <c r="K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R43" i="22" a="1"/>
  <c r="Q43" i="22" a="1"/>
  <c r="S43" i="22" a="1"/>
  <c r="M43" i="22" a="1"/>
  <c r="P43" i="22" a="1"/>
  <c r="O43" i="22" a="1"/>
  <c r="K43" i="22" a="1"/>
  <c r="V43" i="22" a="1"/>
  <c r="L43" i="22" a="1"/>
  <c r="T43" i="22" a="1"/>
  <c r="N43" i="22" a="1"/>
  <c r="U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T50" i="22" a="1"/>
  <c r="V50" i="22" a="1"/>
  <c r="P50" i="22" a="1"/>
  <c r="O50" i="22" a="1"/>
  <c r="N50" i="22" a="1"/>
  <c r="Q50" i="22" a="1"/>
  <c r="L50" i="22" a="1"/>
  <c r="U50" i="22" a="1"/>
  <c r="S50" i="22" a="1"/>
  <c r="K50" i="22" a="1"/>
  <c r="M50" i="22" a="1"/>
  <c r="R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<sst xmlns="http://schemas.openxmlformats.org/spreadsheetml/2006/main" count="1357" uniqueCount="724">
  <si>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</si>
  <si>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</si>
  <si>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</si>
  <si>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</si>
  <si>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</si>
  <si>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</si>
  <si>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</si>
  <si>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</si>
  <si>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</si>
  <si>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</si>
  <si>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</si>
  <si>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</si>
  <si>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</si>
  <si>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</si>
  <si>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</si>
  <si>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</si>
  <si>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</si>
  <si>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</si>
  <si>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</si>
  <si>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</si>
  <si>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</si>
  <si>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</si>
  <si>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</si>
  <si>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</si>
  <si>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</si>
  <si>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</si>
  <si>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</si>
  <si>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</si>
  <si>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</si>
  <si>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</si>
  <si>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</si>
  <si>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</si>
  <si>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</si>
  <si>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</si>
  <si>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</si>
  <si>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</si>
  <si>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</si>
  <si>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</si>
  <si>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</si>
  <si>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</si>
  <si>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</si>
  <si>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</si>
  <si>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</si>
  <si>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</si>
  <si>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</si>
  <si>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</si>
  <si>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</si>
  <si>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</si>
  <si>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</si>
  <si>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</si>
  <si>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</si>
  <si>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</si>
  <si>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</si>
  <si>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</si>
  <si>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</si>
  <si>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</si>
  <si>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</si>
  <si>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</si>
  <si>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</si>
  <si>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</si>
  <si>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</si>
  <si>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</si>
  <si>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</si>
  <si>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</si>
  <si>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</si>
  <si>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</si>
  <si>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</si>
  <si>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</si>
  <si>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</si>
  <si>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</si>
  <si>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</si>
  <si>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</si>
  <si>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</si>
  <si>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</si>
  <si>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</si>
  <si>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</si>
  <si>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</si>
  <si>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</si>
  <si>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</si>
  <si>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</si>
  <si>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</si>
  <si>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</si>
  <si>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</si>
  <si>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</si>
  <si>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</si>
  <si>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</si>
  <si>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</si>
  <si>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</si>
  <si>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</si>
  <si>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</si>
  <si>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</si>
  <si>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</si>
  <si>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</si>
  <si>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</si>
  <si>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</si>
  <si>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</si>
  <si>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</si>
  <si>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</si>
  <si>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</si>
  <si>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</si>
  <si>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</si>
  <si>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</si>
  <si>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</si>
  <si>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</si>
  <si>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</si>
  <si>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</si>
  <si>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</si>
  <si>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</si>
  <si>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</si>
  <si>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</si>
  <si>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</si>
  <si>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</si>
  <si>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</si>
  <si>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</si>
  <si>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</si>
  <si>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</si>
  <si>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</si>
  <si>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</si>
  <si>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</si>
  <si>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</si>
  <si>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</si>
  <si>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</si>
  <si>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</si>
  <si>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</si>
  <si>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</si>
  <si>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</si>
  <si>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</si>
  <si>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</si>
  <si>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</si>
  <si>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</si>
  <si>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</si>
  <si>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</si>
  <si>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</si>
  <si>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</si>
  <si>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</si>
  <si>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</si>
  <si>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</si>
  <si>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</si>
  <si>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</si>
  <si>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</si>
  <si>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</si>
  <si>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</si>
  <si>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</si>
  <si>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</si>
  <si>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</si>
  <si>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</si>
  <si>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</si>
  <si>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</si>
  <si>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</si>
  <si>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</si>
  <si>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</si>
  <si>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</si>
  <si>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</si>
  <si>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</si>
  <si>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</si>
  <si>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</si>
  <si>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</si>
  <si>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</si>
  <si>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</si>
  <si>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</si>
  <si>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</si>
  <si>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</si>
  <si>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</si>
  <si>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</si>
  <si>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</si>
  <si>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</si>
  <si>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</si>
  <si>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</si>
  <si>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</si>
  <si>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</si>
  <si>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</si>
  <si>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</si>
  <si>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</si>
  <si>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</si>
  <si>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</si>
  <si>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</si>
  <si>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</si>
  <si>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</si>
  <si>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</si>
  <si>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</si>
  <si>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</si>
  <si>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</si>
  <si>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</si>
  <si>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</si>
  <si>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</si>
  <si>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</si>
  <si>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</si>
  <si>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</si>
  <si>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</si>
  <si>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</si>
  <si>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</si>
  <si>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</si>
  <si>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</si>
  <si>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</si>
  <si>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</si>
  <si>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</si>
  <si>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</si>
  <si>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</si>
  <si>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</si>
  <si>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</si>
  <si>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</si>
  <si>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</si>
  <si>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</si>
  <si>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</si>
  <si>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</si>
  <si>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</si>
  <si>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</si>
  <si>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</si>
  <si>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</si>
  <si>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</si>
  <si>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</si>
  <si>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</si>
  <si>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</si>
  <si>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</si>
  <si>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</si>
  <si>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</si>
  <si>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</si>
  <si>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</si>
  <si>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</si>
  <si>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</si>
  <si>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</si>
  <si>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</si>
  <si>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</si>
  <si>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</si>
  <si>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</si>
  <si>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</si>
  <si>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</si>
  <si>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</si>
  <si>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</si>
  <si>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</si>
  <si>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</si>
  <si>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</si>
  <si>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</si>
  <si>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</si>
  <si>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</si>
  <si>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</si>
  <si>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</si>
  <si>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</si>
  <si>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</si>
  <si>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</si>
  <si>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</si>
  <si>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</si>
  <si>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</si>
  <si>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</si>
  <si>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</si>
  <si>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</si>
  <si>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</si>
  <si>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</si>
  <si>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</si>
  <si>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</si>
  <si>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</si>
  <si>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</si>
  <si>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</si>
  <si>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</si>
  <si>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</si>
  <si>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</si>
  <si>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</si>
  <si>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</si>
  <si>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</si>
  <si>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</si>
  <si>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</si>
  <si>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</si>
  <si>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</si>
  <si>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</si>
  <si>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</si>
  <si>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</si>
  <si>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</si>
  <si>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</si>
  <si>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</si>
  <si>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</si>
  <si>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</si>
  <si>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</si>
  <si>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</si>
  <si>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</si>
  <si>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</si>
  <si>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</si>
  <si>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</si>
  <si>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</si>
  <si>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</si>
  <si>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</si>
  <si>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</si>
  <si>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</si>
  <si>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</si>
  <si>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</si>
  <si>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</si>
  <si>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</si>
  <si>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</si>
  <si>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</si>
  <si>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</si>
  <si>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</si>
  <si>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</si>
  <si>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</si>
  <si>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</si>
  <si>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</si>
  <si>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</si>
  <si>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</si>
  <si>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</si>
  <si>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</si>
  <si>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</si>
  <si>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</si>
  <si>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</si>
  <si>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</si>
  <si>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</si>
  <si>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</si>
  <si>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</si>
  <si>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</si>
  <si>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</si>
  <si>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</si>
  <si>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</si>
  <si>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</si>
  <si>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</si>
  <si>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</si>
  <si>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</si>
  <si>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</si>
  <si>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</si>
  <si>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</si>
  <si>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</si>
  <si>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</si>
  <si>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</si>
  <si>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</si>
  <si>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</si>
  <si>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</si>
  <si>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</si>
  <si>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</si>
  <si>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</si>
  <si>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</si>
  <si>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</si>
  <si>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</si>
  <si>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</si>
  <si>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</si>
  <si>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</si>
  <si>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</si>
  <si>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</si>
  <si>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</si>
  <si>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</si>
  <si>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</si>
  <si>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</si>
  <si>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</si>
  <si>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</si>
  <si>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</si>
  <si>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</si>
  <si>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</si>
  <si>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</si>
  <si>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</si>
  <si>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</si>
  <si>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</si>
  <si>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</si>
  <si>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</si>
  <si>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</si>
  <si>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</si>
  <si>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</si>
  <si>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</si>
  <si>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</si>
  <si>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</si>
  <si>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</si>
  <si>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</si>
  <si>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</si>
  <si>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</si>
  <si>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</si>
  <si>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</si>
  <si>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</si>
  <si>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</si>
  <si>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</si>
  <si>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</si>
  <si>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</si>
  <si>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</si>
  <si>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</si>
  <si>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</si>
  <si>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</si>
  <si>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</si>
  <si>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</si>
  <si>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</si>
  <si>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</si>
  <si>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</si>
  <si>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</si>
  <si>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</si>
  <si>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</si>
  <si>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</si>
  <si>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</si>
  <si>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</si>
  <si>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</si>
  <si>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</si>
  <si>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</si>
  <si>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</si>
  <si>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</si>
  <si>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</si>
  <si>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</si>
  <si>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</si>
  <si>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</si>
  <si>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</si>
  <si>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</si>
  <si>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</si>
  <si>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</si>
  <si>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</si>
  <si>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</si>
  <si>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</si>
  <si>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</si>
  <si>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</si>
  <si>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</si>
  <si>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</si>
  <si>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</si>
  <si>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</si>
  <si>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</si>
  <si>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</si>
  <si>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</si>
  <si>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</si>
  <si>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</si>
  <si>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</si>
  <si>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</si>
  <si>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</si>
  <si>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</si>
  <si>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</si>
  <si>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</si>
  <si>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</si>
  <si>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</si>
  <si>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</si>
  <si>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</si>
  <si>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</si>
  <si>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</si>
  <si>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</si>
  <si>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</si>
  <si>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</si>
  <si>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</si>
  <si>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</si>
  <si>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</si>
  <si>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</si>
  <si>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</si>
  <si>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</si>
  <si>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</si>
  <si>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</si>
  <si>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</si>
  <si>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</si>
  <si>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</si>
  <si>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</si>
  <si>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</si>
  <si>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</si>
  <si>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</si>
  <si>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</si>
  <si>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</si>
  <si>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</si>
  <si>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</si>
  <si>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</si>
  <si>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</si>
  <si>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</si>
  <si>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</si>
  <si>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</si>
  <si>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</si>
  <si>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</si>
  <si>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</si>
  <si>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</si>
  <si>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</si>
  <si>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</si>
  <si>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</si>
  <si>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</si>
  <si>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</si>
  <si>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</si>
  <si>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</si>
  <si>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</si>
  <si>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</si>
  <si>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</si>
  <si>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</si>
  <si>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</si>
  <si>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</si>
  <si>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</si>
  <si>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</si>
  <si>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</si>
  <si>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</si>
  <si>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</si>
  <si>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</si>
  <si>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</si>
  <si>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</si>
  <si>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</si>
  <si>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</si>
  <si>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</si>
  <si>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</si>
  <si>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</si>
  <si>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</si>
  <si>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</si>
  <si>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</si>
  <si>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</si>
  <si>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</si>
  <si>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</si>
  <si>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</si>
  <si>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</si>
  <si>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</si>
  <si>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</si>
  <si>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</si>
  <si>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</si>
  <si>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</si>
  <si>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</si>
  <si>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</si>
  <si>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</si>
  <si>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</si>
  <si>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</si>
  <si>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</si>
  <si>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</si>
  <si>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</si>
  <si>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</si>
  <si>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</si>
  <si>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</si>
  <si>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</si>
  <si>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</si>
  <si>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</si>
  <si>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</si>
  <si>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</si>
  <si>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</si>
  <si>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</si>
  <si>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</si>
  <si>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</si>
  <si>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</si>
  <si>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</si>
  <si>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</si>
  <si>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</si>
  <si>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</si>
  <si>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</si>
  <si>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</si>
  <si>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</si>
  <si>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</si>
  <si>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</si>
  <si>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</si>
  <si>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</si>
  <si>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</si>
  <si>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</si>
  <si>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</si>
  <si>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</si>
  <si>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</si>
  <si>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</si>
  <si>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</si>
  <si>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</si>
  <si>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</si>
  <si>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</si>
  <si>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</si>
  <si>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</si>
  <si>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</si>
  <si>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</si>
  <si>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</si>
  <si>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</si>
  <si>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</si>
  <si>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</si>
  <si>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</si>
  <si>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</si>
  <si>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</si>
  <si>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</si>
  <si>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</si>
  <si>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</si>
  <si>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</si>
  <si>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</si>
  <si>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</si>
  <si>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</si>
  <si>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</si>
  <si>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</si>
  <si>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</si>
  <si>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</si>
  <si>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</si>
  <si>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</si>
  <si>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</si>
  <si>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</si>
  <si>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</si>
  <si>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</si>
  <si>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</si>
  <si>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</si>
  <si>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</si>
  <si>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</si>
  <si>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</si>
  <si>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</si>
  <si>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</si>
  <si>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</si>
  <si>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</si>
  <si>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</si>
  <si>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</si>
  <si>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</si>
  <si>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</si>
  <si>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</si>
  <si>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CSR_CVR_SHOCK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</si>
  <si>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</si>
  <si>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</si>
  <si>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</si>
  <si>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</si>
  <si>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</si>
  <si>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</si>
  <si>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</si>
  <si>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</si>
  <si>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</si>
  <si>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</si>
  <si>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</si>
  <si>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</si>
  <si>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</si>
  <si>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</si>
  <si>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</si>
  <si>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</si>
  <si>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</si>
  <si>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</si>
  <si>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</si>
  <si>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</si>
  <si>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</si>
  <si>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</si>
  <si>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</si>
  <si>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</si>
  <si>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</si>
  <si>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</si>
  <si>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</si>
  <si>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</si>
  <si>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</si>
  <si>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</si>
  <si>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</si>
  <si>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</si>
  <si>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</si>
  <si>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</si>
  <si>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</si>
  <si>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</si>
  <si>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</si>
  <si>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</si>
  <si>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</si>
  <si>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</si>
  <si>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</si>
  <si>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</si>
  <si>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</si>
  <si>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</si>
  <si>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</si>
  <si>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</si>
  <si>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</si>
  <si>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</si>
  <si>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</si>
  <si>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</si>
  <si>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</si>
  <si>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</si>
  <si>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</si>
  <si>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</si>
  <si>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</si>
  <si>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</si>
  <si>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</si>
  <si>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</si>
  <si>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</si>
  <si>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</si>
  <si>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</si>
  <si>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</si>
  <si>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</si>
  <si>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</si>
  <si>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</si>
  <si>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</si>
  <si>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</si>
  <si>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</si>
  <si>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</si>
  <si>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</si>
  <si>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</si>
  <si>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</si>
  <si>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</si>
  <si>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</si>
  <si>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</si>
  <si>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</si>
  <si>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</si>
  <si>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</si>
  <si>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</si>
  <si>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</si>
  <si>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</si>
  <si>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</si>
  <si>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</si>
  <si>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</si>
  <si>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</si>
  <si>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</si>
  <si>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</si>
  <si>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</si>
  <si>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</si>
  <si>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</si>
  <si>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</si>
  <si>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</si>
  <si>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</si>
  <si>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</si>
  <si>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</si>
  <si>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</si>
  <si>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</si>
  <si>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</si>
  <si>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</si>
  <si>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</si>
  <si>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</si>
  <si>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</si>
  <si>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</si>
  <si>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</si>
  <si>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</si>
  <si>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</si>
  <si>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</si>
  <si>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</si>
  <si>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</si>
  <si>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</si>
  <si>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</si>
  <si>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</si>
  <si>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</si>
  <si>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</si>
  <si>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</si>
  <si>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</si>
  <si>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</si>
  <si>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</si>
  <si>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</si>
  <si>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</si>
  <si>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</si>
  <si>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</si>
  <si>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</si>
  <si>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</si>
  <si>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</si>
  <si>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</si>
  <si>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</si>
  <si>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</si>
  <si>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FFW000001_001</t>
    <phoneticPr fontId="2" type="noConversion"/>
  </si>
  <si>
    <t>S</t>
    <phoneticPr fontId="1" type="noConversion"/>
  </si>
  <si>
    <t>FFW000001_002</t>
    <phoneticPr fontId="2" type="noConversion"/>
  </si>
  <si>
    <t>IRKRW-CRS</t>
    <phoneticPr fontId="1" type="noConversion"/>
  </si>
  <si>
    <t>IREUR-CRS</t>
    <phoneticPr fontId="1" type="noConversion"/>
  </si>
  <si>
    <t>20260522</t>
    <phoneticPr fontId="2" type="noConversion"/>
  </si>
  <si>
    <t>Y</t>
    <phoneticPr fontId="2" type="noConversion"/>
  </si>
  <si>
    <t>PROD_DIV</t>
    <phoneticPr fontId="1" type="noConversion"/>
  </si>
  <si>
    <t>LEG 구분</t>
    <phoneticPr fontId="1" type="noConversion"/>
  </si>
  <si>
    <t>ZCL</t>
  </si>
  <si>
    <t>KRW</t>
    <phoneticPr fontId="1" type="noConversion"/>
  </si>
  <si>
    <t>FFW: Forex Forward</t>
    <phoneticPr fontId="2" type="noConversion"/>
  </si>
  <si>
    <t>EUR</t>
    <phoneticPr fontId="1" type="noConversion"/>
  </si>
  <si>
    <t>20260522</t>
  </si>
  <si>
    <t>0.0299|0.0258|0.0233|0.0219|0.0219|0.0223|0.0224|0.0212|0.0204|0.0204</t>
  </si>
  <si>
    <t>2|1|2|-372238006.199002|-237034132.53665</t>
  </si>
  <si>
    <t>-10236665.3251805|10481267.4699336</t>
  </si>
  <si>
    <t>1|-1|-1|452730000|-1|46164|452730000|0.968886208538356</t>
  </si>
  <si>
    <t>0.0264|0.0238|0.0211|0.0198|0.0199|0.0207|0.0225|0.0236|0.0235|0.0223</t>
  </si>
  <si>
    <t>2|1|2|-24740.380892581|-15754.2073239165</t>
  </si>
  <si>
    <t>-680.368460493319|696.625667246932</t>
  </si>
  <si>
    <t>1|-1|-1|30000|-1|46164|30000|0.97179903031734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</si>
</sst>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#,##0.0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1" xfId="0" applyFont="1" applyFill="1" applyBorder="1">
      <alignment vertical="center"/>
    </xf>
    <xf numFmtId="0" fontId="3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192" fontId="3" fillId="5" borderId="1" xfId="0" applyNumberFormat="1" applyFont="1" applyFill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3" fontId="4" fillId="4" borderId="5" xfId="0" quotePrefix="1" applyNumberFormat="1" applyFont="1" applyFill="1" applyBorder="1" applyAlignment="1">
      <alignment horizontal="left" vertical="center"/>
    </xf>
    <xf numFmtId="0" fontId="4" fillId="4" borderId="7" xfId="0" quotePrefix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5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workbookViewId="0">
      <selection activeCell="E12" sqref="E1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7" width="25.66406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0" t="s">
        <v>713</v>
      </c>
      <c r="C2" s="210"/>
      <c r="D2" s="210"/>
      <c r="E2" s="210"/>
      <c r="F2" s="210"/>
      <c r="G2" s="198"/>
      <c r="H2" s="7"/>
      <c r="I2" s="209" t="s">
        <v>570</v>
      </c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</row>
    <row r="4" spans="2:31" ht="13.15" customHeight="1">
      <c r="B4" s="209" t="s">
        <v>4</v>
      </c>
      <c r="C4" s="209"/>
      <c r="D4" s="209"/>
      <c r="E4" s="209"/>
      <c r="F4" s="209"/>
      <c r="G4" s="9"/>
      <c r="I4" s="209" t="s">
        <v>5</v>
      </c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X4" s="209" t="s">
        <v>568</v>
      </c>
      <c r="Y4" s="209"/>
      <c r="Z4" s="209"/>
      <c r="AA4" s="209"/>
      <c r="AB4" s="209"/>
      <c r="AC4" s="209"/>
      <c r="AD4" s="209"/>
      <c r="AE4" s="209"/>
    </row>
    <row r="5" spans="2:31" s="3" customFormat="1" ht="13.15" customHeight="1">
      <c r="F5" s="200" t="s">
        <v>702</v>
      </c>
      <c r="G5" s="199" t="s">
        <v>704</v>
      </c>
      <c r="K5" s="211" t="str">
        <f>F11</f>
        <v>IRKRW-CRS</v>
      </c>
      <c r="L5" s="212"/>
      <c r="N5" s="213" t="str">
        <f>G11</f>
        <v>IREUR-CRS</v>
      </c>
      <c r="O5" s="212"/>
      <c r="Q5" s="214"/>
      <c r="R5" s="208"/>
      <c r="T5" s="214"/>
      <c r="U5" s="208"/>
      <c r="X5" s="215"/>
      <c r="Y5" s="216"/>
      <c r="AA5" s="215"/>
      <c r="AB5" s="216"/>
    </row>
    <row r="6" spans="2:31" s="12" customFormat="1" ht="13.15" customHeight="1">
      <c r="C6" s="13" t="s">
        <v>3</v>
      </c>
      <c r="D6" s="14" t="s">
        <v>8</v>
      </c>
      <c r="E6" s="14" t="s">
        <v>61</v>
      </c>
      <c r="F6" s="14" t="s">
        <v>2</v>
      </c>
      <c r="G6" s="14" t="s">
        <v>2</v>
      </c>
      <c r="H6" s="12" t="s">
        <v>9</v>
      </c>
      <c r="J6" s="3"/>
      <c r="K6" s="5" t="s">
        <v>75</v>
      </c>
      <c r="L6" s="17" t="s">
        <v>397</v>
      </c>
      <c r="M6" s="46"/>
      <c r="N6" s="5" t="s">
        <v>75</v>
      </c>
      <c r="O6" s="17" t="s">
        <v>397</v>
      </c>
      <c r="Q6" s="189" t="s">
        <v>75</v>
      </c>
      <c r="R6" s="34"/>
      <c r="T6" s="189" t="s">
        <v>75</v>
      </c>
      <c r="U6" s="34"/>
      <c r="X6" s="34" t="s">
        <v>564</v>
      </c>
      <c r="Y6" s="34"/>
      <c r="AA6" s="34" t="s">
        <v>564</v>
      </c>
      <c r="AB6" s="34"/>
    </row>
    <row r="7" spans="2:31" ht="13.15" customHeight="1">
      <c r="C7" s="201">
        <v>1</v>
      </c>
      <c r="D7" s="35" t="s">
        <v>43</v>
      </c>
      <c r="E7" s="35" t="s">
        <v>562</v>
      </c>
      <c r="F7" s="42" t="s">
        <v>554</v>
      </c>
      <c r="G7" s="42" t="s">
        <v>554</v>
      </c>
      <c r="H7" s="1" t="s">
        <v>9</v>
      </c>
      <c r="K7" s="5" t="s">
        <v>76</v>
      </c>
      <c r="L7" s="17" t="s">
        <v>398</v>
      </c>
      <c r="M7" s="4"/>
      <c r="N7" s="5" t="s">
        <v>76</v>
      </c>
      <c r="O7" s="17" t="s">
        <v>398</v>
      </c>
      <c r="Q7" s="189" t="s">
        <v>76</v>
      </c>
      <c r="R7" s="34"/>
      <c r="T7" s="189" t="s">
        <v>76</v>
      </c>
      <c r="U7" s="34"/>
      <c r="X7" s="34" t="s">
        <v>569</v>
      </c>
      <c r="Y7" s="34"/>
      <c r="AA7" s="34" t="s">
        <v>569</v>
      </c>
      <c r="AB7" s="34"/>
    </row>
    <row r="8" spans="2:31" ht="13.15" customHeight="1">
      <c r="C8" s="201">
        <v>2</v>
      </c>
      <c r="D8" s="35" t="s">
        <v>24</v>
      </c>
      <c r="E8" s="35" t="s">
        <v>26</v>
      </c>
      <c r="F8" s="42" t="s">
        <v>556</v>
      </c>
      <c r="G8" s="42" t="s">
        <v>556</v>
      </c>
      <c r="H8" s="1" t="s">
        <v>9</v>
      </c>
      <c r="K8" s="5" t="s">
        <v>78</v>
      </c>
      <c r="L8" s="17" t="s">
        <v>248</v>
      </c>
      <c r="M8" s="4"/>
      <c r="N8" s="5" t="s">
        <v>78</v>
      </c>
      <c r="O8" s="17" t="s">
        <v>248</v>
      </c>
      <c r="Q8" s="189" t="s">
        <v>78</v>
      </c>
      <c r="R8" s="34"/>
      <c r="T8" s="189" t="s">
        <v>78</v>
      </c>
      <c r="U8" s="34"/>
      <c r="X8" s="34" t="s">
        <v>563</v>
      </c>
      <c r="Y8" s="34"/>
      <c r="AA8" s="34" t="s">
        <v>563</v>
      </c>
      <c r="AB8" s="34"/>
    </row>
    <row r="9" spans="2:31" ht="13.15" customHeight="1">
      <c r="C9" s="201">
        <v>3</v>
      </c>
      <c r="D9" s="35" t="s">
        <v>23</v>
      </c>
      <c r="E9" s="35" t="s">
        <v>0</v>
      </c>
      <c r="F9" s="42" t="s">
        <v>707</v>
      </c>
      <c r="G9" s="42" t="s">
        <v>707</v>
      </c>
      <c r="H9" s="1" t="s">
        <v>9</v>
      </c>
      <c r="K9" s="5" t="s">
        <v>79</v>
      </c>
      <c r="L9" s="17" t="s">
        <v>399</v>
      </c>
      <c r="M9" s="4"/>
      <c r="N9" s="5" t="s">
        <v>79</v>
      </c>
      <c r="O9" s="17" t="s">
        <v>399</v>
      </c>
      <c r="Q9" s="189" t="s">
        <v>79</v>
      </c>
      <c r="R9" s="34"/>
      <c r="T9" s="189" t="s">
        <v>79</v>
      </c>
      <c r="U9" s="34"/>
      <c r="X9" s="34" t="s">
        <v>81</v>
      </c>
      <c r="Y9" s="34"/>
      <c r="AA9" s="34" t="s">
        <v>81</v>
      </c>
      <c r="AB9" s="34"/>
    </row>
    <row r="10" spans="2:31" ht="13.15" customHeight="1">
      <c r="B10" s="3"/>
      <c r="C10" s="201">
        <v>4</v>
      </c>
      <c r="D10" s="35" t="s">
        <v>25</v>
      </c>
      <c r="E10" s="17" t="s">
        <v>49</v>
      </c>
      <c r="F10" s="181">
        <v>452730000</v>
      </c>
      <c r="G10" s="181">
        <v>30000</v>
      </c>
      <c r="H10" s="1" t="s">
        <v>9</v>
      </c>
      <c r="Q10" s="2"/>
      <c r="R10" s="2"/>
      <c r="X10" s="34" t="s">
        <v>80</v>
      </c>
      <c r="Y10" s="34"/>
      <c r="AA10" s="34" t="s">
        <v>80</v>
      </c>
      <c r="AB10" s="34"/>
    </row>
    <row r="11" spans="2:31" ht="13.15" customHeight="1">
      <c r="C11" s="201">
        <v>5</v>
      </c>
      <c r="D11" s="44" t="s">
        <v>55</v>
      </c>
      <c r="E11" s="44" t="s">
        <v>571</v>
      </c>
      <c r="F11" s="45" t="s">
        <v>705</v>
      </c>
      <c r="G11" s="45" t="s">
        <v>706</v>
      </c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4" t="s">
        <v>565</v>
      </c>
      <c r="Y11" s="189"/>
      <c r="AA11" s="34" t="s">
        <v>565</v>
      </c>
      <c r="AB11" s="189"/>
    </row>
    <row r="12" spans="2:31" ht="13.15" customHeight="1">
      <c r="C12" s="201">
        <v>6</v>
      </c>
      <c r="D12" s="17" t="s">
        <v>342</v>
      </c>
      <c r="E12" s="17" t="s">
        <v>343</v>
      </c>
      <c r="F12" s="17" t="s">
        <v>703</v>
      </c>
      <c r="G12" s="17" t="s">
        <v>344</v>
      </c>
      <c r="H12" s="1" t="s">
        <v>9</v>
      </c>
      <c r="I12" s="18">
        <v>1</v>
      </c>
      <c r="J12" s="2"/>
      <c r="K12" s="31">
        <v>90</v>
      </c>
      <c r="L12" s="32">
        <v>2.9899999999999999E-2</v>
      </c>
      <c r="N12" s="31">
        <v>90</v>
      </c>
      <c r="O12" s="32">
        <v>2.64E-2</v>
      </c>
      <c r="Q12" s="187"/>
      <c r="R12" s="188"/>
      <c r="T12" s="187"/>
      <c r="U12" s="188"/>
      <c r="X12" s="189" t="s">
        <v>75</v>
      </c>
      <c r="Y12" s="34"/>
      <c r="AA12" s="189" t="s">
        <v>75</v>
      </c>
      <c r="AB12" s="34"/>
    </row>
    <row r="13" spans="2:31" ht="13.15" customHeight="1">
      <c r="H13" s="1" t="s">
        <v>9</v>
      </c>
      <c r="I13" s="18">
        <v>2</v>
      </c>
      <c r="J13" s="2"/>
      <c r="K13" s="31">
        <v>180</v>
      </c>
      <c r="L13" s="32">
        <v>2.58E-2</v>
      </c>
      <c r="N13" s="31">
        <v>180</v>
      </c>
      <c r="O13" s="32">
        <v>2.3800000000000002E-2</v>
      </c>
      <c r="Q13" s="187"/>
      <c r="R13" s="188"/>
      <c r="T13" s="187"/>
      <c r="U13" s="188"/>
      <c r="X13" s="34" t="s">
        <v>566</v>
      </c>
      <c r="Y13" s="34"/>
      <c r="AA13" s="34" t="s">
        <v>566</v>
      </c>
      <c r="AB13" s="34"/>
    </row>
    <row r="14" spans="2:31" ht="13.15" customHeight="1">
      <c r="H14" s="1" t="s">
        <v>9</v>
      </c>
      <c r="I14" s="18">
        <v>3</v>
      </c>
      <c r="J14" s="2"/>
      <c r="K14" s="31">
        <v>360</v>
      </c>
      <c r="L14" s="32">
        <v>2.3300000000000001E-2</v>
      </c>
      <c r="N14" s="31">
        <v>360</v>
      </c>
      <c r="O14" s="32">
        <v>2.1100000000000001E-2</v>
      </c>
      <c r="Q14" s="187"/>
      <c r="R14" s="188"/>
      <c r="T14" s="187"/>
      <c r="U14" s="188"/>
      <c r="X14" s="34" t="s">
        <v>567</v>
      </c>
      <c r="Y14" s="34"/>
      <c r="AA14" s="34" t="s">
        <v>567</v>
      </c>
      <c r="AB14" s="34"/>
    </row>
    <row r="15" spans="2:31" ht="13.15" customHeight="1">
      <c r="C15" s="1"/>
      <c r="F15" s="1"/>
      <c r="G15" s="1"/>
      <c r="H15" s="1" t="s">
        <v>9</v>
      </c>
      <c r="I15" s="18">
        <v>4</v>
      </c>
      <c r="J15" s="2"/>
      <c r="K15" s="31">
        <v>720</v>
      </c>
      <c r="L15" s="32">
        <v>2.1899999999999999E-2</v>
      </c>
      <c r="N15" s="31">
        <v>720</v>
      </c>
      <c r="O15" s="32">
        <v>1.9800000000000002E-2</v>
      </c>
      <c r="Q15" s="187"/>
      <c r="R15" s="188"/>
      <c r="T15" s="187"/>
      <c r="U15" s="188"/>
    </row>
    <row r="16" spans="2:31" ht="13.15" customHeight="1">
      <c r="C16" s="1"/>
      <c r="F16" s="1"/>
      <c r="G16" s="1"/>
      <c r="H16" s="1" t="s">
        <v>9</v>
      </c>
      <c r="I16" s="18">
        <v>5</v>
      </c>
      <c r="J16" s="2"/>
      <c r="K16" s="31">
        <v>1080</v>
      </c>
      <c r="L16" s="32">
        <v>2.1899999999999999E-2</v>
      </c>
      <c r="N16" s="31">
        <v>1080</v>
      </c>
      <c r="O16" s="32">
        <v>1.9900000000000001E-2</v>
      </c>
      <c r="Q16" s="187"/>
      <c r="R16" s="188"/>
      <c r="T16" s="187"/>
      <c r="U16" s="188"/>
    </row>
    <row r="17" spans="2:71" ht="13.15" customHeight="1">
      <c r="B17" s="3"/>
      <c r="C17" s="1"/>
      <c r="F17" s="1"/>
      <c r="G17" s="1"/>
      <c r="H17" s="1" t="s">
        <v>9</v>
      </c>
      <c r="I17" s="18">
        <v>6</v>
      </c>
      <c r="J17" s="2"/>
      <c r="K17" s="31">
        <v>1800</v>
      </c>
      <c r="L17" s="32">
        <v>2.23E-2</v>
      </c>
      <c r="N17" s="31">
        <v>1800</v>
      </c>
      <c r="O17" s="32">
        <v>2.07E-2</v>
      </c>
      <c r="Q17" s="187"/>
      <c r="R17" s="188"/>
      <c r="T17" s="187"/>
      <c r="U17" s="188"/>
    </row>
    <row r="18" spans="2:71" ht="13.15" customHeight="1">
      <c r="C18" s="1"/>
      <c r="F18" s="1"/>
      <c r="G18" s="1"/>
      <c r="H18" s="1" t="s">
        <v>9</v>
      </c>
      <c r="I18" s="18">
        <v>7</v>
      </c>
      <c r="J18" s="2"/>
      <c r="K18" s="31">
        <v>3600</v>
      </c>
      <c r="L18" s="32">
        <v>2.24E-2</v>
      </c>
      <c r="N18" s="31">
        <v>3600</v>
      </c>
      <c r="O18" s="32">
        <v>2.2499999999999999E-2</v>
      </c>
      <c r="Q18" s="187"/>
      <c r="R18" s="188"/>
      <c r="T18" s="187"/>
      <c r="U18" s="188"/>
    </row>
    <row r="19" spans="2:71" ht="13.15" customHeight="1">
      <c r="C19" s="1"/>
      <c r="F19" s="1"/>
      <c r="G19" s="1"/>
      <c r="H19" s="1" t="s">
        <v>9</v>
      </c>
      <c r="I19" s="18">
        <v>8</v>
      </c>
      <c r="J19" s="2"/>
      <c r="K19" s="31">
        <v>5400</v>
      </c>
      <c r="L19" s="32">
        <v>2.12E-2</v>
      </c>
      <c r="N19" s="31">
        <v>5400</v>
      </c>
      <c r="O19" s="32">
        <v>2.3599999999999999E-2</v>
      </c>
      <c r="Q19" s="187"/>
      <c r="R19" s="188"/>
      <c r="T19" s="187"/>
      <c r="U19" s="188"/>
    </row>
    <row r="20" spans="2:71" ht="13.15" customHeight="1">
      <c r="B20" s="3"/>
      <c r="C20" s="1"/>
      <c r="F20" s="1"/>
      <c r="G20" s="1"/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31">
        <v>7200</v>
      </c>
      <c r="O20" s="32">
        <v>2.35E-2</v>
      </c>
      <c r="Q20" s="187"/>
      <c r="R20" s="188"/>
      <c r="T20" s="187"/>
      <c r="U20" s="188"/>
    </row>
    <row r="21" spans="2:71" ht="13.15" customHeight="1">
      <c r="C21" s="1"/>
      <c r="F21" s="1"/>
      <c r="G21" s="1"/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31">
        <v>10800</v>
      </c>
      <c r="O21" s="32">
        <v>2.23E-2</v>
      </c>
      <c r="Q21" s="187"/>
      <c r="R21" s="188"/>
      <c r="T21" s="187"/>
      <c r="U21" s="188"/>
    </row>
    <row r="22" spans="2:71" ht="13.15" customHeight="1">
      <c r="C22" s="1"/>
      <c r="F22" s="1"/>
      <c r="G22" s="1"/>
      <c r="H22" s="1" t="s">
        <v>9</v>
      </c>
    </row>
    <row r="23" spans="2:71" ht="13.15" customHeight="1">
      <c r="C23" s="1"/>
      <c r="F23" s="1"/>
      <c r="G23" s="1"/>
      <c r="H23" s="1" t="s">
        <v>9</v>
      </c>
    </row>
    <row r="24" spans="2:71" ht="13.15" customHeight="1">
      <c r="C24" s="1"/>
      <c r="F24" s="1"/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09" t="s">
        <v>13</v>
      </c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09"/>
      <c r="AV25" s="209"/>
      <c r="AW25" s="209"/>
      <c r="AX25" s="209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09"/>
      <c r="BO25" s="209"/>
      <c r="BP25" s="209"/>
      <c r="BQ25" s="209"/>
      <c r="BR25" s="209"/>
      <c r="BS25" s="209"/>
    </row>
    <row r="26" spans="2:71" ht="13.15" customHeight="1">
      <c r="C26" s="1"/>
      <c r="F26" s="1"/>
      <c r="G26" s="1"/>
      <c r="K26" s="206"/>
      <c r="L26" s="207"/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  <c r="AC26" s="207"/>
      <c r="AD26" s="207"/>
      <c r="AE26" s="207"/>
      <c r="AF26" s="207"/>
      <c r="AG26" s="207"/>
      <c r="AH26" s="207"/>
      <c r="AI26" s="207"/>
      <c r="AJ26" s="207"/>
      <c r="AK26" s="207"/>
      <c r="AL26" s="207"/>
      <c r="AM26" s="207"/>
      <c r="AN26" s="207"/>
      <c r="AO26" s="207"/>
      <c r="AP26" s="207"/>
      <c r="AQ26" s="207"/>
      <c r="AR26" s="207"/>
      <c r="AS26" s="207"/>
      <c r="AT26" s="207"/>
      <c r="AU26" s="207"/>
      <c r="AV26" s="207"/>
      <c r="AW26" s="207"/>
      <c r="AX26" s="207"/>
      <c r="AY26" s="207"/>
      <c r="AZ26" s="207"/>
      <c r="BA26" s="207"/>
      <c r="BB26" s="207"/>
      <c r="BC26" s="207"/>
      <c r="BD26" s="207"/>
      <c r="BE26" s="207"/>
      <c r="BF26" s="207"/>
      <c r="BG26" s="207"/>
      <c r="BH26" s="207"/>
      <c r="BI26" s="207"/>
      <c r="BJ26" s="207"/>
      <c r="BK26" s="207"/>
      <c r="BL26" s="207"/>
      <c r="BM26" s="207"/>
      <c r="BN26" s="207"/>
      <c r="BO26" s="207"/>
      <c r="BP26" s="207"/>
      <c r="BQ26" s="207"/>
      <c r="BR26" s="207"/>
      <c r="BS26" s="208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52</v>
      </c>
      <c r="L28" s="190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</row>
    <row r="29" spans="2:71" ht="13.15" customHeight="1">
      <c r="H29" s="1" t="s">
        <v>9</v>
      </c>
      <c r="I29" s="18">
        <v>2</v>
      </c>
      <c r="K29" s="13" t="s">
        <v>53</v>
      </c>
      <c r="L29" s="190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</row>
    <row r="30" spans="2:71" ht="13.15" customHeight="1">
      <c r="I30" s="21">
        <v>3</v>
      </c>
      <c r="K30" s="13" t="s">
        <v>54</v>
      </c>
      <c r="L30" s="190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87"/>
      <c r="Y30" s="187"/>
      <c r="Z30" s="187"/>
      <c r="AA30" s="187"/>
      <c r="AB30" s="187"/>
      <c r="AC30" s="187"/>
      <c r="AD30" s="187"/>
      <c r="AE30" s="187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Q30" s="187"/>
      <c r="BR30" s="187"/>
      <c r="BS30" s="187"/>
    </row>
    <row r="31" spans="2:71" ht="13.15" customHeight="1"/>
    <row r="32" spans="2:71" ht="13.15" customHeight="1">
      <c r="F32" s="1"/>
      <c r="G32" s="1"/>
      <c r="K32" s="206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207"/>
      <c r="BD32" s="207"/>
      <c r="BE32" s="207"/>
      <c r="BF32" s="207"/>
      <c r="BG32" s="207"/>
      <c r="BH32" s="207"/>
      <c r="BI32" s="207"/>
      <c r="BJ32" s="207"/>
      <c r="BK32" s="207"/>
      <c r="BL32" s="207"/>
      <c r="BM32" s="207"/>
      <c r="BN32" s="207"/>
      <c r="BO32" s="207"/>
      <c r="BP32" s="207"/>
      <c r="BQ32" s="207"/>
      <c r="BR32" s="207"/>
      <c r="BS32" s="208"/>
    </row>
    <row r="33" spans="5:71" ht="13.15" customHeight="1"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5:71" ht="13.15" customHeight="1">
      <c r="I34" s="18">
        <v>1</v>
      </c>
      <c r="K34" s="13" t="s">
        <v>52</v>
      </c>
      <c r="L34" s="190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Q34" s="187"/>
      <c r="BR34" s="187"/>
      <c r="BS34" s="187"/>
    </row>
    <row r="35" spans="5:71" ht="13.15" customHeight="1">
      <c r="I35" s="18">
        <v>2</v>
      </c>
      <c r="K35" s="13" t="s">
        <v>53</v>
      </c>
      <c r="L35" s="190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87"/>
      <c r="Y35" s="187"/>
      <c r="Z35" s="187"/>
      <c r="AA35" s="187"/>
      <c r="AB35" s="187"/>
      <c r="AC35" s="187"/>
      <c r="AD35" s="187"/>
      <c r="AE35" s="187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Q35" s="187"/>
      <c r="BR35" s="187"/>
      <c r="BS35" s="187"/>
    </row>
    <row r="36" spans="5:71" ht="13.15" customHeight="1">
      <c r="I36" s="21">
        <v>3</v>
      </c>
      <c r="K36" s="13" t="s">
        <v>54</v>
      </c>
      <c r="L36" s="190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87"/>
      <c r="Y36" s="187"/>
      <c r="Z36" s="187"/>
      <c r="AA36" s="187"/>
      <c r="AB36" s="187"/>
      <c r="AC36" s="187"/>
      <c r="AD36" s="18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</row>
    <row r="37" spans="5:71" ht="13.15" customHeight="1"/>
    <row r="38" spans="5:71" ht="13.15" customHeight="1"/>
    <row r="39" spans="5:71" ht="13.15" customHeight="1"/>
    <row r="40" spans="5:71" ht="13.15" customHeight="1"/>
    <row r="41" spans="5:71" ht="13.15" customHeight="1"/>
    <row r="42" spans="5:71" ht="13.15" customHeight="1">
      <c r="E42" s="3"/>
    </row>
    <row r="43" spans="5:71" ht="13.15" customHeight="1">
      <c r="E43" s="3"/>
    </row>
    <row r="44" spans="5:71" ht="13.15" customHeight="1"/>
    <row r="45" spans="5:71" ht="13.15" customHeight="1"/>
    <row r="46" spans="5:71" ht="13.15" customHeight="1"/>
    <row r="47" spans="5:71" ht="13.15" customHeight="1"/>
    <row r="48" spans="5:71" ht="13.15" customHeight="1"/>
    <row r="49" ht="13.15" customHeight="1"/>
    <row r="50" ht="13.15" customHeight="1"/>
    <row r="51" ht="13.15" customHeight="1"/>
    <row r="52" ht="13.15" customHeight="1"/>
    <row r="53" ht="13.15" customHeight="1"/>
    <row r="54" ht="13.15" customHeight="1"/>
    <row r="55" ht="13.15" customHeight="1"/>
    <row r="56" ht="13.15" customHeight="1"/>
    <row r="57" ht="13.15" customHeight="1"/>
    <row r="58" ht="13.15" customHeight="1"/>
    <row r="59" ht="13.15" customHeight="1"/>
    <row r="63" ht="13.15" customHeight="1"/>
    <row r="73" ht="13.15" customHeight="1"/>
    <row r="74" ht="13.15" customHeight="1"/>
  </sheetData>
  <mergeCells count="14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19">
    <cfRule type="expression" dxfId="55" priority="46">
      <formula>$C19&lt;&gt;$C18</formula>
    </cfRule>
  </conditionalFormatting>
  <conditionalFormatting sqref="D19">
    <cfRule type="expression" dxfId="54" priority="47">
      <formula>$T51="Y"</formula>
    </cfRule>
  </conditionalFormatting>
  <conditionalFormatting sqref="E19">
    <cfRule type="expression" dxfId="53" priority="44">
      <formula>$C19&lt;&gt;$C18</formula>
    </cfRule>
  </conditionalFormatting>
  <conditionalFormatting sqref="E19">
    <cfRule type="expression" dxfId="52" priority="45">
      <formula>$T51="Y"</formula>
    </cfRule>
  </conditionalFormatting>
  <conditionalFormatting sqref="L6">
    <cfRule type="expression" dxfId="51" priority="37">
      <formula>$L6="GROUP"</formula>
    </cfRule>
  </conditionalFormatting>
  <conditionalFormatting sqref="L7">
    <cfRule type="expression" dxfId="50" priority="36">
      <formula>$L7="GROUP"</formula>
    </cfRule>
  </conditionalFormatting>
  <conditionalFormatting sqref="L8">
    <cfRule type="expression" dxfId="49" priority="35">
      <formula>$L8="GROUP"</formula>
    </cfRule>
  </conditionalFormatting>
  <conditionalFormatting sqref="L9">
    <cfRule type="expression" dxfId="48" priority="34">
      <formula>$L9="GROUP"</formula>
    </cfRule>
  </conditionalFormatting>
  <conditionalFormatting sqref="R6">
    <cfRule type="expression" dxfId="47" priority="33">
      <formula>$L6="GROUP"</formula>
    </cfRule>
  </conditionalFormatting>
  <conditionalFormatting sqref="R7">
    <cfRule type="expression" dxfId="46" priority="32">
      <formula>$L7="GROUP"</formula>
    </cfRule>
  </conditionalFormatting>
  <conditionalFormatting sqref="R8">
    <cfRule type="expression" dxfId="45" priority="31">
      <formula>$L8="GROUP"</formula>
    </cfRule>
  </conditionalFormatting>
  <conditionalFormatting sqref="R9">
    <cfRule type="expression" dxfId="44" priority="30">
      <formula>$L9="GROUP"</formula>
    </cfRule>
  </conditionalFormatting>
  <conditionalFormatting sqref="Y12">
    <cfRule type="expression" dxfId="43" priority="29">
      <formula>$L12="GROUP"</formula>
    </cfRule>
  </conditionalFormatting>
  <conditionalFormatting sqref="U6">
    <cfRule type="expression" dxfId="42" priority="24">
      <formula>$L6="GROUP"</formula>
    </cfRule>
  </conditionalFormatting>
  <conditionalFormatting sqref="U7">
    <cfRule type="expression" dxfId="41" priority="23">
      <formula>$L7="GROUP"</formula>
    </cfRule>
  </conditionalFormatting>
  <conditionalFormatting sqref="U8">
    <cfRule type="expression" dxfId="40" priority="22">
      <formula>$L8="GROUP"</formula>
    </cfRule>
  </conditionalFormatting>
  <conditionalFormatting sqref="U9">
    <cfRule type="expression" dxfId="39" priority="21">
      <formula>$L9="GROUP"</formula>
    </cfRule>
  </conditionalFormatting>
  <conditionalFormatting sqref="AB12">
    <cfRule type="expression" dxfId="38" priority="20">
      <formula>$L12="GROUP"</formula>
    </cfRule>
  </conditionalFormatting>
  <conditionalFormatting sqref="O6">
    <cfRule type="expression" dxfId="37" priority="19">
      <formula>$L6="GROUP"</formula>
    </cfRule>
  </conditionalFormatting>
  <conditionalFormatting sqref="O7">
    <cfRule type="expression" dxfId="36" priority="18">
      <formula>$L7="GROUP"</formula>
    </cfRule>
  </conditionalFormatting>
  <conditionalFormatting sqref="O8">
    <cfRule type="expression" dxfId="35" priority="17">
      <formula>$L8="GROUP"</formula>
    </cfRule>
  </conditionalFormatting>
  <conditionalFormatting sqref="O9">
    <cfRule type="expression" dxfId="34" priority="16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04"/>
  <sheetViews>
    <sheetView tabSelected="1" workbookViewId="0">
      <selection activeCell="Q14" sqref="Q14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0" t="str">
        <f>Trade!B2</f>
        <v>FFW: Forex Forward</v>
      </c>
      <c r="C2" s="210"/>
      <c r="D2" s="210"/>
      <c r="E2" s="210"/>
      <c r="F2" s="21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7" t="str">
        <f>Trade!F5</f>
        <v>FFW000001_001</v>
      </c>
      <c r="D5" s="217"/>
      <c r="E5" s="217"/>
      <c r="F5" s="212"/>
      <c r="J5" s="218"/>
      <c r="K5" s="218"/>
      <c r="M5" s="217" t="str">
        <f>"GIRR/" &amp; Trade!F11</f>
        <v>GIRR/IRKRW-CRS</v>
      </c>
      <c r="N5" s="217"/>
      <c r="P5" s="207" t="str">
        <f>IF(Trade!Y14="F", "GIRR/" &amp; Trade!Y13, "")</f>
        <v/>
      </c>
      <c r="Q5" s="207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357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438643853.19156998</v>
      </c>
      <c r="G7" s="1" t="s">
        <v>9</v>
      </c>
      <c r="H7" s="18">
        <v>1</v>
      </c>
      <c r="I7" s="2"/>
      <c r="J7" s="194"/>
      <c r="K7" s="195"/>
      <c r="M7" s="37">
        <v>1</v>
      </c>
      <c r="N7" s="31">
        <v>-372238006.19900227</v>
      </c>
      <c r="P7" s="37"/>
      <c r="Q7" s="31"/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8">
        <v>-609252023.75829196</v>
      </c>
      <c r="G8" s="1" t="s">
        <v>9</v>
      </c>
      <c r="H8" s="18">
        <v>2</v>
      </c>
      <c r="I8" s="2"/>
      <c r="J8" s="194"/>
      <c r="K8" s="195"/>
      <c r="M8" s="37">
        <v>2</v>
      </c>
      <c r="N8" s="31">
        <v>-237034132.5366497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2"/>
      <c r="G9" s="1" t="s">
        <v>9</v>
      </c>
      <c r="H9" s="18">
        <v>3</v>
      </c>
      <c r="I9" s="2"/>
      <c r="J9" s="194"/>
      <c r="K9" s="195"/>
      <c r="M9" s="37"/>
      <c r="N9" s="31"/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846334880.59043896</v>
      </c>
      <c r="G10" s="1" t="s">
        <v>9</v>
      </c>
      <c r="H10" s="18">
        <v>4</v>
      </c>
      <c r="I10" s="2"/>
      <c r="J10" s="194"/>
      <c r="K10" s="195"/>
      <c r="M10" s="37"/>
      <c r="N10" s="31"/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8">
        <v>1.38904109589041</v>
      </c>
      <c r="G11" s="1" t="s">
        <v>9</v>
      </c>
      <c r="H11" s="18">
        <v>5</v>
      </c>
      <c r="I11" s="2"/>
      <c r="J11" s="194"/>
      <c r="K11" s="195"/>
      <c r="M11" s="37"/>
      <c r="N11" s="31"/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8">
        <v>2.5649209288635801</v>
      </c>
      <c r="G12" s="1" t="s">
        <v>9</v>
      </c>
      <c r="H12" s="18">
        <v>6</v>
      </c>
      <c r="I12" s="2"/>
      <c r="M12" s="37"/>
      <c r="N12" s="31"/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148">
        <v>-60925.202375829198</v>
      </c>
      <c r="G13" s="1" t="s">
        <v>9</v>
      </c>
      <c r="H13" s="18">
        <v>6</v>
      </c>
      <c r="I13" s="2"/>
      <c r="M13" s="37"/>
      <c r="N13" s="31"/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717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65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07"/>
      <c r="K22" s="207"/>
      <c r="M22" s="217" t="str">
        <f>"GIRR/" &amp; Trade!F11</f>
        <v>GIRR/IRKRW-CRS</v>
      </c>
      <c r="N22" s="217"/>
      <c r="P22" s="207"/>
      <c r="Q22" s="207"/>
    </row>
    <row r="23" spans="2:25">
      <c r="C23" s="47">
        <v>17</v>
      </c>
      <c r="D23" s="17" t="s">
        <v>38</v>
      </c>
      <c r="E23" s="19" t="s">
        <v>64</v>
      </c>
      <c r="F23" s="36" t="s">
        <v>718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65</v>
      </c>
      <c r="F24" s="41"/>
      <c r="G24" s="1" t="s">
        <v>9</v>
      </c>
      <c r="H24" s="18">
        <v>1</v>
      </c>
      <c r="J24" s="6"/>
      <c r="K24" s="164"/>
      <c r="M24" s="6" t="s">
        <v>67</v>
      </c>
      <c r="N24" s="164">
        <v>-10236665.325180471</v>
      </c>
      <c r="P24" s="6"/>
      <c r="Q24" s="164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4"/>
      <c r="M25" s="6" t="s">
        <v>68</v>
      </c>
      <c r="N25" s="164">
        <v>10481267.469933569</v>
      </c>
      <c r="P25" s="6"/>
      <c r="Q25" s="164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719</v>
      </c>
      <c r="G28" s="1" t="s">
        <v>9</v>
      </c>
      <c r="H28" s="3" t="s">
        <v>552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345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9" t="s">
        <v>58</v>
      </c>
      <c r="E30" s="40" t="s">
        <v>64</v>
      </c>
      <c r="F30" s="197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710</v>
      </c>
      <c r="E34" s="17" t="s">
        <v>709</v>
      </c>
      <c r="F34" s="196" t="s">
        <v>711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0">
        <v>2</v>
      </c>
      <c r="D35" s="35" t="s">
        <v>87</v>
      </c>
      <c r="E35" s="17" t="s">
        <v>572</v>
      </c>
      <c r="F35" s="183">
        <v>1.7000000000000001E-2</v>
      </c>
      <c r="H35" s="18">
        <v>1</v>
      </c>
      <c r="J35" s="177" t="s">
        <v>557</v>
      </c>
      <c r="K35" s="2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2">
        <v>3</v>
      </c>
      <c r="D36" s="203" t="s">
        <v>211</v>
      </c>
      <c r="E36" s="34" t="s">
        <v>573</v>
      </c>
      <c r="F36" s="204"/>
      <c r="H36" s="18">
        <v>2</v>
      </c>
      <c r="J36" s="177" t="s">
        <v>558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213</v>
      </c>
      <c r="F37" s="43">
        <v>1</v>
      </c>
      <c r="G37" s="1"/>
      <c r="H37" s="18">
        <v>3</v>
      </c>
      <c r="I37" s="1"/>
      <c r="J37" s="177" t="s">
        <v>559</v>
      </c>
      <c r="K37" s="185">
        <v>452730000</v>
      </c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712</v>
      </c>
      <c r="G38" s="1"/>
      <c r="H38" s="18">
        <v>4</v>
      </c>
      <c r="I38" s="1"/>
      <c r="J38" s="177" t="s">
        <v>560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0" t="s">
        <v>561</v>
      </c>
      <c r="K39" s="179">
        <v>46164</v>
      </c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7" t="s">
        <v>236</v>
      </c>
      <c r="K40" s="185">
        <v>452730000</v>
      </c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7" t="s">
        <v>247</v>
      </c>
      <c r="K41" s="186">
        <v>0.96888620853835627</v>
      </c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562</v>
      </c>
      <c r="F43" s="30" t="s">
        <v>553</v>
      </c>
    </row>
    <row r="44" spans="1:130">
      <c r="C44" s="16">
        <v>2</v>
      </c>
      <c r="D44" s="17" t="s">
        <v>24</v>
      </c>
      <c r="E44" s="17" t="s">
        <v>26</v>
      </c>
      <c r="F44" s="30" t="s">
        <v>555</v>
      </c>
    </row>
    <row r="45" spans="1:130">
      <c r="C45" s="16">
        <v>3</v>
      </c>
      <c r="D45" s="17" t="s">
        <v>212</v>
      </c>
      <c r="E45" s="17" t="s">
        <v>0</v>
      </c>
      <c r="F45" s="30" t="s">
        <v>715</v>
      </c>
    </row>
    <row r="46" spans="1:130">
      <c r="C46" s="16">
        <v>4</v>
      </c>
      <c r="D46" s="17" t="s">
        <v>25</v>
      </c>
      <c r="E46" s="17" t="s">
        <v>49</v>
      </c>
      <c r="F46" s="184">
        <v>452730000</v>
      </c>
    </row>
    <row r="47" spans="1:130">
      <c r="C47" s="16">
        <v>5</v>
      </c>
      <c r="D47" s="17" t="s">
        <v>44</v>
      </c>
      <c r="E47" s="27" t="s">
        <v>107</v>
      </c>
      <c r="F47" s="184">
        <v>10</v>
      </c>
    </row>
    <row r="48" spans="1:130">
      <c r="C48" s="16">
        <v>6</v>
      </c>
      <c r="D48" s="17" t="s">
        <v>45</v>
      </c>
      <c r="E48" s="27" t="s">
        <v>108</v>
      </c>
      <c r="F48" s="30" t="s">
        <v>214</v>
      </c>
      <c r="AH48" s="166"/>
    </row>
    <row r="49" spans="3:34">
      <c r="C49" s="16">
        <v>7</v>
      </c>
      <c r="D49" s="17" t="s">
        <v>46</v>
      </c>
      <c r="E49" s="27" t="s">
        <v>109</v>
      </c>
      <c r="F49" s="30" t="s">
        <v>716</v>
      </c>
      <c r="AH49" s="166"/>
    </row>
    <row r="50" spans="3:34">
      <c r="C50" s="16">
        <v>8</v>
      </c>
      <c r="D50" s="17" t="s">
        <v>106</v>
      </c>
      <c r="E50" s="27" t="s">
        <v>210</v>
      </c>
      <c r="F50" s="30" t="s">
        <v>215</v>
      </c>
      <c r="AH50" s="166"/>
    </row>
    <row r="51" spans="3:34">
      <c r="C51" s="16">
        <v>9</v>
      </c>
      <c r="D51" s="17" t="s">
        <v>57</v>
      </c>
      <c r="E51" s="17" t="s">
        <v>572</v>
      </c>
      <c r="F51" s="184">
        <v>1.7000000000000001E-2</v>
      </c>
      <c r="AH51" s="166"/>
    </row>
    <row r="52" spans="3:34">
      <c r="C52" s="16">
        <v>10</v>
      </c>
      <c r="D52" s="17" t="s">
        <v>47</v>
      </c>
      <c r="E52" s="17" t="s">
        <v>50</v>
      </c>
      <c r="F52" s="30">
        <v>9</v>
      </c>
      <c r="AH52" s="166"/>
    </row>
    <row r="53" spans="3:34">
      <c r="C53" s="16">
        <v>11</v>
      </c>
      <c r="D53" s="17" t="s">
        <v>48</v>
      </c>
      <c r="E53" s="17" t="s">
        <v>51</v>
      </c>
      <c r="F53" s="30">
        <v>1</v>
      </c>
      <c r="AH53" s="166"/>
    </row>
    <row r="54" spans="3:34">
      <c r="G54" s="1" t="s">
        <v>358</v>
      </c>
      <c r="AH54" s="166"/>
    </row>
    <row r="55" spans="3:34">
      <c r="G55" s="1" t="s">
        <v>358</v>
      </c>
      <c r="AH55" s="166"/>
    </row>
    <row r="56" spans="3:34">
      <c r="G56" s="1" t="s">
        <v>358</v>
      </c>
      <c r="AH56" s="166"/>
    </row>
    <row r="57" spans="3:34">
      <c r="G57" s="1" t="s">
        <v>358</v>
      </c>
      <c r="AH57" s="166"/>
    </row>
    <row r="58" spans="3:34">
      <c r="G58" s="1" t="s">
        <v>358</v>
      </c>
      <c r="AH58" s="166"/>
    </row>
    <row r="59" spans="3:34">
      <c r="G59" s="1" t="s">
        <v>358</v>
      </c>
      <c r="AH59" s="166"/>
    </row>
    <row r="60" spans="3:34">
      <c r="G60" s="1" t="s">
        <v>358</v>
      </c>
      <c r="AH60" s="166"/>
    </row>
    <row r="61" spans="3:34">
      <c r="E61" s="1"/>
      <c r="AH61" s="166"/>
    </row>
    <row r="62" spans="3:34">
      <c r="D62" s="1" t="s">
        <v>359</v>
      </c>
      <c r="AH62" s="166"/>
    </row>
    <row r="63" spans="3:34">
      <c r="D63" s="1" t="s">
        <v>360</v>
      </c>
      <c r="AH63" s="166"/>
    </row>
    <row r="64" spans="3:34">
      <c r="D64" s="1" t="s">
        <v>361</v>
      </c>
      <c r="AH64" s="166"/>
    </row>
    <row r="65" spans="3:34">
      <c r="C65" s="1"/>
      <c r="D65" s="1" t="s">
        <v>362</v>
      </c>
      <c r="E65" s="1"/>
      <c r="F65" s="1"/>
      <c r="AH65" s="166"/>
    </row>
    <row r="66" spans="3:34">
      <c r="C66" s="1"/>
      <c r="D66" s="1" t="s">
        <v>363</v>
      </c>
      <c r="E66" s="1"/>
      <c r="F66" s="1"/>
      <c r="AH66" s="166"/>
    </row>
    <row r="67" spans="3:34">
      <c r="C67" s="1"/>
      <c r="D67" s="3" t="s">
        <v>364</v>
      </c>
      <c r="E67" s="1"/>
      <c r="F67" s="1"/>
      <c r="AH67" s="166"/>
    </row>
    <row r="68" spans="3:34">
      <c r="C68" s="1"/>
      <c r="D68" s="3" t="s">
        <v>365</v>
      </c>
      <c r="E68" s="1"/>
      <c r="F68" s="1"/>
      <c r="AH68" s="166"/>
    </row>
    <row r="69" spans="3:34">
      <c r="C69" s="1"/>
      <c r="D69" s="1" t="s">
        <v>366</v>
      </c>
      <c r="E69" s="1"/>
      <c r="F69" s="1"/>
      <c r="AH69" s="166"/>
    </row>
    <row r="70" spans="3:34">
      <c r="C70" s="1"/>
      <c r="D70" s="1" t="s">
        <v>367</v>
      </c>
      <c r="E70" s="1"/>
      <c r="F70" s="1"/>
      <c r="AH70" s="166"/>
    </row>
    <row r="71" spans="3:34">
      <c r="C71" s="1"/>
      <c r="D71" s="1" t="s">
        <v>368</v>
      </c>
      <c r="E71" s="1"/>
      <c r="F71" s="1"/>
      <c r="AH71" s="166"/>
    </row>
    <row r="72" spans="3:34">
      <c r="C72" s="1"/>
      <c r="D72" s="1" t="s">
        <v>369</v>
      </c>
      <c r="E72" s="1"/>
      <c r="F72" s="1"/>
      <c r="AH72" s="166"/>
    </row>
    <row r="73" spans="3:34">
      <c r="C73" s="1"/>
      <c r="D73" s="1" t="s">
        <v>370</v>
      </c>
      <c r="E73" s="1"/>
      <c r="F73" s="1"/>
      <c r="AH73" s="166"/>
    </row>
    <row r="74" spans="3:34">
      <c r="C74" s="1"/>
      <c r="D74" s="1" t="s">
        <v>371</v>
      </c>
      <c r="E74" s="1"/>
      <c r="F74" s="1"/>
      <c r="AH74" s="166"/>
    </row>
    <row r="75" spans="3:34">
      <c r="D75" s="1" t="s">
        <v>372</v>
      </c>
      <c r="O75" s="165"/>
      <c r="P75" s="165"/>
      <c r="Q75" s="165"/>
      <c r="AH75" s="166"/>
    </row>
    <row r="76" spans="3:34">
      <c r="D76" s="1" t="s">
        <v>373</v>
      </c>
      <c r="K76" s="166"/>
      <c r="L76" s="166"/>
      <c r="M76" s="166"/>
      <c r="N76" s="166"/>
      <c r="O76" s="165"/>
      <c r="P76" s="165"/>
      <c r="Q76" s="165"/>
      <c r="AH76" s="166"/>
    </row>
    <row r="77" spans="3:34">
      <c r="D77" s="1" t="s">
        <v>374</v>
      </c>
      <c r="O77" s="165"/>
      <c r="P77" s="165"/>
      <c r="Q77" s="165"/>
      <c r="AH77" s="166"/>
    </row>
    <row r="78" spans="3:34">
      <c r="D78" s="1" t="s">
        <v>375</v>
      </c>
      <c r="K78" s="165"/>
      <c r="N78" s="165"/>
      <c r="O78" s="165"/>
      <c r="P78" s="165"/>
      <c r="Q78" s="165"/>
      <c r="AH78" s="166"/>
    </row>
    <row r="79" spans="3:34">
      <c r="D79" s="1" t="s">
        <v>376</v>
      </c>
      <c r="K79" s="165"/>
      <c r="N79" s="165"/>
      <c r="O79" s="165"/>
      <c r="P79" s="165"/>
      <c r="Q79" s="165"/>
      <c r="AH79" s="166"/>
    </row>
    <row r="80" spans="3:34">
      <c r="D80" s="1" t="s">
        <v>377</v>
      </c>
      <c r="K80" s="165"/>
      <c r="N80" s="165"/>
      <c r="O80" s="165"/>
      <c r="P80" s="165"/>
      <c r="Q80" s="165"/>
      <c r="AH80" s="166"/>
    </row>
    <row r="81" spans="4:34">
      <c r="D81" s="1" t="s">
        <v>378</v>
      </c>
      <c r="K81" s="165"/>
      <c r="N81" s="165"/>
      <c r="O81" s="165"/>
      <c r="P81" s="165"/>
      <c r="Q81" s="165"/>
      <c r="AH81" s="166"/>
    </row>
    <row r="82" spans="4:34">
      <c r="D82" s="1" t="s">
        <v>379</v>
      </c>
      <c r="K82" s="165"/>
      <c r="N82" s="165"/>
      <c r="O82" s="165"/>
      <c r="P82" s="165"/>
      <c r="Q82" s="165"/>
      <c r="AH82" s="166"/>
    </row>
    <row r="83" spans="4:34" ht="13.5" customHeight="1">
      <c r="D83" s="1" t="s">
        <v>380</v>
      </c>
      <c r="K83" s="165"/>
      <c r="N83" s="165"/>
      <c r="O83" s="165"/>
      <c r="P83" s="165"/>
      <c r="Q83" s="165"/>
      <c r="AH83" s="166"/>
    </row>
    <row r="84" spans="4:34">
      <c r="D84" s="1" t="s">
        <v>381</v>
      </c>
      <c r="K84" s="165"/>
      <c r="N84" s="165"/>
      <c r="O84" s="165"/>
      <c r="P84" s="165"/>
      <c r="Q84" s="165"/>
      <c r="AH84" s="166"/>
    </row>
    <row r="85" spans="4:34">
      <c r="D85" s="3" t="s">
        <v>382</v>
      </c>
      <c r="K85" s="165"/>
      <c r="N85" s="165"/>
      <c r="O85" s="165"/>
      <c r="P85" s="165"/>
      <c r="Q85" s="165"/>
      <c r="AH85" s="166"/>
    </row>
    <row r="86" spans="4:34">
      <c r="K86" s="165"/>
      <c r="N86" s="165"/>
      <c r="O86" s="165"/>
      <c r="P86" s="165"/>
      <c r="Q86" s="165"/>
      <c r="AH86" s="166"/>
    </row>
    <row r="87" spans="4:34">
      <c r="K87" s="165"/>
      <c r="N87" s="165"/>
      <c r="O87" s="165"/>
      <c r="P87" s="165"/>
      <c r="Q87" s="165"/>
      <c r="AH87" s="166"/>
    </row>
    <row r="88" spans="4:34">
      <c r="K88" s="165"/>
      <c r="N88" s="165"/>
      <c r="O88" s="165"/>
      <c r="P88" s="165"/>
      <c r="Q88" s="165"/>
      <c r="AH88" s="166"/>
    </row>
    <row r="89" spans="4:34">
      <c r="K89" s="165"/>
      <c r="N89" s="165"/>
      <c r="O89" s="165"/>
      <c r="P89" s="165"/>
      <c r="Q89" s="165"/>
      <c r="AH89" s="166"/>
    </row>
    <row r="90" spans="4:34">
      <c r="K90" s="165"/>
      <c r="N90" s="165"/>
      <c r="O90" s="165"/>
      <c r="P90" s="165"/>
      <c r="Q90" s="165"/>
      <c r="AH90" s="166"/>
    </row>
    <row r="91" spans="4:34">
      <c r="K91" s="165"/>
      <c r="N91" s="165"/>
      <c r="O91" s="165"/>
      <c r="P91" s="165"/>
      <c r="Q91" s="165"/>
      <c r="AH91" s="166"/>
    </row>
    <row r="92" spans="4:34">
      <c r="K92" s="165"/>
      <c r="N92" s="165"/>
      <c r="O92" s="165"/>
      <c r="P92" s="165"/>
      <c r="Q92" s="165"/>
      <c r="AH92" s="166"/>
    </row>
    <row r="93" spans="4:34">
      <c r="K93" s="165"/>
      <c r="N93" s="165"/>
      <c r="O93" s="165"/>
      <c r="P93" s="165"/>
      <c r="Q93" s="165"/>
      <c r="AH93" s="166"/>
    </row>
    <row r="94" spans="4:34">
      <c r="K94" s="165"/>
      <c r="N94" s="165"/>
      <c r="O94" s="165"/>
      <c r="P94" s="165"/>
      <c r="Q94" s="165"/>
      <c r="AH94" s="166"/>
    </row>
    <row r="95" spans="4:34">
      <c r="K95" s="165"/>
      <c r="N95" s="165"/>
      <c r="O95" s="165"/>
      <c r="P95" s="165"/>
      <c r="Q95" s="165"/>
      <c r="AH95" s="166"/>
    </row>
    <row r="96" spans="4:34">
      <c r="K96" s="165"/>
      <c r="N96" s="165"/>
      <c r="O96" s="165"/>
      <c r="P96" s="165"/>
      <c r="Q96" s="165"/>
      <c r="AH96" s="166"/>
    </row>
    <row r="97" spans="11:34">
      <c r="K97" s="165"/>
      <c r="N97" s="165"/>
      <c r="O97" s="165"/>
      <c r="P97" s="165"/>
      <c r="Q97" s="165"/>
      <c r="AH97" s="166"/>
    </row>
    <row r="98" spans="11:34">
      <c r="K98" s="165"/>
      <c r="N98" s="165"/>
      <c r="O98" s="165"/>
      <c r="P98" s="165"/>
      <c r="Q98" s="165"/>
      <c r="AH98" s="166"/>
    </row>
    <row r="99" spans="11:34">
      <c r="K99" s="165"/>
      <c r="N99" s="165"/>
      <c r="O99" s="165"/>
      <c r="P99" s="165"/>
      <c r="Q99" s="165"/>
      <c r="AH99" s="166"/>
    </row>
    <row r="100" spans="11:34">
      <c r="K100" s="165"/>
      <c r="N100" s="165"/>
      <c r="O100" s="165"/>
      <c r="P100" s="165"/>
      <c r="Q100" s="165"/>
      <c r="AH100" s="166"/>
    </row>
    <row r="101" spans="11:34">
      <c r="K101" s="165"/>
      <c r="N101" s="165"/>
      <c r="O101" s="165"/>
      <c r="P101" s="165"/>
      <c r="Q101" s="165"/>
      <c r="AH101" s="166"/>
    </row>
    <row r="102" spans="11:34">
      <c r="K102" s="165"/>
      <c r="N102" s="165"/>
      <c r="O102" s="165"/>
      <c r="P102" s="165"/>
      <c r="Q102" s="165"/>
      <c r="AH102" s="166"/>
    </row>
    <row r="103" spans="11:34">
      <c r="K103" s="165"/>
      <c r="N103" s="165"/>
      <c r="O103" s="165"/>
      <c r="P103" s="165"/>
      <c r="Q103" s="165"/>
      <c r="AH103" s="166"/>
    </row>
    <row r="104" spans="11:34">
      <c r="K104" s="165"/>
      <c r="AH104" s="166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7" xr:uid="{14F22BD6-4EE7-452B-BD06-E1C08D5502AB}">
      <formula1>"0,1"</formula1>
    </dataValidation>
    <dataValidation type="list" allowBlank="1" showInputMessage="1" showErrorMessage="1" sqref="E7:E30" xr:uid="{3D28A749-AF57-4D0C-8E1A-E3F1E63248E5}">
      <formula1>"Y,N"</formula1>
    </dataValidation>
    <dataValidation type="list" allowBlank="1" showInputMessage="1" showErrorMessage="1" sqref="F34" xr:uid="{7F0B2A45-FBC8-47A3-9352-BD6C68802154}">
      <formula1>"ZCL"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688D-C916-4DC8-94C9-68735E0D8AB6}">
  <sheetPr codeName="Sheet18"/>
  <dimension ref="A2:DZ104"/>
  <sheetViews>
    <sheetView workbookViewId="0">
      <selection activeCell="F10" sqref="F10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0" t="str">
        <f>Trade!B2</f>
        <v>FFW: Forex Forward</v>
      </c>
      <c r="C2" s="210"/>
      <c r="D2" s="210"/>
      <c r="E2" s="210"/>
      <c r="F2" s="21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7" t="str">
        <f>Trade!G5</f>
        <v>FFW000001_002</v>
      </c>
      <c r="D5" s="217"/>
      <c r="E5" s="217"/>
      <c r="F5" s="212"/>
      <c r="J5" s="218"/>
      <c r="K5" s="218"/>
      <c r="M5" s="217" t="str">
        <f>"GIRR/" &amp; Trade!G11</f>
        <v>GIRR/IREUR-CRS</v>
      </c>
      <c r="N5" s="217"/>
      <c r="P5" s="207" t="str">
        <f>IF(Trade!Y14="F", "GIRR/" &amp; Trade!Y13, "")</f>
        <v/>
      </c>
      <c r="Q5" s="207"/>
      <c r="S5" s="53" t="str">
        <f>IF(F38&lt;&gt;"KRW", "FX"&amp;F38, "")</f>
        <v>FXEUR</v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357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29153.970909520202</v>
      </c>
      <c r="G7" s="1" t="s">
        <v>9</v>
      </c>
      <c r="H7" s="18">
        <v>1</v>
      </c>
      <c r="I7" s="2"/>
      <c r="J7" s="194"/>
      <c r="K7" s="195"/>
      <c r="M7" s="37">
        <v>1</v>
      </c>
      <c r="N7" s="31">
        <v>-24740.380892581015</v>
      </c>
      <c r="P7" s="37"/>
      <c r="Q7" s="31"/>
      <c r="S7" s="5">
        <v>0</v>
      </c>
      <c r="T7" s="17">
        <f>IF(S5&lt;&gt;"",F7,"")</f>
        <v>29153.970909520202</v>
      </c>
    </row>
    <row r="8" spans="1:26">
      <c r="C8" s="47">
        <v>2</v>
      </c>
      <c r="D8" s="29" t="s">
        <v>14</v>
      </c>
      <c r="E8" s="39" t="s">
        <v>64</v>
      </c>
      <c r="F8" s="148">
        <v>-40493.251297084498</v>
      </c>
      <c r="G8" s="1" t="s">
        <v>9</v>
      </c>
      <c r="H8" s="18">
        <v>2</v>
      </c>
      <c r="I8" s="2"/>
      <c r="J8" s="194"/>
      <c r="K8" s="195"/>
      <c r="M8" s="37">
        <v>2</v>
      </c>
      <c r="N8" s="31">
        <v>-15754.207323916489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2"/>
      <c r="G9" s="1" t="s">
        <v>9</v>
      </c>
      <c r="H9" s="18">
        <v>3</v>
      </c>
      <c r="I9" s="2"/>
      <c r="J9" s="194"/>
      <c r="K9" s="195"/>
      <c r="M9" s="37"/>
      <c r="N9" s="31"/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56250.697161885902</v>
      </c>
      <c r="G10" s="1" t="s">
        <v>9</v>
      </c>
      <c r="H10" s="18">
        <v>4</v>
      </c>
      <c r="I10" s="2"/>
      <c r="J10" s="194"/>
      <c r="K10" s="195"/>
      <c r="M10" s="37"/>
      <c r="N10" s="31"/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8">
        <v>1.38904109589041</v>
      </c>
      <c r="G11" s="1" t="s">
        <v>9</v>
      </c>
      <c r="H11" s="18">
        <v>5</v>
      </c>
      <c r="I11" s="2"/>
      <c r="J11" s="194"/>
      <c r="K11" s="195"/>
      <c r="M11" s="37"/>
      <c r="N11" s="31"/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8">
        <v>2.5704699627797201</v>
      </c>
      <c r="G12" s="1" t="s">
        <v>9</v>
      </c>
      <c r="H12" s="18">
        <v>6</v>
      </c>
      <c r="I12" s="2"/>
      <c r="M12" s="37"/>
      <c r="N12" s="31"/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205">
        <v>-4.0493251297084498</v>
      </c>
      <c r="G13" s="1" t="s">
        <v>9</v>
      </c>
      <c r="H13" s="18">
        <v>6</v>
      </c>
      <c r="I13" s="2"/>
      <c r="M13" s="37"/>
      <c r="N13" s="31"/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721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65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07"/>
      <c r="K22" s="207"/>
      <c r="M22" s="217" t="str">
        <f>"GIRR/" &amp; Trade!G11</f>
        <v>GIRR/IREUR-CRS</v>
      </c>
      <c r="N22" s="217"/>
      <c r="P22" s="207"/>
      <c r="Q22" s="207"/>
    </row>
    <row r="23" spans="2:25">
      <c r="C23" s="47">
        <v>17</v>
      </c>
      <c r="D23" s="17" t="s">
        <v>38</v>
      </c>
      <c r="E23" s="19" t="s">
        <v>64</v>
      </c>
      <c r="F23" s="36" t="s">
        <v>722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65</v>
      </c>
      <c r="F24" s="41"/>
      <c r="G24" s="1" t="s">
        <v>9</v>
      </c>
      <c r="H24" s="18">
        <v>1</v>
      </c>
      <c r="J24" s="6"/>
      <c r="K24" s="164"/>
      <c r="M24" s="6" t="s">
        <v>67</v>
      </c>
      <c r="N24" s="164">
        <v>-680.36846049331871</v>
      </c>
      <c r="P24" s="6"/>
      <c r="Q24" s="164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4"/>
      <c r="M25" s="6" t="s">
        <v>68</v>
      </c>
      <c r="N25" s="164">
        <v>696.6256672469317</v>
      </c>
      <c r="P25" s="6"/>
      <c r="Q25" s="164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723</v>
      </c>
      <c r="G28" s="1" t="s">
        <v>9</v>
      </c>
      <c r="H28" s="3" t="s">
        <v>552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345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9" t="s">
        <v>58</v>
      </c>
      <c r="E30" s="40" t="s">
        <v>64</v>
      </c>
      <c r="F30" s="197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710</v>
      </c>
      <c r="E34" s="17" t="s">
        <v>709</v>
      </c>
      <c r="F34" s="196" t="s">
        <v>711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0">
        <v>2</v>
      </c>
      <c r="D35" s="35" t="s">
        <v>87</v>
      </c>
      <c r="E35" s="17" t="s">
        <v>572</v>
      </c>
      <c r="F35" s="183">
        <v>1.7000000000000001E-2</v>
      </c>
      <c r="H35" s="18">
        <v>1</v>
      </c>
      <c r="J35" s="177" t="s">
        <v>557</v>
      </c>
      <c r="K35" s="2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2">
        <v>3</v>
      </c>
      <c r="D36" s="203" t="s">
        <v>211</v>
      </c>
      <c r="E36" s="34" t="s">
        <v>573</v>
      </c>
      <c r="F36" s="204"/>
      <c r="H36" s="18">
        <v>2</v>
      </c>
      <c r="J36" s="177" t="s">
        <v>558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213</v>
      </c>
      <c r="F37" s="43">
        <v>1</v>
      </c>
      <c r="G37" s="1"/>
      <c r="H37" s="18">
        <v>3</v>
      </c>
      <c r="I37" s="1"/>
      <c r="J37" s="177" t="s">
        <v>559</v>
      </c>
      <c r="K37" s="185">
        <v>30000</v>
      </c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714</v>
      </c>
      <c r="G38" s="1"/>
      <c r="H38" s="18">
        <v>4</v>
      </c>
      <c r="I38" s="1"/>
      <c r="J38" s="177" t="s">
        <v>560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0" t="s">
        <v>561</v>
      </c>
      <c r="K39" s="179">
        <v>46164</v>
      </c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7" t="s">
        <v>236</v>
      </c>
      <c r="K40" s="185">
        <v>30000</v>
      </c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7" t="s">
        <v>247</v>
      </c>
      <c r="K41" s="186">
        <v>0.97179903031733961</v>
      </c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553</v>
      </c>
    </row>
    <row r="44" spans="1:130">
      <c r="C44" s="16">
        <v>2</v>
      </c>
      <c r="D44" s="17" t="s">
        <v>24</v>
      </c>
      <c r="E44" s="17" t="s">
        <v>26</v>
      </c>
      <c r="F44" s="30" t="s">
        <v>555</v>
      </c>
    </row>
    <row r="45" spans="1:130">
      <c r="C45" s="16">
        <v>3</v>
      </c>
      <c r="D45" s="17" t="s">
        <v>212</v>
      </c>
      <c r="E45" s="17" t="s">
        <v>0</v>
      </c>
      <c r="F45" s="30" t="s">
        <v>715</v>
      </c>
    </row>
    <row r="46" spans="1:130">
      <c r="C46" s="16">
        <v>4</v>
      </c>
      <c r="D46" s="17" t="s">
        <v>25</v>
      </c>
      <c r="E46" s="17" t="s">
        <v>49</v>
      </c>
      <c r="F46" s="184">
        <v>30000</v>
      </c>
    </row>
    <row r="47" spans="1:130">
      <c r="C47" s="16">
        <v>5</v>
      </c>
      <c r="D47" s="17" t="s">
        <v>44</v>
      </c>
      <c r="E47" s="27" t="s">
        <v>107</v>
      </c>
      <c r="F47" s="184">
        <v>10</v>
      </c>
    </row>
    <row r="48" spans="1:130">
      <c r="C48" s="16">
        <v>6</v>
      </c>
      <c r="D48" s="17" t="s">
        <v>45</v>
      </c>
      <c r="E48" s="27" t="s">
        <v>108</v>
      </c>
      <c r="F48" s="30" t="s">
        <v>214</v>
      </c>
      <c r="AH48" s="166"/>
    </row>
    <row r="49" spans="3:34">
      <c r="C49" s="16">
        <v>7</v>
      </c>
      <c r="D49" s="17" t="s">
        <v>46</v>
      </c>
      <c r="E49" s="27" t="s">
        <v>109</v>
      </c>
      <c r="F49" s="30" t="s">
        <v>720</v>
      </c>
      <c r="AH49" s="166"/>
    </row>
    <row r="50" spans="3:34">
      <c r="C50" s="16">
        <v>8</v>
      </c>
      <c r="D50" s="17" t="s">
        <v>106</v>
      </c>
      <c r="E50" s="27" t="s">
        <v>210</v>
      </c>
      <c r="F50" s="30" t="s">
        <v>215</v>
      </c>
      <c r="AH50" s="166"/>
    </row>
    <row r="51" spans="3:34">
      <c r="C51" s="16">
        <v>9</v>
      </c>
      <c r="D51" s="17" t="s">
        <v>57</v>
      </c>
      <c r="E51" s="17" t="s">
        <v>572</v>
      </c>
      <c r="F51" s="184">
        <v>1.7000000000000001E-2</v>
      </c>
      <c r="AH51" s="166"/>
    </row>
    <row r="52" spans="3:34">
      <c r="C52" s="16">
        <v>10</v>
      </c>
      <c r="D52" s="17" t="s">
        <v>47</v>
      </c>
      <c r="E52" s="17" t="s">
        <v>50</v>
      </c>
      <c r="F52" s="30">
        <v>9</v>
      </c>
      <c r="AH52" s="166"/>
    </row>
    <row r="53" spans="3:34">
      <c r="C53" s="16">
        <v>11</v>
      </c>
      <c r="D53" s="17" t="s">
        <v>48</v>
      </c>
      <c r="E53" s="17" t="s">
        <v>51</v>
      </c>
      <c r="F53" s="30">
        <v>1</v>
      </c>
      <c r="AH53" s="166"/>
    </row>
    <row r="54" spans="3:34">
      <c r="G54" s="1" t="s">
        <v>358</v>
      </c>
      <c r="AH54" s="166"/>
    </row>
    <row r="55" spans="3:34">
      <c r="G55" s="1" t="s">
        <v>358</v>
      </c>
      <c r="AH55" s="166"/>
    </row>
    <row r="56" spans="3:34">
      <c r="G56" s="1" t="s">
        <v>358</v>
      </c>
      <c r="AH56" s="166"/>
    </row>
    <row r="57" spans="3:34">
      <c r="G57" s="1" t="s">
        <v>358</v>
      </c>
      <c r="AH57" s="166"/>
    </row>
    <row r="58" spans="3:34">
      <c r="G58" s="1" t="s">
        <v>358</v>
      </c>
      <c r="AH58" s="166"/>
    </row>
    <row r="59" spans="3:34">
      <c r="G59" s="1" t="s">
        <v>358</v>
      </c>
      <c r="AH59" s="166"/>
    </row>
    <row r="60" spans="3:34">
      <c r="G60" s="1" t="s">
        <v>358</v>
      </c>
      <c r="AH60" s="166"/>
    </row>
    <row r="61" spans="3:34">
      <c r="E61" s="1"/>
      <c r="AH61" s="166"/>
    </row>
    <row r="62" spans="3:34">
      <c r="D62" s="1" t="s">
        <v>359</v>
      </c>
      <c r="AH62" s="166"/>
    </row>
    <row r="63" spans="3:34">
      <c r="D63" s="1" t="s">
        <v>360</v>
      </c>
      <c r="AH63" s="166"/>
    </row>
    <row r="64" spans="3:34">
      <c r="D64" s="1" t="s">
        <v>361</v>
      </c>
      <c r="AH64" s="166"/>
    </row>
    <row r="65" spans="3:34">
      <c r="C65" s="1"/>
      <c r="D65" s="1" t="s">
        <v>362</v>
      </c>
      <c r="E65" s="1"/>
      <c r="F65" s="1"/>
      <c r="AH65" s="166"/>
    </row>
    <row r="66" spans="3:34">
      <c r="C66" s="1"/>
      <c r="D66" s="1" t="s">
        <v>363</v>
      </c>
      <c r="E66" s="1"/>
      <c r="F66" s="1"/>
      <c r="AH66" s="166"/>
    </row>
    <row r="67" spans="3:34">
      <c r="C67" s="1"/>
      <c r="D67" s="3" t="s">
        <v>364</v>
      </c>
      <c r="E67" s="1"/>
      <c r="F67" s="1"/>
      <c r="AH67" s="166"/>
    </row>
    <row r="68" spans="3:34">
      <c r="C68" s="1"/>
      <c r="D68" s="3" t="s">
        <v>365</v>
      </c>
      <c r="E68" s="1"/>
      <c r="F68" s="1"/>
      <c r="AH68" s="166"/>
    </row>
    <row r="69" spans="3:34">
      <c r="C69" s="1"/>
      <c r="D69" s="1" t="s">
        <v>366</v>
      </c>
      <c r="E69" s="1"/>
      <c r="F69" s="1"/>
      <c r="AH69" s="166"/>
    </row>
    <row r="70" spans="3:34">
      <c r="C70" s="1"/>
      <c r="D70" s="1" t="s">
        <v>367</v>
      </c>
      <c r="E70" s="1"/>
      <c r="F70" s="1"/>
      <c r="AH70" s="166"/>
    </row>
    <row r="71" spans="3:34">
      <c r="C71" s="1"/>
      <c r="D71" s="1" t="s">
        <v>368</v>
      </c>
      <c r="E71" s="1"/>
      <c r="F71" s="1"/>
      <c r="AH71" s="166"/>
    </row>
    <row r="72" spans="3:34">
      <c r="C72" s="1"/>
      <c r="D72" s="1" t="s">
        <v>369</v>
      </c>
      <c r="E72" s="1"/>
      <c r="F72" s="1"/>
      <c r="AH72" s="166"/>
    </row>
    <row r="73" spans="3:34">
      <c r="C73" s="1"/>
      <c r="D73" s="1" t="s">
        <v>370</v>
      </c>
      <c r="E73" s="1"/>
      <c r="F73" s="1"/>
      <c r="AH73" s="166"/>
    </row>
    <row r="74" spans="3:34">
      <c r="C74" s="1"/>
      <c r="D74" s="1" t="s">
        <v>371</v>
      </c>
      <c r="E74" s="1"/>
      <c r="F74" s="1"/>
      <c r="AH74" s="166"/>
    </row>
    <row r="75" spans="3:34">
      <c r="D75" s="1" t="s">
        <v>372</v>
      </c>
      <c r="O75" s="165"/>
      <c r="P75" s="165"/>
      <c r="Q75" s="165"/>
      <c r="AH75" s="166"/>
    </row>
    <row r="76" spans="3:34">
      <c r="D76" s="1" t="s">
        <v>373</v>
      </c>
      <c r="K76" s="166"/>
      <c r="L76" s="166"/>
      <c r="M76" s="166"/>
      <c r="N76" s="166"/>
      <c r="O76" s="165"/>
      <c r="P76" s="165"/>
      <c r="Q76" s="165"/>
      <c r="AH76" s="166"/>
    </row>
    <row r="77" spans="3:34">
      <c r="D77" s="1" t="s">
        <v>374</v>
      </c>
      <c r="O77" s="165"/>
      <c r="P77" s="165"/>
      <c r="Q77" s="165"/>
      <c r="AH77" s="166"/>
    </row>
    <row r="78" spans="3:34">
      <c r="D78" s="1" t="s">
        <v>375</v>
      </c>
      <c r="K78" s="165"/>
      <c r="N78" s="165"/>
      <c r="O78" s="165"/>
      <c r="P78" s="165"/>
      <c r="Q78" s="165"/>
      <c r="AH78" s="166"/>
    </row>
    <row r="79" spans="3:34">
      <c r="D79" s="1" t="s">
        <v>376</v>
      </c>
      <c r="K79" s="165"/>
      <c r="N79" s="165"/>
      <c r="O79" s="165"/>
      <c r="P79" s="165"/>
      <c r="Q79" s="165"/>
      <c r="AH79" s="166"/>
    </row>
    <row r="80" spans="3:34">
      <c r="D80" s="1" t="s">
        <v>377</v>
      </c>
      <c r="K80" s="165"/>
      <c r="N80" s="165"/>
      <c r="O80" s="165"/>
      <c r="P80" s="165"/>
      <c r="Q80" s="165"/>
      <c r="AH80" s="166"/>
    </row>
    <row r="81" spans="4:34">
      <c r="D81" s="1" t="s">
        <v>378</v>
      </c>
      <c r="K81" s="165"/>
      <c r="N81" s="165"/>
      <c r="O81" s="165"/>
      <c r="P81" s="165"/>
      <c r="Q81" s="165"/>
      <c r="AH81" s="166"/>
    </row>
    <row r="82" spans="4:34">
      <c r="D82" s="1" t="s">
        <v>379</v>
      </c>
      <c r="K82" s="165"/>
      <c r="N82" s="165"/>
      <c r="O82" s="165"/>
      <c r="P82" s="165"/>
      <c r="Q82" s="165"/>
      <c r="AH82" s="166"/>
    </row>
    <row r="83" spans="4:34" ht="13.5" customHeight="1">
      <c r="D83" s="1" t="s">
        <v>380</v>
      </c>
      <c r="K83" s="165"/>
      <c r="N83" s="165"/>
      <c r="O83" s="165"/>
      <c r="P83" s="165"/>
      <c r="Q83" s="165"/>
      <c r="AH83" s="166"/>
    </row>
    <row r="84" spans="4:34">
      <c r="D84" s="1" t="s">
        <v>381</v>
      </c>
      <c r="K84" s="165"/>
      <c r="N84" s="165"/>
      <c r="O84" s="165"/>
      <c r="P84" s="165"/>
      <c r="Q84" s="165"/>
      <c r="AH84" s="166"/>
    </row>
    <row r="85" spans="4:34">
      <c r="D85" s="3" t="s">
        <v>382</v>
      </c>
      <c r="K85" s="165"/>
      <c r="N85" s="165"/>
      <c r="O85" s="165"/>
      <c r="P85" s="165"/>
      <c r="Q85" s="165"/>
      <c r="AH85" s="166"/>
    </row>
    <row r="86" spans="4:34">
      <c r="K86" s="165"/>
      <c r="N86" s="165"/>
      <c r="O86" s="165"/>
      <c r="P86" s="165"/>
      <c r="Q86" s="165"/>
      <c r="AH86" s="166"/>
    </row>
    <row r="87" spans="4:34">
      <c r="K87" s="165"/>
      <c r="N87" s="165"/>
      <c r="O87" s="165"/>
      <c r="P87" s="165"/>
      <c r="Q87" s="165"/>
      <c r="AH87" s="166"/>
    </row>
    <row r="88" spans="4:34">
      <c r="K88" s="165"/>
      <c r="N88" s="165"/>
      <c r="O88" s="165"/>
      <c r="P88" s="165"/>
      <c r="Q88" s="165"/>
      <c r="AH88" s="166"/>
    </row>
    <row r="89" spans="4:34">
      <c r="K89" s="165"/>
      <c r="N89" s="165"/>
      <c r="O89" s="165"/>
      <c r="P89" s="165"/>
      <c r="Q89" s="165"/>
      <c r="AH89" s="166"/>
    </row>
    <row r="90" spans="4:34">
      <c r="K90" s="165"/>
      <c r="N90" s="165"/>
      <c r="O90" s="165"/>
      <c r="P90" s="165"/>
      <c r="Q90" s="165"/>
      <c r="AH90" s="166"/>
    </row>
    <row r="91" spans="4:34">
      <c r="K91" s="165"/>
      <c r="N91" s="165"/>
      <c r="O91" s="165"/>
      <c r="P91" s="165"/>
      <c r="Q91" s="165"/>
      <c r="AH91" s="166"/>
    </row>
    <row r="92" spans="4:34">
      <c r="K92" s="165"/>
      <c r="N92" s="165"/>
      <c r="O92" s="165"/>
      <c r="P92" s="165"/>
      <c r="Q92" s="165"/>
      <c r="AH92" s="166"/>
    </row>
    <row r="93" spans="4:34">
      <c r="K93" s="165"/>
      <c r="N93" s="165"/>
      <c r="O93" s="165"/>
      <c r="P93" s="165"/>
      <c r="Q93" s="165"/>
      <c r="AH93" s="166"/>
    </row>
    <row r="94" spans="4:34">
      <c r="K94" s="165"/>
      <c r="N94" s="165"/>
      <c r="O94" s="165"/>
      <c r="P94" s="165"/>
      <c r="Q94" s="165"/>
      <c r="AH94" s="166"/>
    </row>
    <row r="95" spans="4:34">
      <c r="K95" s="165"/>
      <c r="N95" s="165"/>
      <c r="O95" s="165"/>
      <c r="P95" s="165"/>
      <c r="Q95" s="165"/>
      <c r="AH95" s="166"/>
    </row>
    <row r="96" spans="4:34">
      <c r="K96" s="165"/>
      <c r="N96" s="165"/>
      <c r="O96" s="165"/>
      <c r="P96" s="165"/>
      <c r="Q96" s="165"/>
      <c r="AH96" s="166"/>
    </row>
    <row r="97" spans="11:34">
      <c r="K97" s="165"/>
      <c r="N97" s="165"/>
      <c r="O97" s="165"/>
      <c r="P97" s="165"/>
      <c r="Q97" s="165"/>
      <c r="AH97" s="166"/>
    </row>
    <row r="98" spans="11:34">
      <c r="K98" s="165"/>
      <c r="N98" s="165"/>
      <c r="O98" s="165"/>
      <c r="P98" s="165"/>
      <c r="Q98" s="165"/>
      <c r="AH98" s="166"/>
    </row>
    <row r="99" spans="11:34">
      <c r="K99" s="165"/>
      <c r="N99" s="165"/>
      <c r="O99" s="165"/>
      <c r="P99" s="165"/>
      <c r="Q99" s="165"/>
      <c r="AH99" s="166"/>
    </row>
    <row r="100" spans="11:34">
      <c r="K100" s="165"/>
      <c r="N100" s="165"/>
      <c r="O100" s="165"/>
      <c r="P100" s="165"/>
      <c r="Q100" s="165"/>
      <c r="AH100" s="166"/>
    </row>
    <row r="101" spans="11:34">
      <c r="K101" s="165"/>
      <c r="N101" s="165"/>
      <c r="O101" s="165"/>
      <c r="P101" s="165"/>
      <c r="Q101" s="165"/>
      <c r="AH101" s="166"/>
    </row>
    <row r="102" spans="11:34">
      <c r="K102" s="165"/>
      <c r="N102" s="165"/>
      <c r="O102" s="165"/>
      <c r="P102" s="165"/>
      <c r="Q102" s="165"/>
      <c r="AH102" s="166"/>
    </row>
    <row r="103" spans="11:34">
      <c r="K103" s="165"/>
      <c r="N103" s="165"/>
      <c r="O103" s="165"/>
      <c r="P103" s="165"/>
      <c r="Q103" s="165"/>
      <c r="AH103" s="166"/>
    </row>
    <row r="104" spans="11:34">
      <c r="K104" s="165"/>
      <c r="AH104" s="166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4" xr:uid="{17619A2E-0E78-4CD1-A95B-354C02A9D083}">
      <formula1>"ZCL"</formula1>
    </dataValidation>
    <dataValidation type="list" allowBlank="1" showInputMessage="1" showErrorMessage="1" sqref="E7:E30" xr:uid="{D91CF372-218D-4ED4-9FA2-CFA28221495A}">
      <formula1>"Y,N"</formula1>
    </dataValidation>
    <dataValidation type="list" allowBlank="1" showInputMessage="1" showErrorMessage="1" sqref="F37" xr:uid="{F354DABC-EC94-416E-88F2-D7EEF82FFA02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243</v>
      </c>
      <c r="I1" s="1" t="s">
        <v>333</v>
      </c>
    </row>
    <row r="2" spans="1:32">
      <c r="A2" s="3"/>
      <c r="C2" s="4"/>
      <c r="D2" s="4"/>
      <c r="E2" s="46"/>
      <c r="F2" s="46"/>
      <c r="G2" s="46"/>
      <c r="H2" s="46"/>
      <c r="I2" s="131" t="s">
        <v>340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70</v>
      </c>
      <c r="AE2" s="54"/>
      <c r="AF2" s="55"/>
    </row>
    <row r="3" spans="1:32">
      <c r="B3" s="3" t="s">
        <v>218</v>
      </c>
      <c r="C3" s="4"/>
      <c r="I3" s="3" t="s">
        <v>233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75</v>
      </c>
      <c r="AA3" s="5"/>
      <c r="AB3" s="17" t="s">
        <v>89</v>
      </c>
      <c r="AC3" s="46"/>
      <c r="AD3" s="20"/>
      <c r="AE3" s="20"/>
      <c r="AF3" s="20"/>
    </row>
    <row r="4" spans="1:32">
      <c r="B4" s="57" t="s">
        <v>223</v>
      </c>
      <c r="C4" s="60"/>
      <c r="E4" s="57" t="s">
        <v>217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76</v>
      </c>
      <c r="AA4" s="5"/>
      <c r="AB4" s="17" t="s">
        <v>91</v>
      </c>
      <c r="AC4" s="4"/>
      <c r="AD4" s="17"/>
      <c r="AE4" s="17"/>
      <c r="AF4" s="17"/>
    </row>
    <row r="5" spans="1:32">
      <c r="B5" s="3" t="s">
        <v>219</v>
      </c>
      <c r="C5" s="58" t="e">
        <f>MID(Trade!#REF!,1,4) &amp;"-" &amp; MID(Trade!#REF!,5,2) &amp;"-" &amp; MID(Trade!#REF!,7,2)</f>
        <v>#REF!</v>
      </c>
      <c r="E5" s="68" t="s">
        <v>229</v>
      </c>
      <c r="F5" s="68" t="s">
        <v>224</v>
      </c>
      <c r="G5" s="68" t="s">
        <v>225</v>
      </c>
      <c r="H5" s="68" t="s">
        <v>396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78</v>
      </c>
      <c r="AA5" s="5"/>
      <c r="AB5" s="17" t="s">
        <v>93</v>
      </c>
      <c r="AC5" s="4"/>
      <c r="AD5" s="17"/>
      <c r="AE5" s="17"/>
      <c r="AF5" s="17"/>
    </row>
    <row r="6" spans="1:32">
      <c r="B6" s="3" t="s">
        <v>220</v>
      </c>
      <c r="C6" s="59" t="e">
        <f>Trade!#REF!</f>
        <v>#REF!</v>
      </c>
      <c r="F6" s="3" t="s">
        <v>388</v>
      </c>
      <c r="G6" s="3" t="s">
        <v>226</v>
      </c>
      <c r="H6" s="3" t="s">
        <v>228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79</v>
      </c>
      <c r="AA6" s="5"/>
      <c r="AB6" s="17" t="s">
        <v>95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231</v>
      </c>
      <c r="G7" s="3" t="s">
        <v>232</v>
      </c>
      <c r="H7" s="3" t="s">
        <v>339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221</v>
      </c>
      <c r="C8" s="4">
        <v>6</v>
      </c>
      <c r="F8" s="3" t="s">
        <v>387</v>
      </c>
      <c r="G8" s="3" t="s">
        <v>234</v>
      </c>
      <c r="H8" s="3" t="s">
        <v>235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332</v>
      </c>
      <c r="AB8" s="13" t="s">
        <v>12</v>
      </c>
      <c r="AD8" s="13" t="s">
        <v>11</v>
      </c>
      <c r="AE8" s="13" t="s">
        <v>332</v>
      </c>
      <c r="AF8" s="13" t="s">
        <v>12</v>
      </c>
    </row>
    <row r="9" spans="1:32">
      <c r="B9" s="3" t="s">
        <v>222</v>
      </c>
      <c r="C9" s="62" t="e">
        <f>Trade!#REF!</f>
        <v>#REF!</v>
      </c>
      <c r="E9" s="69"/>
      <c r="F9" s="69" t="s">
        <v>236</v>
      </c>
      <c r="G9" s="69" t="s">
        <v>237</v>
      </c>
      <c r="H9" s="69" t="s">
        <v>238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230</v>
      </c>
      <c r="C10" s="61" t="e">
        <f>Trade!#REF!</f>
        <v>#REF!</v>
      </c>
      <c r="E10" s="68" t="s">
        <v>239</v>
      </c>
      <c r="F10" s="68" t="s">
        <v>240</v>
      </c>
      <c r="G10" s="68" t="s">
        <v>241</v>
      </c>
      <c r="H10" s="68" t="s">
        <v>242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75</v>
      </c>
      <c r="C11" s="4" t="str">
        <f>Trade!L8</f>
        <v>CONT</v>
      </c>
      <c r="E11" s="69"/>
      <c r="F11" s="69" t="s">
        <v>244</v>
      </c>
      <c r="G11" s="69" t="s">
        <v>245</v>
      </c>
      <c r="H11" s="69" t="s">
        <v>246</v>
      </c>
      <c r="I11" s="64"/>
      <c r="J11" s="161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262</v>
      </c>
      <c r="C12" s="4">
        <f>12/C8</f>
        <v>2</v>
      </c>
      <c r="E12" s="68" t="s">
        <v>2</v>
      </c>
      <c r="F12" s="68" t="s">
        <v>240</v>
      </c>
      <c r="G12" s="68" t="s">
        <v>250</v>
      </c>
      <c r="H12" s="68" t="s">
        <v>251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247</v>
      </c>
      <c r="G13" s="3" t="s">
        <v>252</v>
      </c>
      <c r="H13" s="3" t="s">
        <v>341</v>
      </c>
      <c r="I13" s="3"/>
      <c r="J13" s="133" t="s">
        <v>248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253</v>
      </c>
      <c r="H14" s="3" t="s">
        <v>254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249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386</v>
      </c>
      <c r="G16" s="3" t="s">
        <v>255</v>
      </c>
      <c r="H16" s="3" t="s">
        <v>256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257</v>
      </c>
      <c r="G17" s="69" t="s">
        <v>258</v>
      </c>
      <c r="H17" s="69" t="s">
        <v>259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260</v>
      </c>
      <c r="F18" s="68" t="s">
        <v>260</v>
      </c>
      <c r="G18" s="68" t="s">
        <v>261</v>
      </c>
      <c r="H18" s="68" t="s">
        <v>267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247</v>
      </c>
      <c r="G19" s="3" t="s">
        <v>264</v>
      </c>
      <c r="H19" s="3" t="s">
        <v>263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265</v>
      </c>
      <c r="H20" s="3" t="s">
        <v>266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249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227</v>
      </c>
      <c r="C22" s="63" t="s">
        <v>383</v>
      </c>
      <c r="E22" s="68" t="s">
        <v>268</v>
      </c>
      <c r="F22" s="68" t="s">
        <v>2</v>
      </c>
      <c r="G22" s="68" t="s">
        <v>269</v>
      </c>
      <c r="H22" s="68" t="s">
        <v>270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236</v>
      </c>
      <c r="C23" s="1" t="s">
        <v>229</v>
      </c>
      <c r="F23" s="3" t="s">
        <v>271</v>
      </c>
      <c r="G23" s="3" t="s">
        <v>272</v>
      </c>
      <c r="H23" s="3" t="s">
        <v>273</v>
      </c>
      <c r="J23" s="158" t="e">
        <f>J22/J20</f>
        <v>#REF!</v>
      </c>
    </row>
    <row r="24" spans="2:32">
      <c r="B24" s="3" t="s">
        <v>240</v>
      </c>
      <c r="C24" s="1" t="s">
        <v>384</v>
      </c>
      <c r="F24" s="85" t="s">
        <v>247</v>
      </c>
      <c r="G24" s="85" t="s">
        <v>274</v>
      </c>
      <c r="H24" s="85" t="s">
        <v>275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247</v>
      </c>
      <c r="C25" s="1" t="s">
        <v>385</v>
      </c>
      <c r="F25" s="85" t="s">
        <v>286</v>
      </c>
      <c r="G25" s="85" t="s">
        <v>276</v>
      </c>
      <c r="H25" s="85" t="s">
        <v>277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386</v>
      </c>
      <c r="C26" s="64" t="s">
        <v>389</v>
      </c>
      <c r="E26" s="69"/>
      <c r="F26" s="89" t="s">
        <v>278</v>
      </c>
      <c r="G26" s="89" t="s">
        <v>279</v>
      </c>
      <c r="H26" s="89" t="s">
        <v>280</v>
      </c>
      <c r="I26" s="90"/>
      <c r="J26" s="160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281</v>
      </c>
      <c r="F27" s="68" t="s">
        <v>2</v>
      </c>
      <c r="G27" s="68" t="s">
        <v>282</v>
      </c>
      <c r="H27" s="68" t="s">
        <v>283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284</v>
      </c>
      <c r="G28" s="3" t="s">
        <v>285</v>
      </c>
      <c r="H28" s="3" t="s">
        <v>289</v>
      </c>
      <c r="J28" s="159" t="e">
        <f>J27/((1+J18/$C$12)^2*J14)</f>
        <v>#REF!</v>
      </c>
    </row>
    <row r="29" spans="2:32">
      <c r="E29" s="69"/>
      <c r="F29" s="89" t="s">
        <v>286</v>
      </c>
      <c r="G29" s="89" t="s">
        <v>287</v>
      </c>
      <c r="H29" s="89" t="s">
        <v>288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290</v>
      </c>
      <c r="F30" s="68" t="s">
        <v>240</v>
      </c>
      <c r="G30" s="68" t="s">
        <v>291</v>
      </c>
      <c r="H30" s="68" t="s">
        <v>292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247</v>
      </c>
      <c r="G31" s="3" t="s">
        <v>293</v>
      </c>
      <c r="H31" s="3" t="s">
        <v>294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295</v>
      </c>
      <c r="H32" s="3" t="s">
        <v>296</v>
      </c>
      <c r="J32" s="162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290</v>
      </c>
      <c r="G33" s="69" t="s">
        <v>297</v>
      </c>
      <c r="H33" s="69" t="s">
        <v>298</v>
      </c>
      <c r="I33" s="64"/>
      <c r="J33" s="163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243</v>
      </c>
      <c r="F35" s="57"/>
      <c r="G35" s="124" t="s">
        <v>331</v>
      </c>
      <c r="H35" s="124" t="s">
        <v>207</v>
      </c>
      <c r="I35" s="124" t="s">
        <v>299</v>
      </c>
      <c r="J35" s="124" t="s">
        <v>302</v>
      </c>
    </row>
    <row r="36" spans="2:38">
      <c r="E36" s="1"/>
      <c r="F36" s="3" t="s">
        <v>303</v>
      </c>
      <c r="G36" s="125"/>
      <c r="H36" s="97">
        <f>I36-J36</f>
        <v>0</v>
      </c>
      <c r="I36" s="149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0" t="e">
        <f>#REF!</f>
        <v>#REF!</v>
      </c>
      <c r="J37" s="99" t="e">
        <f>J14</f>
        <v>#REF!</v>
      </c>
    </row>
    <row r="38" spans="2:38">
      <c r="F38" s="3" t="s">
        <v>300</v>
      </c>
      <c r="G38" s="125" t="e">
        <f>H38/I38</f>
        <v>#REF!</v>
      </c>
      <c r="H38" s="96" t="e">
        <f>I38-J38</f>
        <v>#REF!</v>
      </c>
      <c r="I38" s="157" t="e">
        <f>#REF!</f>
        <v>#REF!</v>
      </c>
      <c r="J38" s="100" t="e">
        <f>J23</f>
        <v>#REF!</v>
      </c>
    </row>
    <row r="39" spans="2:38">
      <c r="F39" s="3" t="s">
        <v>281</v>
      </c>
      <c r="G39" s="125" t="e">
        <f>H39/I39</f>
        <v>#REF!</v>
      </c>
      <c r="H39" s="96" t="e">
        <f>I39-J39</f>
        <v>#REF!</v>
      </c>
      <c r="I39" s="157" t="e">
        <f>#REF!</f>
        <v>#REF!</v>
      </c>
      <c r="J39" s="100" t="e">
        <f>J28</f>
        <v>#REF!</v>
      </c>
      <c r="K39" s="1" t="s">
        <v>301</v>
      </c>
    </row>
    <row r="40" spans="2:38">
      <c r="F40" s="3" t="s">
        <v>290</v>
      </c>
      <c r="G40" s="125" t="e">
        <f>H40/I40</f>
        <v>#REF!</v>
      </c>
      <c r="H40" s="95" t="e">
        <f>I40-J40</f>
        <v>#REF!</v>
      </c>
      <c r="I40" s="150" t="e">
        <f>#REF!</f>
        <v>#REF!</v>
      </c>
      <c r="J40" s="99" t="e">
        <f>J33</f>
        <v>#REF!</v>
      </c>
    </row>
    <row r="41" spans="2:38">
      <c r="G41" s="125"/>
      <c r="I41" s="151"/>
      <c r="J41" s="126"/>
      <c r="K41" s="13" t="s">
        <v>352</v>
      </c>
      <c r="L41" s="13" t="s">
        <v>353</v>
      </c>
      <c r="M41" s="13" t="s">
        <v>354</v>
      </c>
      <c r="X41" s="3" t="s">
        <v>338</v>
      </c>
    </row>
    <row r="42" spans="2:38">
      <c r="C42" s="3"/>
      <c r="F42" s="57" t="s">
        <v>336</v>
      </c>
      <c r="G42" s="140" t="e">
        <f>H42/I42</f>
        <v>#REF!</v>
      </c>
      <c r="H42" s="141" t="e">
        <f>I42-J42</f>
        <v>#REF!</v>
      </c>
      <c r="I42" s="152" t="e">
        <f>IF(K42="GIRR",VLOOKUP(M42,#REF!,2,FALSE),VLOOKUP(M42,#REF!,2,FALSE))</f>
        <v>#REF!</v>
      </c>
      <c r="J42" s="145" t="e">
        <f>(J46-J14)*10000</f>
        <v>#VALUE!</v>
      </c>
      <c r="K42" s="129" t="s">
        <v>334</v>
      </c>
      <c r="L42" s="129">
        <v>90</v>
      </c>
      <c r="M42" s="130">
        <f>L42/360</f>
        <v>0.25</v>
      </c>
      <c r="N42" s="128" t="s">
        <v>337</v>
      </c>
      <c r="Z42" s="3" t="s">
        <v>347</v>
      </c>
      <c r="AD42" s="3" t="s">
        <v>348</v>
      </c>
      <c r="AH42" s="3" t="s">
        <v>350</v>
      </c>
      <c r="AJ42" s="3"/>
      <c r="AK42" s="3" t="s">
        <v>351</v>
      </c>
    </row>
    <row r="43" spans="2:38">
      <c r="F43" s="68" t="s">
        <v>240</v>
      </c>
      <c r="G43" s="68" t="s">
        <v>241</v>
      </c>
      <c r="H43" s="68" t="s">
        <v>242</v>
      </c>
      <c r="I43" s="153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332</v>
      </c>
      <c r="AB43" s="13" t="s">
        <v>12</v>
      </c>
      <c r="AD43" s="13" t="s">
        <v>11</v>
      </c>
      <c r="AE43" s="13" t="s">
        <v>332</v>
      </c>
      <c r="AF43" s="13" t="s">
        <v>12</v>
      </c>
      <c r="AH43" s="14" t="s">
        <v>332</v>
      </c>
      <c r="AI43" s="14" t="s">
        <v>2</v>
      </c>
      <c r="AJ43" s="2"/>
      <c r="AK43" s="14" t="s">
        <v>332</v>
      </c>
      <c r="AL43" s="14" t="s">
        <v>2</v>
      </c>
    </row>
    <row r="44" spans="2:38">
      <c r="F44" s="3" t="s">
        <v>240</v>
      </c>
      <c r="G44" s="3" t="s">
        <v>250</v>
      </c>
      <c r="H44" s="3" t="s">
        <v>251</v>
      </c>
      <c r="I44" s="151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247</v>
      </c>
      <c r="G45" s="3" t="s">
        <v>252</v>
      </c>
      <c r="H45" s="3" t="s">
        <v>341</v>
      </c>
      <c r="I45" s="151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253</v>
      </c>
      <c r="H46" s="69" t="s">
        <v>254</v>
      </c>
      <c r="I46" s="154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1"/>
      <c r="K48" s="13" t="s">
        <v>352</v>
      </c>
      <c r="L48" s="13" t="s">
        <v>355</v>
      </c>
      <c r="M48" s="13" t="s">
        <v>356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346</v>
      </c>
      <c r="G49" s="140" t="e">
        <f>H49/I49</f>
        <v>#REF!</v>
      </c>
      <c r="H49" s="141" t="e">
        <f>I49-J49</f>
        <v>#REF!</v>
      </c>
      <c r="I49" s="156" t="e">
        <f>IF(K49="GIRR", IF(M49=1,#REF!,#REF!), IF(M49=1,#REF!,#REF!))</f>
        <v>#REF!</v>
      </c>
      <c r="J49" s="144" t="e">
        <f>J53-J14</f>
        <v>#VALUE!</v>
      </c>
      <c r="K49" s="129" t="s">
        <v>335</v>
      </c>
      <c r="L49" s="129" t="e">
        <f xml:space="preserve"> IF(K49="GIRR",#REF!,#REF!)</f>
        <v>#REF!</v>
      </c>
      <c r="M49" s="142">
        <v>-1</v>
      </c>
      <c r="N49" s="128" t="s">
        <v>349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240</v>
      </c>
      <c r="G50" s="68" t="s">
        <v>241</v>
      </c>
      <c r="H50" s="68" t="s">
        <v>242</v>
      </c>
      <c r="I50" s="153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240</v>
      </c>
      <c r="G51" s="3" t="s">
        <v>250</v>
      </c>
      <c r="H51" s="3" t="s">
        <v>251</v>
      </c>
      <c r="I51" s="151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247</v>
      </c>
      <c r="G52" s="3" t="s">
        <v>252</v>
      </c>
      <c r="H52" s="3" t="s">
        <v>341</v>
      </c>
      <c r="I52" s="151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253</v>
      </c>
      <c r="H53" s="69" t="s">
        <v>254</v>
      </c>
      <c r="I53" s="154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7" t="s">
        <v>330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390</v>
      </c>
    </row>
    <row r="5" spans="2:13" ht="81.95" customHeight="1">
      <c r="B5" s="101"/>
      <c r="C5" s="221" t="s">
        <v>391</v>
      </c>
      <c r="D5" s="221"/>
      <c r="E5" s="221"/>
      <c r="F5" s="221"/>
      <c r="G5" s="221"/>
      <c r="H5" s="221"/>
      <c r="I5" s="221"/>
      <c r="J5" s="221"/>
      <c r="K5" s="221"/>
      <c r="L5" s="221"/>
      <c r="M5" s="169"/>
    </row>
    <row r="6" spans="2:13" ht="15.75">
      <c r="B6" s="106"/>
      <c r="C6" s="170" t="s">
        <v>392</v>
      </c>
      <c r="D6" s="170" t="s">
        <v>393</v>
      </c>
      <c r="E6" s="106"/>
      <c r="F6" s="106"/>
      <c r="G6" s="106"/>
      <c r="H6" s="101"/>
      <c r="I6" s="101"/>
      <c r="J6" s="101"/>
    </row>
    <row r="7" spans="2:13" ht="15.75">
      <c r="B7" s="106"/>
      <c r="C7" s="168"/>
      <c r="D7" s="170" t="s">
        <v>394</v>
      </c>
      <c r="E7" s="106"/>
      <c r="F7" s="106"/>
      <c r="G7" s="106"/>
      <c r="H7" s="101"/>
      <c r="I7" s="101"/>
      <c r="J7" s="101"/>
    </row>
    <row r="8" spans="2:13" ht="15.75">
      <c r="B8" s="106"/>
      <c r="C8" s="168"/>
      <c r="D8" s="170" t="s">
        <v>395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304</v>
      </c>
    </row>
    <row r="11" spans="2:13" s="105" customFormat="1" ht="19.5">
      <c r="B11" s="104"/>
    </row>
    <row r="12" spans="2:13" ht="15.75">
      <c r="B12" s="106" t="s">
        <v>305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306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307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308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309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310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311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312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313</v>
      </c>
      <c r="D44" s="107">
        <v>36381</v>
      </c>
      <c r="E44" s="50" t="s">
        <v>314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315</v>
      </c>
      <c r="D45" s="107">
        <v>37477</v>
      </c>
      <c r="E45" s="111" t="s">
        <v>316</v>
      </c>
      <c r="F45" s="50" t="s">
        <v>317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318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319</v>
      </c>
      <c r="D48" s="107">
        <v>36803</v>
      </c>
      <c r="E48" s="50" t="s">
        <v>320</v>
      </c>
      <c r="F48" s="108">
        <v>0.10299999999999999</v>
      </c>
      <c r="G48" s="50" t="s">
        <v>321</v>
      </c>
      <c r="H48" s="115">
        <v>20000000000</v>
      </c>
      <c r="I48" s="101"/>
      <c r="J48" s="101"/>
    </row>
    <row r="49" spans="2:10">
      <c r="B49" s="101"/>
      <c r="C49" s="50" t="s">
        <v>322</v>
      </c>
      <c r="D49" s="116">
        <v>36</v>
      </c>
      <c r="E49" s="50" t="s">
        <v>323</v>
      </c>
      <c r="F49" s="116">
        <v>92</v>
      </c>
      <c r="G49" s="117" t="s">
        <v>324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325</v>
      </c>
      <c r="C51" s="112"/>
      <c r="D51" s="119"/>
      <c r="E51" s="112"/>
      <c r="F51" s="120"/>
      <c r="G51" s="219"/>
      <c r="H51" s="220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326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327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328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329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1" t="s">
        <v>83</v>
      </c>
      <c r="C5" s="171" t="s">
        <v>2</v>
      </c>
      <c r="D5" s="172" t="s">
        <v>84</v>
      </c>
      <c r="E5" s="171" t="s">
        <v>400</v>
      </c>
      <c r="F5" s="171" t="s">
        <v>401</v>
      </c>
    </row>
    <row r="6" spans="2:6" ht="13.5">
      <c r="B6" s="173" t="s">
        <v>74</v>
      </c>
      <c r="C6" s="101" t="s">
        <v>574</v>
      </c>
      <c r="D6" s="122">
        <v>0</v>
      </c>
      <c r="E6" s="122" t="s">
        <v>123</v>
      </c>
      <c r="F6" s="122" t="s">
        <v>402</v>
      </c>
    </row>
    <row r="7" spans="2:6" ht="13.5">
      <c r="B7" s="173" t="s">
        <v>74</v>
      </c>
      <c r="C7" s="101" t="s">
        <v>575</v>
      </c>
      <c r="D7" s="122">
        <v>1</v>
      </c>
      <c r="E7" s="122" t="s">
        <v>124</v>
      </c>
      <c r="F7" s="122" t="s">
        <v>404</v>
      </c>
    </row>
    <row r="8" spans="2:6" ht="13.5">
      <c r="B8" s="173" t="s">
        <v>74</v>
      </c>
      <c r="C8" s="101" t="s">
        <v>576</v>
      </c>
      <c r="D8" s="122">
        <v>2</v>
      </c>
      <c r="E8" s="122" t="s">
        <v>125</v>
      </c>
      <c r="F8" s="122" t="s">
        <v>405</v>
      </c>
    </row>
    <row r="9" spans="2:6" ht="13.5">
      <c r="B9" s="173" t="s">
        <v>74</v>
      </c>
      <c r="C9" s="101" t="s">
        <v>577</v>
      </c>
      <c r="D9" s="122">
        <v>3</v>
      </c>
      <c r="E9" s="122" t="s">
        <v>126</v>
      </c>
      <c r="F9" s="122" t="s">
        <v>406</v>
      </c>
    </row>
    <row r="10" spans="2:6" ht="13.5">
      <c r="B10" s="173" t="s">
        <v>74</v>
      </c>
      <c r="C10" s="101" t="s">
        <v>578</v>
      </c>
      <c r="D10" s="122">
        <v>4</v>
      </c>
      <c r="E10" s="122" t="s">
        <v>127</v>
      </c>
      <c r="F10" s="122" t="s">
        <v>407</v>
      </c>
    </row>
    <row r="11" spans="2:6" ht="13.5">
      <c r="B11" s="173" t="s">
        <v>74</v>
      </c>
      <c r="C11" s="101" t="s">
        <v>579</v>
      </c>
      <c r="D11" s="122">
        <v>5</v>
      </c>
      <c r="E11" s="122" t="s">
        <v>128</v>
      </c>
      <c r="F11" s="122" t="s">
        <v>408</v>
      </c>
    </row>
    <row r="12" spans="2:6" ht="13.5">
      <c r="B12" s="173" t="s">
        <v>74</v>
      </c>
      <c r="C12" s="101" t="s">
        <v>580</v>
      </c>
      <c r="D12" s="122">
        <v>6</v>
      </c>
      <c r="E12" s="122" t="s">
        <v>129</v>
      </c>
      <c r="F12" s="122" t="s">
        <v>409</v>
      </c>
    </row>
    <row r="13" spans="2:6" ht="13.5">
      <c r="B13" s="173" t="s">
        <v>74</v>
      </c>
      <c r="C13" s="101" t="s">
        <v>581</v>
      </c>
      <c r="D13" s="122">
        <v>7</v>
      </c>
      <c r="E13" s="122" t="s">
        <v>130</v>
      </c>
      <c r="F13" s="122" t="s">
        <v>410</v>
      </c>
    </row>
    <row r="14" spans="2:6" ht="13.5">
      <c r="B14" s="192" t="s">
        <v>74</v>
      </c>
      <c r="C14" s="123" t="s">
        <v>582</v>
      </c>
      <c r="D14" s="193">
        <v>8</v>
      </c>
      <c r="E14" s="193"/>
      <c r="F14" s="193" t="s">
        <v>641</v>
      </c>
    </row>
    <row r="15" spans="2:6" ht="13.5">
      <c r="B15" s="192" t="s">
        <v>74</v>
      </c>
      <c r="C15" s="123" t="s">
        <v>583</v>
      </c>
      <c r="D15" s="193">
        <v>9</v>
      </c>
      <c r="E15" s="193"/>
      <c r="F15" s="193" t="s">
        <v>642</v>
      </c>
    </row>
    <row r="16" spans="2:6" ht="13.5">
      <c r="B16" s="192" t="s">
        <v>74</v>
      </c>
      <c r="C16" s="123" t="s">
        <v>584</v>
      </c>
      <c r="D16" s="193">
        <v>10</v>
      </c>
      <c r="E16" s="193"/>
      <c r="F16" s="193" t="s">
        <v>643</v>
      </c>
    </row>
    <row r="17" spans="2:6" ht="13.5">
      <c r="B17" s="192" t="s">
        <v>74</v>
      </c>
      <c r="C17" s="123" t="s">
        <v>585</v>
      </c>
      <c r="D17" s="193">
        <v>11</v>
      </c>
      <c r="E17" s="193"/>
      <c r="F17" s="193" t="s">
        <v>644</v>
      </c>
    </row>
    <row r="18" spans="2:6" ht="13.5">
      <c r="B18" s="192" t="s">
        <v>74</v>
      </c>
      <c r="C18" s="123" t="s">
        <v>586</v>
      </c>
      <c r="D18" s="193">
        <v>12</v>
      </c>
      <c r="E18" s="193"/>
      <c r="F18" s="193" t="s">
        <v>645</v>
      </c>
    </row>
    <row r="19" spans="2:6" ht="13.5">
      <c r="B19" s="192" t="s">
        <v>74</v>
      </c>
      <c r="C19" s="123" t="s">
        <v>587</v>
      </c>
      <c r="D19" s="193">
        <v>13</v>
      </c>
      <c r="E19" s="193"/>
      <c r="F19" s="193" t="s">
        <v>646</v>
      </c>
    </row>
    <row r="20" spans="2:6" ht="13.5">
      <c r="B20" s="192" t="s">
        <v>74</v>
      </c>
      <c r="C20" s="123" t="s">
        <v>588</v>
      </c>
      <c r="D20" s="193">
        <v>14</v>
      </c>
      <c r="E20" s="193"/>
      <c r="F20" s="193" t="s">
        <v>647</v>
      </c>
    </row>
    <row r="21" spans="2:6" ht="13.5">
      <c r="B21" s="192" t="s">
        <v>74</v>
      </c>
      <c r="C21" s="123" t="s">
        <v>589</v>
      </c>
      <c r="D21" s="193">
        <v>15</v>
      </c>
      <c r="E21" s="193"/>
      <c r="F21" s="193" t="s">
        <v>648</v>
      </c>
    </row>
    <row r="22" spans="2:6" ht="13.5">
      <c r="B22" s="192" t="s">
        <v>74</v>
      </c>
      <c r="C22" s="123" t="s">
        <v>590</v>
      </c>
      <c r="D22" s="193">
        <v>16</v>
      </c>
      <c r="E22" s="193"/>
      <c r="F22" s="193" t="s">
        <v>649</v>
      </c>
    </row>
    <row r="23" spans="2:6" ht="13.5">
      <c r="B23" s="192" t="s">
        <v>74</v>
      </c>
      <c r="C23" s="123" t="s">
        <v>591</v>
      </c>
      <c r="D23" s="193">
        <v>17</v>
      </c>
      <c r="E23" s="193"/>
      <c r="F23" s="193" t="s">
        <v>650</v>
      </c>
    </row>
    <row r="24" spans="2:6" ht="13.5">
      <c r="B24" s="192" t="s">
        <v>74</v>
      </c>
      <c r="C24" s="123" t="s">
        <v>592</v>
      </c>
      <c r="D24" s="193">
        <v>18</v>
      </c>
      <c r="E24" s="193"/>
      <c r="F24" s="193" t="s">
        <v>651</v>
      </c>
    </row>
    <row r="25" spans="2:6" ht="13.5">
      <c r="B25" s="192" t="s">
        <v>74</v>
      </c>
      <c r="C25" s="123" t="s">
        <v>593</v>
      </c>
      <c r="D25" s="193">
        <v>19</v>
      </c>
      <c r="E25" s="193"/>
      <c r="F25" s="193" t="s">
        <v>652</v>
      </c>
    </row>
    <row r="26" spans="2:6" ht="13.5">
      <c r="B26" s="192" t="s">
        <v>74</v>
      </c>
      <c r="C26" s="123" t="s">
        <v>594</v>
      </c>
      <c r="D26" s="193">
        <v>20</v>
      </c>
      <c r="E26" s="193"/>
      <c r="F26" s="193" t="s">
        <v>653</v>
      </c>
    </row>
    <row r="27" spans="2:6" ht="13.5">
      <c r="B27" s="192" t="s">
        <v>74</v>
      </c>
      <c r="C27" s="123" t="s">
        <v>595</v>
      </c>
      <c r="D27" s="193">
        <v>21</v>
      </c>
      <c r="E27" s="193"/>
      <c r="F27" s="193" t="s">
        <v>654</v>
      </c>
    </row>
    <row r="28" spans="2:6" ht="13.5">
      <c r="B28" s="192" t="s">
        <v>74</v>
      </c>
      <c r="C28" s="123" t="s">
        <v>596</v>
      </c>
      <c r="D28" s="193">
        <v>22</v>
      </c>
      <c r="E28" s="193"/>
      <c r="F28" s="193" t="s">
        <v>655</v>
      </c>
    </row>
    <row r="29" spans="2:6" ht="13.5">
      <c r="B29" s="192" t="s">
        <v>74</v>
      </c>
      <c r="C29" s="123" t="s">
        <v>597</v>
      </c>
      <c r="D29" s="193">
        <v>23</v>
      </c>
      <c r="E29" s="193"/>
      <c r="F29" s="193" t="s">
        <v>656</v>
      </c>
    </row>
    <row r="30" spans="2:6" ht="13.5">
      <c r="B30" s="192" t="s">
        <v>74</v>
      </c>
      <c r="C30" s="123" t="s">
        <v>598</v>
      </c>
      <c r="D30" s="193">
        <v>24</v>
      </c>
      <c r="E30" s="193"/>
      <c r="F30" s="193" t="s">
        <v>657</v>
      </c>
    </row>
    <row r="31" spans="2:6" ht="13.5">
      <c r="B31" s="192" t="s">
        <v>74</v>
      </c>
      <c r="C31" s="123" t="s">
        <v>599</v>
      </c>
      <c r="D31" s="193">
        <v>25</v>
      </c>
      <c r="E31" s="193"/>
      <c r="F31" s="193" t="s">
        <v>658</v>
      </c>
    </row>
    <row r="32" spans="2:6" ht="13.5">
      <c r="B32" s="192" t="s">
        <v>74</v>
      </c>
      <c r="C32" s="123" t="s">
        <v>600</v>
      </c>
      <c r="D32" s="193">
        <v>26</v>
      </c>
      <c r="E32" s="193"/>
      <c r="F32" s="193" t="s">
        <v>659</v>
      </c>
    </row>
    <row r="33" spans="2:6" ht="13.5">
      <c r="B33" s="192" t="s">
        <v>74</v>
      </c>
      <c r="C33" s="123" t="s">
        <v>601</v>
      </c>
      <c r="D33" s="193">
        <v>27</v>
      </c>
      <c r="E33" s="193"/>
      <c r="F33" s="193" t="s">
        <v>660</v>
      </c>
    </row>
    <row r="34" spans="2:6" ht="13.5">
      <c r="B34" s="192" t="s">
        <v>74</v>
      </c>
      <c r="C34" s="123" t="s">
        <v>602</v>
      </c>
      <c r="D34" s="193">
        <v>28</v>
      </c>
      <c r="E34" s="193"/>
      <c r="F34" s="193" t="s">
        <v>661</v>
      </c>
    </row>
    <row r="35" spans="2:6" ht="13.5">
      <c r="B35" s="192" t="s">
        <v>74</v>
      </c>
      <c r="C35" s="123" t="s">
        <v>603</v>
      </c>
      <c r="D35" s="193">
        <v>29</v>
      </c>
      <c r="E35" s="193"/>
      <c r="F35" s="193" t="s">
        <v>662</v>
      </c>
    </row>
    <row r="36" spans="2:6" ht="13.5">
      <c r="B36" s="192" t="s">
        <v>74</v>
      </c>
      <c r="C36" s="123" t="s">
        <v>604</v>
      </c>
      <c r="D36" s="193">
        <v>30</v>
      </c>
      <c r="E36" s="193"/>
      <c r="F36" s="193" t="s">
        <v>663</v>
      </c>
    </row>
    <row r="37" spans="2:6" ht="13.5">
      <c r="B37" s="192" t="s">
        <v>74</v>
      </c>
      <c r="C37" s="123" t="s">
        <v>605</v>
      </c>
      <c r="D37" s="193">
        <v>31</v>
      </c>
      <c r="E37" s="193"/>
      <c r="F37" s="193" t="s">
        <v>664</v>
      </c>
    </row>
    <row r="38" spans="2:6" ht="13.5">
      <c r="B38" s="192" t="s">
        <v>74</v>
      </c>
      <c r="C38" s="123" t="s">
        <v>606</v>
      </c>
      <c r="D38" s="193">
        <v>32</v>
      </c>
      <c r="E38" s="193"/>
      <c r="F38" s="193" t="s">
        <v>665</v>
      </c>
    </row>
    <row r="39" spans="2:6" ht="13.5">
      <c r="B39" s="192" t="s">
        <v>74</v>
      </c>
      <c r="C39" s="123" t="s">
        <v>607</v>
      </c>
      <c r="D39" s="193">
        <v>33</v>
      </c>
      <c r="E39" s="193"/>
      <c r="F39" s="193" t="s">
        <v>666</v>
      </c>
    </row>
    <row r="40" spans="2:6" ht="13.5">
      <c r="B40" s="192" t="s">
        <v>74</v>
      </c>
      <c r="C40" s="123" t="s">
        <v>608</v>
      </c>
      <c r="D40" s="193">
        <v>34</v>
      </c>
      <c r="E40" s="193"/>
      <c r="F40" s="193" t="s">
        <v>667</v>
      </c>
    </row>
    <row r="41" spans="2:6" ht="13.5">
      <c r="B41" s="192" t="s">
        <v>74</v>
      </c>
      <c r="C41" s="123" t="s">
        <v>609</v>
      </c>
      <c r="D41" s="193">
        <v>35</v>
      </c>
      <c r="E41" s="193"/>
      <c r="F41" s="193" t="s">
        <v>668</v>
      </c>
    </row>
    <row r="42" spans="2:6" ht="13.5">
      <c r="B42" s="192" t="s">
        <v>74</v>
      </c>
      <c r="C42" s="123" t="s">
        <v>610</v>
      </c>
      <c r="D42" s="193">
        <v>36</v>
      </c>
      <c r="E42" s="193"/>
      <c r="F42" s="193" t="s">
        <v>669</v>
      </c>
    </row>
    <row r="43" spans="2:6" ht="13.5">
      <c r="B43" s="192" t="s">
        <v>74</v>
      </c>
      <c r="C43" s="123" t="s">
        <v>611</v>
      </c>
      <c r="D43" s="193">
        <v>37</v>
      </c>
      <c r="E43" s="193"/>
      <c r="F43" s="193" t="s">
        <v>670</v>
      </c>
    </row>
    <row r="44" spans="2:6" ht="13.5">
      <c r="B44" s="192" t="s">
        <v>74</v>
      </c>
      <c r="C44" s="123" t="s">
        <v>612</v>
      </c>
      <c r="D44" s="193">
        <v>38</v>
      </c>
      <c r="E44" s="193"/>
      <c r="F44" s="193" t="s">
        <v>671</v>
      </c>
    </row>
    <row r="45" spans="2:6" ht="13.5">
      <c r="B45" s="192" t="s">
        <v>74</v>
      </c>
      <c r="C45" s="123" t="s">
        <v>613</v>
      </c>
      <c r="D45" s="193">
        <v>39</v>
      </c>
      <c r="E45" s="193"/>
      <c r="F45" s="193" t="s">
        <v>672</v>
      </c>
    </row>
    <row r="46" spans="2:6" ht="13.5">
      <c r="B46" s="192" t="s">
        <v>74</v>
      </c>
      <c r="C46" s="123" t="s">
        <v>614</v>
      </c>
      <c r="D46" s="193">
        <v>40</v>
      </c>
      <c r="E46" s="193"/>
      <c r="F46" s="193" t="s">
        <v>673</v>
      </c>
    </row>
    <row r="47" spans="2:6" ht="13.5">
      <c r="B47" s="192" t="s">
        <v>74</v>
      </c>
      <c r="C47" s="123" t="s">
        <v>615</v>
      </c>
      <c r="D47" s="193">
        <v>41</v>
      </c>
      <c r="E47" s="193"/>
      <c r="F47" s="193" t="s">
        <v>674</v>
      </c>
    </row>
    <row r="48" spans="2:6" ht="13.5">
      <c r="B48" s="192" t="s">
        <v>74</v>
      </c>
      <c r="C48" s="123" t="s">
        <v>616</v>
      </c>
      <c r="D48" s="193">
        <v>42</v>
      </c>
      <c r="E48" s="193"/>
      <c r="F48" s="193" t="s">
        <v>675</v>
      </c>
    </row>
    <row r="49" spans="2:6" ht="13.5">
      <c r="B49" s="192" t="s">
        <v>74</v>
      </c>
      <c r="C49" s="123" t="s">
        <v>617</v>
      </c>
      <c r="D49" s="193">
        <v>43</v>
      </c>
      <c r="E49" s="193"/>
      <c r="F49" s="193" t="s">
        <v>676</v>
      </c>
    </row>
    <row r="50" spans="2:6" ht="13.5">
      <c r="B50" s="192" t="s">
        <v>74</v>
      </c>
      <c r="C50" s="123" t="s">
        <v>618</v>
      </c>
      <c r="D50" s="193">
        <v>44</v>
      </c>
      <c r="E50" s="193"/>
      <c r="F50" s="193" t="s">
        <v>677</v>
      </c>
    </row>
    <row r="51" spans="2:6" ht="13.5">
      <c r="B51" s="192" t="s">
        <v>74</v>
      </c>
      <c r="C51" s="123" t="s">
        <v>619</v>
      </c>
      <c r="D51" s="193">
        <v>45</v>
      </c>
      <c r="E51" s="193"/>
      <c r="F51" s="193" t="s">
        <v>678</v>
      </c>
    </row>
    <row r="52" spans="2:6" ht="13.5">
      <c r="B52" s="192" t="s">
        <v>74</v>
      </c>
      <c r="C52" s="123" t="s">
        <v>620</v>
      </c>
      <c r="D52" s="193">
        <v>46</v>
      </c>
      <c r="E52" s="193"/>
      <c r="F52" s="193" t="s">
        <v>679</v>
      </c>
    </row>
    <row r="53" spans="2:6" ht="13.5">
      <c r="B53" s="192" t="s">
        <v>74</v>
      </c>
      <c r="C53" s="123" t="s">
        <v>621</v>
      </c>
      <c r="D53" s="193">
        <v>47</v>
      </c>
      <c r="E53" s="193"/>
      <c r="F53" s="193" t="s">
        <v>680</v>
      </c>
    </row>
    <row r="54" spans="2:6" ht="13.5">
      <c r="B54" s="192" t="s">
        <v>74</v>
      </c>
      <c r="C54" s="123" t="s">
        <v>622</v>
      </c>
      <c r="D54" s="193">
        <v>48</v>
      </c>
      <c r="E54" s="193"/>
      <c r="F54" s="193" t="s">
        <v>681</v>
      </c>
    </row>
    <row r="55" spans="2:6" ht="13.5">
      <c r="B55" s="192" t="s">
        <v>74</v>
      </c>
      <c r="C55" s="123" t="s">
        <v>623</v>
      </c>
      <c r="D55" s="193">
        <v>49</v>
      </c>
      <c r="E55" s="193"/>
      <c r="F55" s="193" t="s">
        <v>682</v>
      </c>
    </row>
    <row r="56" spans="2:6" ht="13.5">
      <c r="B56" s="192" t="s">
        <v>74</v>
      </c>
      <c r="C56" s="123" t="s">
        <v>624</v>
      </c>
      <c r="D56" s="193">
        <v>50</v>
      </c>
      <c r="E56" s="193"/>
      <c r="F56" s="193" t="s">
        <v>683</v>
      </c>
    </row>
    <row r="57" spans="2:6" ht="13.5">
      <c r="B57" s="192" t="s">
        <v>74</v>
      </c>
      <c r="C57" s="123" t="s">
        <v>625</v>
      </c>
      <c r="D57" s="193">
        <v>51</v>
      </c>
      <c r="E57" s="193"/>
      <c r="F57" s="193" t="s">
        <v>684</v>
      </c>
    </row>
    <row r="58" spans="2:6" ht="13.5">
      <c r="B58" s="192" t="s">
        <v>74</v>
      </c>
      <c r="C58" s="123" t="s">
        <v>626</v>
      </c>
      <c r="D58" s="193">
        <v>52</v>
      </c>
      <c r="E58" s="193"/>
      <c r="F58" s="193" t="s">
        <v>685</v>
      </c>
    </row>
    <row r="59" spans="2:6" ht="13.5">
      <c r="B59" s="192" t="s">
        <v>74</v>
      </c>
      <c r="C59" s="123" t="s">
        <v>627</v>
      </c>
      <c r="D59" s="193">
        <v>53</v>
      </c>
      <c r="E59" s="193"/>
      <c r="F59" s="193" t="s">
        <v>686</v>
      </c>
    </row>
    <row r="60" spans="2:6" ht="13.5">
      <c r="B60" s="192" t="s">
        <v>74</v>
      </c>
      <c r="C60" s="123" t="s">
        <v>628</v>
      </c>
      <c r="D60" s="193">
        <v>54</v>
      </c>
      <c r="E60" s="193"/>
      <c r="F60" s="193" t="s">
        <v>687</v>
      </c>
    </row>
    <row r="61" spans="2:6" ht="13.5">
      <c r="B61" s="192" t="s">
        <v>74</v>
      </c>
      <c r="C61" s="123" t="s">
        <v>629</v>
      </c>
      <c r="D61" s="193">
        <v>55</v>
      </c>
      <c r="E61" s="193"/>
      <c r="F61" s="193" t="s">
        <v>688</v>
      </c>
    </row>
    <row r="62" spans="2:6" ht="13.5">
      <c r="B62" s="192" t="s">
        <v>74</v>
      </c>
      <c r="C62" s="123" t="s">
        <v>630</v>
      </c>
      <c r="D62" s="193">
        <v>56</v>
      </c>
      <c r="E62" s="193"/>
      <c r="F62" s="193" t="s">
        <v>689</v>
      </c>
    </row>
    <row r="63" spans="2:6" ht="13.5">
      <c r="B63" s="192" t="s">
        <v>74</v>
      </c>
      <c r="C63" s="123" t="s">
        <v>631</v>
      </c>
      <c r="D63" s="193">
        <v>57</v>
      </c>
      <c r="E63" s="193"/>
      <c r="F63" s="193" t="s">
        <v>690</v>
      </c>
    </row>
    <row r="64" spans="2:6" ht="13.5">
      <c r="B64" s="192" t="s">
        <v>74</v>
      </c>
      <c r="C64" s="123" t="s">
        <v>632</v>
      </c>
      <c r="D64" s="193">
        <v>58</v>
      </c>
      <c r="E64" s="193"/>
      <c r="F64" s="193" t="s">
        <v>691</v>
      </c>
    </row>
    <row r="65" spans="2:7" ht="13.5">
      <c r="B65" s="192" t="s">
        <v>74</v>
      </c>
      <c r="C65" s="123" t="s">
        <v>633</v>
      </c>
      <c r="D65" s="193">
        <v>59</v>
      </c>
      <c r="E65" s="193"/>
      <c r="F65" s="193" t="s">
        <v>692</v>
      </c>
    </row>
    <row r="66" spans="2:7" ht="13.5">
      <c r="B66" s="192" t="s">
        <v>74</v>
      </c>
      <c r="C66" s="123" t="s">
        <v>634</v>
      </c>
      <c r="D66" s="193">
        <v>60</v>
      </c>
      <c r="E66" s="193"/>
      <c r="F66" s="193" t="s">
        <v>693</v>
      </c>
    </row>
    <row r="67" spans="2:7" ht="13.5">
      <c r="B67" s="192" t="s">
        <v>74</v>
      </c>
      <c r="C67" s="123" t="s">
        <v>635</v>
      </c>
      <c r="D67" s="193">
        <v>61</v>
      </c>
      <c r="E67" s="193"/>
      <c r="F67" s="193" t="s">
        <v>694</v>
      </c>
    </row>
    <row r="68" spans="2:7" ht="13.5">
      <c r="B68" s="192" t="s">
        <v>74</v>
      </c>
      <c r="C68" s="123" t="s">
        <v>636</v>
      </c>
      <c r="D68" s="193">
        <v>62</v>
      </c>
      <c r="E68" s="193"/>
      <c r="F68" s="193" t="s">
        <v>695</v>
      </c>
    </row>
    <row r="69" spans="2:7" ht="13.5">
      <c r="B69" s="192" t="s">
        <v>74</v>
      </c>
      <c r="C69" s="123" t="s">
        <v>637</v>
      </c>
      <c r="D69" s="193">
        <v>63</v>
      </c>
      <c r="E69" s="193"/>
      <c r="F69" s="193" t="s">
        <v>696</v>
      </c>
    </row>
    <row r="70" spans="2:7" ht="13.5">
      <c r="B70" s="192" t="s">
        <v>74</v>
      </c>
      <c r="C70" s="123" t="s">
        <v>638</v>
      </c>
      <c r="D70" s="193">
        <v>64</v>
      </c>
      <c r="E70" s="193"/>
      <c r="F70" s="193" t="s">
        <v>697</v>
      </c>
    </row>
    <row r="71" spans="2:7" ht="13.5">
      <c r="B71" s="192" t="s">
        <v>74</v>
      </c>
      <c r="C71" s="123" t="s">
        <v>639</v>
      </c>
      <c r="D71" s="193">
        <v>65</v>
      </c>
      <c r="E71" s="193"/>
      <c r="F71" s="193" t="s">
        <v>698</v>
      </c>
    </row>
    <row r="72" spans="2:7" ht="13.5">
      <c r="B72" s="192" t="s">
        <v>74</v>
      </c>
      <c r="C72" s="123" t="s">
        <v>640</v>
      </c>
      <c r="D72" s="193">
        <v>66</v>
      </c>
      <c r="E72" s="193"/>
      <c r="F72" s="193" t="s">
        <v>699</v>
      </c>
    </row>
    <row r="73" spans="2:7" ht="13.5">
      <c r="B73" s="101" t="s">
        <v>411</v>
      </c>
      <c r="C73" s="101" t="s">
        <v>412</v>
      </c>
      <c r="D73" s="122">
        <v>0</v>
      </c>
      <c r="E73" s="122" t="s">
        <v>131</v>
      </c>
      <c r="F73" s="122" t="s">
        <v>131</v>
      </c>
      <c r="G73"/>
    </row>
    <row r="74" spans="2:7" ht="13.5">
      <c r="B74" s="101" t="s">
        <v>411</v>
      </c>
      <c r="C74" s="101" t="s">
        <v>413</v>
      </c>
      <c r="D74" s="122">
        <v>1</v>
      </c>
      <c r="E74" s="122" t="s">
        <v>132</v>
      </c>
      <c r="F74" s="122" t="s">
        <v>132</v>
      </c>
      <c r="G74"/>
    </row>
    <row r="75" spans="2:7" ht="13.5">
      <c r="B75" s="101" t="s">
        <v>411</v>
      </c>
      <c r="C75" s="101" t="s">
        <v>414</v>
      </c>
      <c r="D75" s="122">
        <v>2</v>
      </c>
      <c r="E75" s="122" t="s">
        <v>133</v>
      </c>
      <c r="F75" s="122" t="s">
        <v>133</v>
      </c>
      <c r="G75"/>
    </row>
    <row r="76" spans="2:7" ht="13.5">
      <c r="B76" s="101" t="s">
        <v>411</v>
      </c>
      <c r="C76" s="101" t="s">
        <v>415</v>
      </c>
      <c r="D76" s="122">
        <v>3</v>
      </c>
      <c r="E76" s="122" t="s">
        <v>134</v>
      </c>
      <c r="F76" s="122" t="s">
        <v>134</v>
      </c>
      <c r="G76"/>
    </row>
    <row r="77" spans="2:7" ht="13.5">
      <c r="B77" s="101" t="s">
        <v>411</v>
      </c>
      <c r="C77" s="101" t="s">
        <v>416</v>
      </c>
      <c r="D77" s="122">
        <v>4</v>
      </c>
      <c r="E77" s="122" t="s">
        <v>135</v>
      </c>
      <c r="F77" s="122" t="s">
        <v>135</v>
      </c>
      <c r="G77"/>
    </row>
    <row r="78" spans="2:7" ht="13.5">
      <c r="B78" s="101" t="s">
        <v>411</v>
      </c>
      <c r="C78" s="101" t="s">
        <v>417</v>
      </c>
      <c r="D78" s="122">
        <v>5</v>
      </c>
      <c r="E78" s="122" t="s">
        <v>136</v>
      </c>
      <c r="F78" s="122" t="s">
        <v>136</v>
      </c>
      <c r="G78"/>
    </row>
    <row r="79" spans="2:7" ht="13.5">
      <c r="B79" s="101" t="s">
        <v>411</v>
      </c>
      <c r="C79" s="101" t="s">
        <v>418</v>
      </c>
      <c r="D79" s="122">
        <v>6</v>
      </c>
      <c r="E79" s="122" t="s">
        <v>137</v>
      </c>
      <c r="F79" s="122" t="s">
        <v>137</v>
      </c>
      <c r="G79"/>
    </row>
    <row r="80" spans="2:7" ht="13.5">
      <c r="B80" s="101" t="s">
        <v>411</v>
      </c>
      <c r="C80" s="101" t="s">
        <v>419</v>
      </c>
      <c r="D80" s="122">
        <v>7</v>
      </c>
      <c r="E80" s="122" t="s">
        <v>138</v>
      </c>
      <c r="F80" s="122" t="s">
        <v>138</v>
      </c>
      <c r="G80"/>
    </row>
    <row r="81" spans="2:7" ht="13.5">
      <c r="B81" s="101" t="s">
        <v>411</v>
      </c>
      <c r="C81" s="101" t="s">
        <v>420</v>
      </c>
      <c r="D81" s="122">
        <v>8</v>
      </c>
      <c r="E81" s="122" t="s">
        <v>139</v>
      </c>
      <c r="F81" s="122" t="s">
        <v>139</v>
      </c>
      <c r="G81"/>
    </row>
    <row r="82" spans="2:7" ht="13.5">
      <c r="B82" s="101" t="s">
        <v>411</v>
      </c>
      <c r="C82" s="101" t="s">
        <v>421</v>
      </c>
      <c r="D82" s="122">
        <v>9</v>
      </c>
      <c r="E82" s="122" t="s">
        <v>140</v>
      </c>
      <c r="F82" s="122" t="s">
        <v>140</v>
      </c>
      <c r="G82"/>
    </row>
    <row r="83" spans="2:7" ht="13.5">
      <c r="B83" s="101" t="s">
        <v>411</v>
      </c>
      <c r="C83" s="101" t="s">
        <v>422</v>
      </c>
      <c r="D83" s="122">
        <v>10</v>
      </c>
      <c r="E83" s="122" t="s">
        <v>141</v>
      </c>
      <c r="F83" s="122" t="s">
        <v>141</v>
      </c>
      <c r="G83"/>
    </row>
    <row r="84" spans="2:7" ht="13.5">
      <c r="B84" s="101" t="s">
        <v>411</v>
      </c>
      <c r="C84" s="101" t="s">
        <v>423</v>
      </c>
      <c r="D84" s="122">
        <v>11</v>
      </c>
      <c r="E84" s="122" t="s">
        <v>142</v>
      </c>
      <c r="F84" s="122" t="s">
        <v>142</v>
      </c>
      <c r="G84"/>
    </row>
    <row r="85" spans="2:7" ht="13.5">
      <c r="B85" s="101" t="s">
        <v>411</v>
      </c>
      <c r="C85" s="101" t="s">
        <v>424</v>
      </c>
      <c r="D85" s="122">
        <v>12</v>
      </c>
      <c r="E85" s="122" t="s">
        <v>143</v>
      </c>
      <c r="F85" s="122" t="s">
        <v>143</v>
      </c>
      <c r="G85"/>
    </row>
    <row r="86" spans="2:7" ht="13.5">
      <c r="B86" s="101" t="s">
        <v>411</v>
      </c>
      <c r="C86" s="101" t="s">
        <v>425</v>
      </c>
      <c r="D86" s="122">
        <v>13</v>
      </c>
      <c r="E86" s="122" t="s">
        <v>144</v>
      </c>
      <c r="F86" s="122" t="s">
        <v>144</v>
      </c>
      <c r="G86"/>
    </row>
    <row r="87" spans="2:7" ht="13.5">
      <c r="B87" s="101" t="s">
        <v>411</v>
      </c>
      <c r="C87" s="101" t="s">
        <v>426</v>
      </c>
      <c r="D87" s="122">
        <v>14</v>
      </c>
      <c r="E87" s="122" t="s">
        <v>145</v>
      </c>
      <c r="F87" s="122" t="s">
        <v>145</v>
      </c>
      <c r="G87"/>
    </row>
    <row r="88" spans="2:7" ht="13.5">
      <c r="B88" s="101" t="s">
        <v>411</v>
      </c>
      <c r="C88" s="101" t="s">
        <v>427</v>
      </c>
      <c r="D88" s="122">
        <v>15</v>
      </c>
      <c r="E88" s="122" t="s">
        <v>146</v>
      </c>
      <c r="F88" s="122" t="s">
        <v>146</v>
      </c>
      <c r="G88"/>
    </row>
    <row r="89" spans="2:7" ht="13.5">
      <c r="B89" s="101" t="s">
        <v>411</v>
      </c>
      <c r="C89" s="101" t="s">
        <v>428</v>
      </c>
      <c r="D89" s="122">
        <v>16</v>
      </c>
      <c r="E89" s="122" t="s">
        <v>147</v>
      </c>
      <c r="F89" s="122" t="s">
        <v>147</v>
      </c>
      <c r="G89"/>
    </row>
    <row r="90" spans="2:7" ht="13.5">
      <c r="B90" s="101" t="s">
        <v>411</v>
      </c>
      <c r="C90" s="101" t="s">
        <v>429</v>
      </c>
      <c r="D90" s="122">
        <v>17</v>
      </c>
      <c r="E90" s="122" t="s">
        <v>148</v>
      </c>
      <c r="F90" s="122" t="s">
        <v>148</v>
      </c>
      <c r="G90"/>
    </row>
    <row r="91" spans="2:7" ht="13.5">
      <c r="B91" s="101" t="s">
        <v>411</v>
      </c>
      <c r="C91" s="101" t="s">
        <v>430</v>
      </c>
      <c r="D91" s="122">
        <v>18</v>
      </c>
      <c r="E91" s="122" t="s">
        <v>149</v>
      </c>
      <c r="F91" s="122" t="s">
        <v>149</v>
      </c>
      <c r="G91"/>
    </row>
    <row r="92" spans="2:7" ht="13.5">
      <c r="B92" s="122" t="s">
        <v>90</v>
      </c>
      <c r="C92" s="101" t="s">
        <v>431</v>
      </c>
      <c r="D92" s="122">
        <v>0</v>
      </c>
      <c r="E92" s="122" t="s">
        <v>77</v>
      </c>
      <c r="F92" s="122" t="s">
        <v>432</v>
      </c>
      <c r="G92"/>
    </row>
    <row r="93" spans="2:7" ht="13.5">
      <c r="B93" s="122" t="s">
        <v>92</v>
      </c>
      <c r="C93" s="101" t="s">
        <v>433</v>
      </c>
      <c r="D93" s="122">
        <v>0</v>
      </c>
      <c r="E93" s="122" t="s">
        <v>150</v>
      </c>
      <c r="F93" s="122" t="s">
        <v>434</v>
      </c>
      <c r="G93"/>
    </row>
    <row r="94" spans="2:7" ht="13.5">
      <c r="B94" s="122" t="s">
        <v>92</v>
      </c>
      <c r="C94" s="101" t="s">
        <v>420</v>
      </c>
      <c r="D94" s="122">
        <v>1</v>
      </c>
      <c r="E94" s="122" t="s">
        <v>151</v>
      </c>
      <c r="F94" s="122" t="s">
        <v>435</v>
      </c>
      <c r="G94"/>
    </row>
    <row r="95" spans="2:7" ht="13.5">
      <c r="B95" s="122" t="s">
        <v>92</v>
      </c>
      <c r="C95" s="101" t="s">
        <v>436</v>
      </c>
      <c r="D95" s="122">
        <v>2</v>
      </c>
      <c r="E95" s="122" t="s">
        <v>152</v>
      </c>
      <c r="F95" s="122" t="s">
        <v>437</v>
      </c>
      <c r="G95"/>
    </row>
    <row r="96" spans="2:7" ht="13.5">
      <c r="B96" s="122" t="s">
        <v>92</v>
      </c>
      <c r="C96" s="101" t="s">
        <v>438</v>
      </c>
      <c r="D96" s="122">
        <v>3</v>
      </c>
      <c r="E96" s="122" t="s">
        <v>153</v>
      </c>
      <c r="F96" s="122" t="s">
        <v>439</v>
      </c>
      <c r="G96"/>
    </row>
    <row r="97" spans="2:7" ht="13.5">
      <c r="B97" s="122" t="s">
        <v>92</v>
      </c>
      <c r="C97" s="101" t="s">
        <v>440</v>
      </c>
      <c r="D97" s="122">
        <v>4</v>
      </c>
      <c r="E97" s="122" t="s">
        <v>154</v>
      </c>
      <c r="F97" s="122" t="s">
        <v>441</v>
      </c>
      <c r="G97"/>
    </row>
    <row r="98" spans="2:7" ht="13.5">
      <c r="B98" s="122" t="s">
        <v>94</v>
      </c>
      <c r="C98" s="101" t="s">
        <v>442</v>
      </c>
      <c r="D98" s="122">
        <v>0</v>
      </c>
      <c r="E98" s="122" t="s">
        <v>155</v>
      </c>
      <c r="F98" s="122" t="s">
        <v>443</v>
      </c>
      <c r="G98"/>
    </row>
    <row r="99" spans="2:7" ht="13.5">
      <c r="B99" s="122" t="s">
        <v>94</v>
      </c>
      <c r="C99" s="101" t="s">
        <v>444</v>
      </c>
      <c r="D99" s="122">
        <v>1</v>
      </c>
      <c r="E99" s="122" t="s">
        <v>156</v>
      </c>
      <c r="F99" s="122" t="s">
        <v>445</v>
      </c>
      <c r="G99"/>
    </row>
    <row r="100" spans="2:7" ht="13.5">
      <c r="B100" s="122" t="s">
        <v>94</v>
      </c>
      <c r="C100" s="101" t="s">
        <v>700</v>
      </c>
      <c r="D100" s="122">
        <v>2</v>
      </c>
      <c r="E100" s="122" t="s">
        <v>157</v>
      </c>
      <c r="F100" s="122" t="s">
        <v>446</v>
      </c>
      <c r="G100"/>
    </row>
    <row r="101" spans="2:7" ht="13.5">
      <c r="B101" s="122" t="s">
        <v>94</v>
      </c>
      <c r="C101" s="101" t="s">
        <v>447</v>
      </c>
      <c r="D101" s="122">
        <v>3</v>
      </c>
      <c r="E101" s="122" t="s">
        <v>158</v>
      </c>
      <c r="F101" s="122" t="s">
        <v>448</v>
      </c>
      <c r="G101"/>
    </row>
    <row r="102" spans="2:7" ht="13.5">
      <c r="B102" s="122" t="s">
        <v>94</v>
      </c>
      <c r="C102" s="101" t="s">
        <v>449</v>
      </c>
      <c r="D102" s="122">
        <v>4</v>
      </c>
      <c r="E102" s="122" t="s">
        <v>159</v>
      </c>
      <c r="F102" s="122" t="s">
        <v>450</v>
      </c>
      <c r="G102"/>
    </row>
    <row r="103" spans="2:7" ht="13.5">
      <c r="B103" s="122" t="s">
        <v>94</v>
      </c>
      <c r="C103" s="101" t="s">
        <v>451</v>
      </c>
      <c r="D103" s="122">
        <v>5</v>
      </c>
      <c r="E103" s="122" t="s">
        <v>160</v>
      </c>
      <c r="F103" s="122" t="s">
        <v>452</v>
      </c>
      <c r="G103"/>
    </row>
    <row r="104" spans="2:7" ht="13.5">
      <c r="B104" s="122" t="s">
        <v>94</v>
      </c>
      <c r="C104" s="101" t="s">
        <v>453</v>
      </c>
      <c r="D104" s="122">
        <v>6</v>
      </c>
      <c r="E104" s="122" t="s">
        <v>161</v>
      </c>
      <c r="F104" s="122" t="s">
        <v>454</v>
      </c>
      <c r="G104"/>
    </row>
    <row r="105" spans="2:7" ht="13.5">
      <c r="B105" s="122" t="s">
        <v>94</v>
      </c>
      <c r="C105" s="101" t="s">
        <v>455</v>
      </c>
      <c r="D105" s="122">
        <v>7</v>
      </c>
      <c r="E105" s="122" t="s">
        <v>162</v>
      </c>
      <c r="F105" s="122" t="s">
        <v>456</v>
      </c>
      <c r="G105"/>
    </row>
    <row r="106" spans="2:7" ht="13.5">
      <c r="B106" s="122" t="s">
        <v>94</v>
      </c>
      <c r="C106" s="101" t="s">
        <v>457</v>
      </c>
      <c r="D106" s="122">
        <v>8</v>
      </c>
      <c r="E106" s="122" t="s">
        <v>163</v>
      </c>
      <c r="F106" s="122" t="s">
        <v>458</v>
      </c>
      <c r="G106"/>
    </row>
    <row r="107" spans="2:7" ht="13.5">
      <c r="B107" s="122" t="s">
        <v>94</v>
      </c>
      <c r="C107" s="101" t="s">
        <v>459</v>
      </c>
      <c r="D107" s="122">
        <v>9</v>
      </c>
      <c r="E107" s="122" t="s">
        <v>164</v>
      </c>
      <c r="F107" s="122" t="s">
        <v>460</v>
      </c>
      <c r="G107"/>
    </row>
    <row r="108" spans="2:7" ht="13.5">
      <c r="B108" s="122" t="s">
        <v>94</v>
      </c>
      <c r="C108" s="101" t="s">
        <v>461</v>
      </c>
      <c r="D108" s="122">
        <v>10</v>
      </c>
      <c r="E108" s="122" t="s">
        <v>165</v>
      </c>
      <c r="F108" s="122" t="s">
        <v>462</v>
      </c>
      <c r="G108"/>
    </row>
    <row r="109" spans="2:7" ht="13.5">
      <c r="B109" s="122" t="s">
        <v>94</v>
      </c>
      <c r="C109" s="101" t="s">
        <v>463</v>
      </c>
      <c r="D109" s="122">
        <v>11</v>
      </c>
      <c r="E109" s="122" t="s">
        <v>166</v>
      </c>
      <c r="F109" s="122" t="s">
        <v>701</v>
      </c>
      <c r="G109"/>
    </row>
    <row r="110" spans="2:7" ht="13.5">
      <c r="B110" s="122" t="s">
        <v>73</v>
      </c>
      <c r="C110" s="101" t="s">
        <v>464</v>
      </c>
      <c r="D110" s="122">
        <v>0</v>
      </c>
      <c r="E110" s="122" t="s">
        <v>167</v>
      </c>
      <c r="F110" s="122" t="s">
        <v>167</v>
      </c>
      <c r="G110"/>
    </row>
    <row r="111" spans="2:7" ht="13.5">
      <c r="B111" s="122" t="s">
        <v>73</v>
      </c>
      <c r="C111" s="101" t="s">
        <v>465</v>
      </c>
      <c r="D111" s="122">
        <v>1</v>
      </c>
      <c r="E111" s="122" t="s">
        <v>168</v>
      </c>
      <c r="F111" s="122" t="s">
        <v>168</v>
      </c>
      <c r="G111"/>
    </row>
    <row r="112" spans="2:7" ht="13.5">
      <c r="B112" s="122" t="s">
        <v>73</v>
      </c>
      <c r="C112" s="101" t="s">
        <v>466</v>
      </c>
      <c r="D112" s="122">
        <v>2</v>
      </c>
      <c r="E112" s="122" t="s">
        <v>169</v>
      </c>
      <c r="F112" s="122" t="s">
        <v>169</v>
      </c>
      <c r="G112"/>
    </row>
    <row r="113" spans="2:7" ht="13.5">
      <c r="B113" s="122" t="s">
        <v>73</v>
      </c>
      <c r="C113" s="101" t="s">
        <v>467</v>
      </c>
      <c r="D113" s="122">
        <v>3</v>
      </c>
      <c r="E113" s="122" t="s">
        <v>170</v>
      </c>
      <c r="F113" s="122" t="s">
        <v>170</v>
      </c>
      <c r="G113"/>
    </row>
    <row r="114" spans="2:7" ht="13.5">
      <c r="B114" s="122" t="s">
        <v>73</v>
      </c>
      <c r="C114" s="101" t="s">
        <v>468</v>
      </c>
      <c r="D114" s="122">
        <v>4</v>
      </c>
      <c r="E114" s="122" t="s">
        <v>171</v>
      </c>
      <c r="F114" s="122" t="s">
        <v>171</v>
      </c>
      <c r="G114"/>
    </row>
    <row r="115" spans="2:7" ht="13.5">
      <c r="B115" s="122" t="s">
        <v>73</v>
      </c>
      <c r="C115" s="101" t="s">
        <v>469</v>
      </c>
      <c r="D115" s="122">
        <v>5</v>
      </c>
      <c r="E115" s="122" t="s">
        <v>172</v>
      </c>
      <c r="F115" s="122" t="s">
        <v>172</v>
      </c>
      <c r="G115"/>
    </row>
    <row r="116" spans="2:7" ht="13.5">
      <c r="B116" s="122" t="s">
        <v>73</v>
      </c>
      <c r="C116" s="101" t="s">
        <v>470</v>
      </c>
      <c r="D116" s="122">
        <v>6</v>
      </c>
      <c r="E116" s="122" t="s">
        <v>173</v>
      </c>
      <c r="F116" s="122" t="s">
        <v>172</v>
      </c>
      <c r="G116"/>
    </row>
    <row r="117" spans="2:7" ht="13.5">
      <c r="B117" s="122" t="s">
        <v>60</v>
      </c>
      <c r="C117" s="101" t="s">
        <v>471</v>
      </c>
      <c r="D117" s="122">
        <v>0</v>
      </c>
      <c r="E117" s="101" t="s">
        <v>471</v>
      </c>
      <c r="F117" s="122" t="s">
        <v>472</v>
      </c>
      <c r="G117"/>
    </row>
    <row r="118" spans="2:7" ht="13.5">
      <c r="B118" s="122" t="s">
        <v>60</v>
      </c>
      <c r="C118" s="101" t="s">
        <v>473</v>
      </c>
      <c r="D118" s="122">
        <v>1</v>
      </c>
      <c r="E118" s="101" t="s">
        <v>473</v>
      </c>
      <c r="F118" s="122" t="s">
        <v>474</v>
      </c>
      <c r="G118"/>
    </row>
    <row r="119" spans="2:7" ht="13.5">
      <c r="B119" s="122" t="s">
        <v>60</v>
      </c>
      <c r="C119" s="101" t="s">
        <v>475</v>
      </c>
      <c r="D119" s="122">
        <v>2</v>
      </c>
      <c r="E119" s="101" t="s">
        <v>475</v>
      </c>
      <c r="F119" s="122" t="s">
        <v>476</v>
      </c>
      <c r="G119"/>
    </row>
    <row r="120" spans="2:7" ht="13.5">
      <c r="B120" s="122" t="s">
        <v>60</v>
      </c>
      <c r="C120" s="101" t="s">
        <v>477</v>
      </c>
      <c r="D120" s="122">
        <v>3</v>
      </c>
      <c r="E120" s="101" t="s">
        <v>477</v>
      </c>
      <c r="F120" s="122" t="s">
        <v>478</v>
      </c>
      <c r="G120"/>
    </row>
    <row r="121" spans="2:7" ht="13.5">
      <c r="B121" s="122" t="s">
        <v>60</v>
      </c>
      <c r="C121" s="101" t="s">
        <v>479</v>
      </c>
      <c r="D121" s="122">
        <v>4</v>
      </c>
      <c r="E121" s="101" t="s">
        <v>479</v>
      </c>
      <c r="F121" s="122" t="s">
        <v>480</v>
      </c>
      <c r="G121"/>
    </row>
    <row r="122" spans="2:7" ht="13.5">
      <c r="B122" s="122" t="s">
        <v>110</v>
      </c>
      <c r="C122" s="174" t="s">
        <v>481</v>
      </c>
      <c r="D122" s="122">
        <v>0</v>
      </c>
      <c r="E122" s="174" t="b">
        <v>0</v>
      </c>
      <c r="F122" s="174" t="s">
        <v>482</v>
      </c>
      <c r="G122"/>
    </row>
    <row r="123" spans="2:7" ht="13.5">
      <c r="B123" s="122" t="s">
        <v>110</v>
      </c>
      <c r="C123" s="174" t="s">
        <v>483</v>
      </c>
      <c r="D123" s="122">
        <v>1</v>
      </c>
      <c r="E123" s="174" t="b">
        <v>1</v>
      </c>
      <c r="F123" s="174" t="s">
        <v>484</v>
      </c>
      <c r="G123"/>
    </row>
    <row r="124" spans="2:7" ht="13.5">
      <c r="B124" s="122" t="s">
        <v>111</v>
      </c>
      <c r="C124" s="101" t="s">
        <v>485</v>
      </c>
      <c r="D124" s="122">
        <v>0</v>
      </c>
      <c r="E124" s="122" t="s">
        <v>174</v>
      </c>
      <c r="F124" s="122" t="s">
        <v>486</v>
      </c>
      <c r="G124"/>
    </row>
    <row r="125" spans="2:7" ht="13.5">
      <c r="B125" s="122" t="s">
        <v>111</v>
      </c>
      <c r="C125" s="101" t="s">
        <v>487</v>
      </c>
      <c r="D125" s="122">
        <v>1</v>
      </c>
      <c r="E125" s="122" t="s">
        <v>175</v>
      </c>
      <c r="F125" s="122" t="s">
        <v>488</v>
      </c>
      <c r="G125"/>
    </row>
    <row r="126" spans="2:7" ht="13.5">
      <c r="B126" s="122" t="s">
        <v>112</v>
      </c>
      <c r="C126" s="101" t="s">
        <v>420</v>
      </c>
      <c r="D126" s="122">
        <v>0</v>
      </c>
      <c r="E126" s="122" t="s">
        <v>151</v>
      </c>
      <c r="F126" s="122" t="s">
        <v>435</v>
      </c>
      <c r="G126"/>
    </row>
    <row r="127" spans="2:7" ht="13.5">
      <c r="B127" s="122" t="s">
        <v>112</v>
      </c>
      <c r="C127" s="101" t="s">
        <v>436</v>
      </c>
      <c r="D127" s="122">
        <v>1</v>
      </c>
      <c r="E127" s="122" t="s">
        <v>176</v>
      </c>
      <c r="F127" s="122" t="s">
        <v>437</v>
      </c>
      <c r="G127"/>
    </row>
    <row r="128" spans="2:7" ht="13.5">
      <c r="B128" s="122" t="s">
        <v>113</v>
      </c>
      <c r="C128" s="101" t="s">
        <v>466</v>
      </c>
      <c r="D128" s="122">
        <v>0</v>
      </c>
      <c r="E128" s="122" t="s">
        <v>177</v>
      </c>
      <c r="F128" s="122" t="s">
        <v>489</v>
      </c>
      <c r="G128"/>
    </row>
    <row r="129" spans="2:7" ht="13.5">
      <c r="B129" s="122" t="s">
        <v>113</v>
      </c>
      <c r="C129" s="101" t="s">
        <v>490</v>
      </c>
      <c r="D129" s="122">
        <v>1</v>
      </c>
      <c r="E129" s="122" t="s">
        <v>178</v>
      </c>
      <c r="F129" s="122" t="s">
        <v>491</v>
      </c>
      <c r="G129"/>
    </row>
    <row r="130" spans="2:7" ht="13.5">
      <c r="B130" s="122" t="s">
        <v>114</v>
      </c>
      <c r="C130" s="101" t="s">
        <v>403</v>
      </c>
      <c r="D130" s="122">
        <v>0</v>
      </c>
      <c r="E130" s="101" t="s">
        <v>492</v>
      </c>
      <c r="F130" s="122" t="s">
        <v>493</v>
      </c>
      <c r="G130"/>
    </row>
    <row r="131" spans="2:7" ht="13.5">
      <c r="B131" s="122" t="s">
        <v>114</v>
      </c>
      <c r="C131" s="101" t="s">
        <v>494</v>
      </c>
      <c r="D131" s="122">
        <v>1</v>
      </c>
      <c r="E131" s="122" t="s">
        <v>179</v>
      </c>
      <c r="F131" s="122" t="s">
        <v>495</v>
      </c>
      <c r="G131"/>
    </row>
    <row r="132" spans="2:7" ht="13.5">
      <c r="B132" s="122" t="s">
        <v>115</v>
      </c>
      <c r="C132" s="122" t="s">
        <v>180</v>
      </c>
      <c r="D132" s="122">
        <v>0</v>
      </c>
      <c r="E132" s="101" t="s">
        <v>11</v>
      </c>
      <c r="F132" s="122" t="s">
        <v>496</v>
      </c>
    </row>
    <row r="133" spans="2:7" ht="13.5">
      <c r="B133" s="122" t="s">
        <v>115</v>
      </c>
      <c r="C133" s="122" t="s">
        <v>181</v>
      </c>
      <c r="D133" s="122">
        <v>1</v>
      </c>
      <c r="E133" s="101" t="s">
        <v>497</v>
      </c>
      <c r="F133" s="122" t="s">
        <v>448</v>
      </c>
    </row>
    <row r="134" spans="2:7" ht="13.5">
      <c r="B134" s="122" t="s">
        <v>115</v>
      </c>
      <c r="C134" s="122" t="s">
        <v>182</v>
      </c>
      <c r="D134" s="122">
        <v>2</v>
      </c>
      <c r="E134" s="101" t="s">
        <v>498</v>
      </c>
      <c r="F134" s="122" t="s">
        <v>443</v>
      </c>
    </row>
    <row r="135" spans="2:7" ht="13.5">
      <c r="B135" s="122" t="s">
        <v>116</v>
      </c>
      <c r="C135" s="175" t="s">
        <v>499</v>
      </c>
      <c r="D135" s="122">
        <v>0</v>
      </c>
      <c r="E135" s="101" t="s">
        <v>500</v>
      </c>
      <c r="F135" s="122" t="s">
        <v>183</v>
      </c>
    </row>
    <row r="136" spans="2:7" ht="13.5">
      <c r="B136" s="122" t="s">
        <v>116</v>
      </c>
      <c r="C136" s="175" t="s">
        <v>501</v>
      </c>
      <c r="D136" s="122">
        <v>1</v>
      </c>
      <c r="E136" s="122" t="s">
        <v>184</v>
      </c>
      <c r="F136" s="122" t="s">
        <v>184</v>
      </c>
    </row>
    <row r="137" spans="2:7" ht="13.5">
      <c r="B137" s="122" t="s">
        <v>116</v>
      </c>
      <c r="C137" s="175" t="s">
        <v>502</v>
      </c>
      <c r="D137" s="122">
        <v>2</v>
      </c>
      <c r="E137" s="122" t="s">
        <v>185</v>
      </c>
      <c r="F137" s="122" t="s">
        <v>185</v>
      </c>
    </row>
    <row r="138" spans="2:7" ht="13.5">
      <c r="B138" s="122" t="s">
        <v>116</v>
      </c>
      <c r="C138" s="175" t="s">
        <v>503</v>
      </c>
      <c r="D138" s="122">
        <v>3</v>
      </c>
      <c r="E138" s="122" t="s">
        <v>186</v>
      </c>
      <c r="F138" s="122" t="s">
        <v>186</v>
      </c>
    </row>
    <row r="139" spans="2:7" ht="13.5">
      <c r="B139" s="122" t="s">
        <v>116</v>
      </c>
      <c r="C139" s="175" t="s">
        <v>504</v>
      </c>
      <c r="D139" s="122">
        <v>4</v>
      </c>
      <c r="E139" s="122" t="s">
        <v>187</v>
      </c>
      <c r="F139" s="122" t="s">
        <v>187</v>
      </c>
    </row>
    <row r="140" spans="2:7" ht="13.5">
      <c r="B140" s="122" t="s">
        <v>116</v>
      </c>
      <c r="C140" s="175" t="s">
        <v>505</v>
      </c>
      <c r="D140" s="122">
        <v>5</v>
      </c>
      <c r="E140" s="122" t="s">
        <v>188</v>
      </c>
      <c r="F140" s="122" t="s">
        <v>188</v>
      </c>
    </row>
    <row r="141" spans="2:7" ht="13.5">
      <c r="B141" s="122" t="s">
        <v>116</v>
      </c>
      <c r="C141" s="175" t="s">
        <v>506</v>
      </c>
      <c r="D141" s="122">
        <v>6</v>
      </c>
      <c r="E141" s="122" t="s">
        <v>189</v>
      </c>
      <c r="F141" s="122" t="s">
        <v>189</v>
      </c>
    </row>
    <row r="142" spans="2:7" ht="13.5">
      <c r="B142" s="122" t="s">
        <v>117</v>
      </c>
      <c r="C142" s="101" t="s">
        <v>507</v>
      </c>
      <c r="D142" s="122">
        <v>0</v>
      </c>
      <c r="E142" s="122" t="s">
        <v>190</v>
      </c>
      <c r="F142" s="122" t="s">
        <v>190</v>
      </c>
    </row>
    <row r="143" spans="2:7" ht="13.5">
      <c r="B143" s="122" t="s">
        <v>117</v>
      </c>
      <c r="C143" s="101" t="s">
        <v>466</v>
      </c>
      <c r="D143" s="122">
        <v>1</v>
      </c>
      <c r="E143" s="122" t="s">
        <v>191</v>
      </c>
      <c r="F143" s="122" t="s">
        <v>191</v>
      </c>
    </row>
    <row r="144" spans="2:7" ht="13.5">
      <c r="B144" s="122" t="s">
        <v>118</v>
      </c>
      <c r="C144" s="101" t="s">
        <v>508</v>
      </c>
      <c r="D144" s="122">
        <v>0</v>
      </c>
      <c r="E144" s="122" t="s">
        <v>192</v>
      </c>
      <c r="F144" s="122" t="s">
        <v>509</v>
      </c>
    </row>
    <row r="145" spans="2:6" ht="13.5">
      <c r="B145" s="122" t="s">
        <v>118</v>
      </c>
      <c r="C145" s="101" t="s">
        <v>510</v>
      </c>
      <c r="D145" s="122">
        <v>1</v>
      </c>
      <c r="E145" s="122" t="s">
        <v>193</v>
      </c>
      <c r="F145" s="122" t="s">
        <v>511</v>
      </c>
    </row>
    <row r="146" spans="2:6" ht="13.5">
      <c r="B146" s="122" t="s">
        <v>119</v>
      </c>
      <c r="C146" s="101" t="s">
        <v>512</v>
      </c>
      <c r="D146" s="122">
        <v>0</v>
      </c>
      <c r="E146" s="122" t="s">
        <v>194</v>
      </c>
      <c r="F146" s="122" t="s">
        <v>513</v>
      </c>
    </row>
    <row r="147" spans="2:6" ht="13.5">
      <c r="B147" s="122" t="s">
        <v>119</v>
      </c>
      <c r="C147" s="101" t="s">
        <v>514</v>
      </c>
      <c r="D147" s="122">
        <v>1</v>
      </c>
      <c r="E147" s="122" t="s">
        <v>195</v>
      </c>
      <c r="F147" s="122" t="s">
        <v>515</v>
      </c>
    </row>
    <row r="148" spans="2:6" ht="13.5">
      <c r="B148" s="122" t="s">
        <v>120</v>
      </c>
      <c r="C148" s="101" t="s">
        <v>516</v>
      </c>
      <c r="D148" s="122">
        <v>0</v>
      </c>
      <c r="E148" s="122" t="s">
        <v>196</v>
      </c>
      <c r="F148" s="122" t="s">
        <v>517</v>
      </c>
    </row>
    <row r="149" spans="2:6" ht="13.5">
      <c r="B149" s="122" t="s">
        <v>120</v>
      </c>
      <c r="C149" s="101" t="s">
        <v>518</v>
      </c>
      <c r="D149" s="122">
        <v>1</v>
      </c>
      <c r="E149" s="122" t="s">
        <v>197</v>
      </c>
      <c r="F149" s="122" t="s">
        <v>519</v>
      </c>
    </row>
    <row r="150" spans="2:6" ht="13.5">
      <c r="B150" s="122" t="s">
        <v>121</v>
      </c>
      <c r="C150" s="101" t="s">
        <v>520</v>
      </c>
      <c r="D150" s="122">
        <v>0</v>
      </c>
      <c r="E150" s="122" t="s">
        <v>198</v>
      </c>
      <c r="F150" s="122" t="s">
        <v>198</v>
      </c>
    </row>
    <row r="151" spans="2:6" ht="13.5">
      <c r="B151" s="122" t="s">
        <v>121</v>
      </c>
      <c r="C151" s="101" t="s">
        <v>521</v>
      </c>
      <c r="D151" s="122">
        <v>1</v>
      </c>
      <c r="E151" s="122" t="s">
        <v>199</v>
      </c>
      <c r="F151" s="122" t="s">
        <v>199</v>
      </c>
    </row>
    <row r="152" spans="2:6" ht="13.5">
      <c r="B152" s="122" t="s">
        <v>121</v>
      </c>
      <c r="C152" s="101" t="s">
        <v>522</v>
      </c>
      <c r="D152" s="122">
        <v>2</v>
      </c>
      <c r="E152" s="122" t="s">
        <v>200</v>
      </c>
      <c r="F152" s="122" t="s">
        <v>200</v>
      </c>
    </row>
    <row r="153" spans="2:6" ht="13.5">
      <c r="B153" s="122" t="s">
        <v>121</v>
      </c>
      <c r="C153" s="101" t="s">
        <v>523</v>
      </c>
      <c r="D153" s="122">
        <v>3</v>
      </c>
      <c r="E153" s="122" t="s">
        <v>201</v>
      </c>
      <c r="F153" s="122" t="s">
        <v>201</v>
      </c>
    </row>
    <row r="154" spans="2:6" ht="13.5">
      <c r="B154" s="122" t="s">
        <v>121</v>
      </c>
      <c r="C154" s="101" t="s">
        <v>524</v>
      </c>
      <c r="D154" s="122">
        <v>4</v>
      </c>
      <c r="E154" s="122" t="s">
        <v>202</v>
      </c>
      <c r="F154" s="122" t="s">
        <v>202</v>
      </c>
    </row>
    <row r="155" spans="2:6" ht="13.5">
      <c r="B155" s="122" t="s">
        <v>122</v>
      </c>
      <c r="C155" s="101" t="s">
        <v>525</v>
      </c>
      <c r="D155" s="122">
        <v>0</v>
      </c>
      <c r="E155" s="122" t="s">
        <v>203</v>
      </c>
      <c r="F155" s="122" t="s">
        <v>203</v>
      </c>
    </row>
    <row r="156" spans="2:6" ht="13.5">
      <c r="B156" s="122" t="s">
        <v>122</v>
      </c>
      <c r="C156" s="101" t="s">
        <v>526</v>
      </c>
      <c r="D156" s="122">
        <v>1</v>
      </c>
      <c r="E156" s="122" t="s">
        <v>204</v>
      </c>
      <c r="F156" s="122" t="s">
        <v>204</v>
      </c>
    </row>
    <row r="157" spans="2:6" ht="13.5">
      <c r="B157" s="122" t="s">
        <v>122</v>
      </c>
      <c r="C157" s="101" t="s">
        <v>527</v>
      </c>
      <c r="D157" s="122">
        <v>2</v>
      </c>
      <c r="E157" s="122" t="s">
        <v>205</v>
      </c>
      <c r="F157" s="122" t="s">
        <v>205</v>
      </c>
    </row>
    <row r="158" spans="2:6" ht="13.5">
      <c r="B158" s="122" t="s">
        <v>122</v>
      </c>
      <c r="C158" s="101" t="s">
        <v>528</v>
      </c>
      <c r="D158" s="122">
        <v>3</v>
      </c>
      <c r="E158" s="122" t="s">
        <v>206</v>
      </c>
      <c r="F158" s="122" t="s">
        <v>206</v>
      </c>
    </row>
    <row r="159" spans="2:6" ht="13.5">
      <c r="B159" s="122" t="s">
        <v>122</v>
      </c>
      <c r="C159" s="101" t="s">
        <v>529</v>
      </c>
      <c r="D159" s="122">
        <v>4</v>
      </c>
      <c r="E159" s="122" t="s">
        <v>207</v>
      </c>
      <c r="F159" s="122" t="s">
        <v>207</v>
      </c>
    </row>
    <row r="160" spans="2:6" ht="13.5">
      <c r="B160" s="122" t="s">
        <v>122</v>
      </c>
      <c r="C160" s="101" t="s">
        <v>530</v>
      </c>
      <c r="D160" s="122">
        <v>5</v>
      </c>
      <c r="E160" s="122" t="s">
        <v>208</v>
      </c>
      <c r="F160" s="122" t="s">
        <v>208</v>
      </c>
    </row>
    <row r="161" spans="2:6" ht="13.5">
      <c r="B161" s="122" t="s">
        <v>122</v>
      </c>
      <c r="C161" s="101" t="s">
        <v>531</v>
      </c>
      <c r="D161" s="122">
        <v>6</v>
      </c>
      <c r="E161" s="122" t="s">
        <v>209</v>
      </c>
      <c r="F161" s="122" t="s">
        <v>209</v>
      </c>
    </row>
    <row r="162" spans="2:6" ht="13.5">
      <c r="B162" s="122" t="s">
        <v>72</v>
      </c>
      <c r="C162" s="101" t="s">
        <v>532</v>
      </c>
      <c r="D162" s="122">
        <v>0</v>
      </c>
      <c r="E162" s="122" t="s">
        <v>96</v>
      </c>
      <c r="F162" s="122" t="s">
        <v>533</v>
      </c>
    </row>
    <row r="163" spans="2:6" ht="13.5">
      <c r="B163" s="122" t="s">
        <v>72</v>
      </c>
      <c r="C163" s="101" t="s">
        <v>534</v>
      </c>
      <c r="D163" s="122">
        <v>0</v>
      </c>
      <c r="E163" s="122" t="s">
        <v>97</v>
      </c>
      <c r="F163" s="122" t="s">
        <v>535</v>
      </c>
    </row>
    <row r="164" spans="2:6" ht="13.5">
      <c r="B164" s="122" t="s">
        <v>72</v>
      </c>
      <c r="C164" s="101" t="s">
        <v>536</v>
      </c>
      <c r="D164" s="122">
        <v>1</v>
      </c>
      <c r="E164" s="122" t="s">
        <v>98</v>
      </c>
      <c r="F164" s="122" t="s">
        <v>537</v>
      </c>
    </row>
    <row r="165" spans="2:6" ht="13.5">
      <c r="B165" s="122" t="s">
        <v>72</v>
      </c>
      <c r="C165" s="101" t="s">
        <v>538</v>
      </c>
      <c r="D165" s="122">
        <v>2</v>
      </c>
      <c r="E165" s="122" t="s">
        <v>99</v>
      </c>
      <c r="F165" s="122" t="s">
        <v>539</v>
      </c>
    </row>
    <row r="166" spans="2:6" ht="13.5">
      <c r="B166" s="122" t="s">
        <v>72</v>
      </c>
      <c r="C166" s="101" t="s">
        <v>540</v>
      </c>
      <c r="D166" s="122">
        <v>3</v>
      </c>
      <c r="E166" s="122" t="s">
        <v>100</v>
      </c>
      <c r="F166" s="122" t="s">
        <v>541</v>
      </c>
    </row>
    <row r="167" spans="2:6" ht="13.5">
      <c r="B167" s="122" t="s">
        <v>72</v>
      </c>
      <c r="C167" s="101" t="s">
        <v>542</v>
      </c>
      <c r="D167" s="122">
        <v>4</v>
      </c>
      <c r="E167" s="122" t="s">
        <v>101</v>
      </c>
      <c r="F167" s="122" t="s">
        <v>543</v>
      </c>
    </row>
    <row r="168" spans="2:6" ht="13.5">
      <c r="B168" s="122" t="s">
        <v>72</v>
      </c>
      <c r="C168" s="101" t="s">
        <v>544</v>
      </c>
      <c r="D168" s="122">
        <v>5</v>
      </c>
      <c r="E168" s="122" t="s">
        <v>102</v>
      </c>
      <c r="F168" s="122" t="s">
        <v>545</v>
      </c>
    </row>
    <row r="169" spans="2:6" ht="13.5">
      <c r="B169" s="122" t="s">
        <v>72</v>
      </c>
      <c r="C169" s="101" t="s">
        <v>546</v>
      </c>
      <c r="D169" s="122">
        <v>6</v>
      </c>
      <c r="E169" s="122" t="s">
        <v>103</v>
      </c>
      <c r="F169" s="122" t="s">
        <v>547</v>
      </c>
    </row>
    <row r="170" spans="2:6" ht="13.5">
      <c r="B170" s="122" t="s">
        <v>72</v>
      </c>
      <c r="C170" s="101" t="s">
        <v>548</v>
      </c>
      <c r="D170" s="122">
        <v>7</v>
      </c>
      <c r="E170" s="122" t="s">
        <v>104</v>
      </c>
      <c r="F170" s="122" t="s">
        <v>549</v>
      </c>
    </row>
    <row r="171" spans="2:6" ht="13.5">
      <c r="B171" s="174" t="s">
        <v>105</v>
      </c>
      <c r="C171" s="101" t="s">
        <v>470</v>
      </c>
      <c r="D171" s="176">
        <v>0</v>
      </c>
      <c r="E171" s="173" t="s">
        <v>171</v>
      </c>
      <c r="F171" s="122" t="s">
        <v>550</v>
      </c>
    </row>
    <row r="172" spans="2:6" ht="13.5">
      <c r="B172" s="174" t="s">
        <v>105</v>
      </c>
      <c r="C172" s="101" t="s">
        <v>708</v>
      </c>
      <c r="D172" s="176">
        <v>1</v>
      </c>
      <c r="E172" s="173" t="s">
        <v>278</v>
      </c>
      <c r="F172" s="122" t="s">
        <v>551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Trade</vt:lpstr>
      <vt:lpstr>Result_001</vt:lpstr>
      <vt:lpstr>Result_002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2025-07-31T05:55:35Z</dcterms:modified>
</cp:coreProperties>
</file>