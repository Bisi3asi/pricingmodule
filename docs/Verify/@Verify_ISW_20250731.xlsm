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E423CE71-5A58-480C-BF10-BCA043E740FB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Result_002" sheetId="28" r:id="rId3"/>
    <sheet name="Verify" sheetId="22" r:id="rId4"/>
    <sheet name="Doc" sheetId="25" r:id="rId5"/>
    <sheet name="ConvData" sheetId="24" r:id="rId6"/>
  </sheets>
  <functionGroups builtInGroupCount="19"/>
  <definedNames>
    <definedName name="solver_adj" localSheetId="3" hidden="1">Verify!$K$18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Verify!$J$21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" i="21" l="1"/>
  <c r="AA5" i="21"/>
  <c r="S5" i="28"/>
  <c r="P22" i="28"/>
  <c r="P5" i="28"/>
  <c r="P22" i="26"/>
  <c r="P5" i="26"/>
  <c r="F34" i="26"/>
  <c r="M22" i="28" l="1"/>
  <c r="M5" i="28"/>
  <c r="S5" i="26"/>
  <c r="M22" i="26"/>
  <c r="M5" i="26"/>
  <c r="N5" i="21" l="1"/>
  <c r="T5" i="21"/>
  <c r="Y14" i="21"/>
  <c r="Q5" i="21"/>
  <c r="K32" i="21" l="1"/>
  <c r="K26" i="21"/>
  <c r="F34" i="28"/>
  <c r="C5" i="28"/>
  <c r="T7" i="28"/>
  <c r="B2" i="28"/>
  <c r="K5" i="21"/>
  <c r="C5" i="26" l="1"/>
  <c r="B2" i="26" l="1"/>
  <c r="T7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V10" i="22" a="1"/>
  <c r="Q10" i="22" a="1"/>
  <c r="S10" i="22" a="1"/>
  <c r="O10" i="22" a="1"/>
  <c r="N10" i="22" a="1"/>
  <c r="L10" i="22" a="1"/>
  <c r="P10" i="22" a="1"/>
  <c r="R10" i="22" a="1"/>
  <c r="U10" i="22" a="1"/>
  <c r="K10" i="22" a="1"/>
  <c r="M10" i="22" a="1"/>
  <c r="T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L43" i="22" a="1"/>
  <c r="R43" i="22" a="1"/>
  <c r="K43" i="22" a="1"/>
  <c r="U43" i="22" a="1"/>
  <c r="O43" i="22" a="1"/>
  <c r="T43" i="22" a="1"/>
  <c r="N43" i="22" a="1"/>
  <c r="Q43" i="22" a="1"/>
  <c r="S43" i="22" a="1"/>
  <c r="M43" i="22" a="1"/>
  <c r="V43" i="22" a="1"/>
  <c r="P43" i="22" a="1"/>
  <c r="M13" i="22" l="1"/>
  <c r="M14" i="22" s="1"/>
  <c r="T13" i="22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U50" i="22" a="1"/>
  <c r="Q50" i="22" a="1"/>
  <c r="R50" i="22" a="1"/>
  <c r="V50" i="22" a="1"/>
  <c r="T50" i="22" a="1"/>
  <c r="N50" i="22" a="1"/>
  <c r="S50" i="22" a="1"/>
  <c r="L50" i="22" a="1"/>
  <c r="P50" i="22" a="1"/>
  <c r="K50" i="22" a="1"/>
  <c r="O50" i="22" a="1"/>
  <c r="M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<sst xmlns="http://schemas.openxmlformats.org/spreadsheetml/2006/main" count="1626" uniqueCount="838">
  <si>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</si>
  <si>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</si>
  <si>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</si>
  <si>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</si>
  <si>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</si>
  <si>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</si>
  <si>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</si>
  <si>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</si>
  <si>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</si>
  <si>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</si>
  <si>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</si>
  <si>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</si>
  <si>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</si>
  <si>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</si>
  <si>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</si>
  <si>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</si>
  <si>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</si>
  <si>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</si>
  <si>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</si>
  <si>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</si>
  <si>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</si>
  <si>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</si>
  <si>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</si>
  <si>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</si>
  <si>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</si>
  <si>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</si>
  <si>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</si>
  <si>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</si>
  <si>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</si>
  <si>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</si>
  <si>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</si>
  <si>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</si>
  <si>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</si>
  <si>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</si>
  <si>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</si>
  <si>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</si>
  <si>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</si>
  <si>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</si>
  <si>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</si>
  <si>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</si>
  <si>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</si>
  <si>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</si>
  <si>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</si>
  <si>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</si>
  <si>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</si>
  <si>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</si>
  <si>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</si>
  <si>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</si>
  <si>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</si>
  <si>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</si>
  <si>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</si>
  <si>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</si>
  <si>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</si>
  <si>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</si>
  <si>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</si>
  <si>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</si>
  <si>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</si>
  <si>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</si>
  <si>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</si>
  <si>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</si>
  <si>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</si>
  <si>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</si>
  <si>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</si>
  <si>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</si>
  <si>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</si>
  <si>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</si>
  <si>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</si>
  <si>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</si>
  <si>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</si>
  <si>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</si>
  <si>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</si>
  <si>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</si>
  <si>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</si>
  <si>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</si>
  <si>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</si>
  <si>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</si>
  <si>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</si>
  <si>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</si>
  <si>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</si>
  <si>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</si>
  <si>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</si>
  <si>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</si>
  <si>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</si>
  <si>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</si>
  <si>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</si>
  <si>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</si>
  <si>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</si>
  <si>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</si>
  <si>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</si>
  <si>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</si>
  <si>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</si>
  <si>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</si>
  <si>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</si>
  <si>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</si>
  <si>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</si>
  <si>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</si>
  <si>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</si>
  <si>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</si>
  <si>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</si>
  <si>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</si>
  <si>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</si>
  <si>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</si>
  <si>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</si>
  <si>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</si>
  <si>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</si>
  <si>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</si>
  <si>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</si>
  <si>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</si>
  <si>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</si>
  <si>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</si>
  <si>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</si>
  <si>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</si>
  <si>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</si>
  <si>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</si>
  <si>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</si>
  <si>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</si>
  <si>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</si>
  <si>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</si>
  <si>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</si>
  <si>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</si>
  <si>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</si>
  <si>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</si>
  <si>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</si>
  <si>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</si>
  <si>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</si>
  <si>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</si>
  <si>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</si>
  <si>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</si>
  <si>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</si>
  <si>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</si>
  <si>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</si>
  <si>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</si>
  <si>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</si>
  <si>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</si>
  <si>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</si>
  <si>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</si>
  <si>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</si>
  <si>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</si>
  <si>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</si>
  <si>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</si>
  <si>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</si>
  <si>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</si>
  <si>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</si>
  <si>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</si>
  <si>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</si>
  <si>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</si>
  <si>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</si>
  <si>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</si>
  <si>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</si>
  <si>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</si>
  <si>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</si>
  <si>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</si>
  <si>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</si>
  <si>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</si>
  <si>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</si>
  <si>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</si>
  <si>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</si>
  <si>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</si>
  <si>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</si>
  <si>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</si>
  <si>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</si>
  <si>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</si>
  <si>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</si>
  <si>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</si>
  <si>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</si>
  <si>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</si>
  <si>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</si>
  <si>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</si>
  <si>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</si>
  <si>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</si>
  <si>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</si>
  <si>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</si>
  <si>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</si>
  <si>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</si>
  <si>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</si>
  <si>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</si>
  <si>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</si>
  <si>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</si>
  <si>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</si>
  <si>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</si>
  <si>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</si>
  <si>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</si>
  <si>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</si>
  <si>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</si>
  <si>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</si>
  <si>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</si>
  <si>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</si>
  <si>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</si>
  <si>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</si>
  <si>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</si>
  <si>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</si>
  <si>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</si>
  <si>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</si>
  <si>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</si>
  <si>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</si>
  <si>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</si>
  <si>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</si>
  <si>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</si>
  <si>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</si>
  <si>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</si>
  <si>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</si>
  <si>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</si>
  <si>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</si>
  <si>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</si>
  <si>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</si>
  <si>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</si>
  <si>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</si>
  <si>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</si>
  <si>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</si>
  <si>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</si>
  <si>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</si>
  <si>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</si>
  <si>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</si>
  <si>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</si>
  <si>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</si>
  <si>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</si>
  <si>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</si>
  <si>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</si>
  <si>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</si>
  <si>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</si>
  <si>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</si>
  <si>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</si>
  <si>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</si>
  <si>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</si>
  <si>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</si>
  <si>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</si>
  <si>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</si>
  <si>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</si>
  <si>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</si>
  <si>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</si>
  <si>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</si>
  <si>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</si>
  <si>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</si>
  <si>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</si>
  <si>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</si>
  <si>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</si>
  <si>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</si>
  <si>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</si>
  <si>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</si>
  <si>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</si>
  <si>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</si>
  <si>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</si>
  <si>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</si>
  <si>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</si>
  <si>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</si>
  <si>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</si>
  <si>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</si>
  <si>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</si>
  <si>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</si>
  <si>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</si>
  <si>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</si>
  <si>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</si>
  <si>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</si>
  <si>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</si>
  <si>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</si>
  <si>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</si>
  <si>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</si>
  <si>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</si>
  <si>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</si>
  <si>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</si>
  <si>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</si>
  <si>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</si>
  <si>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</si>
  <si>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</si>
  <si>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</si>
  <si>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</si>
  <si>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</si>
  <si>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</si>
  <si>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</si>
  <si>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</si>
  <si>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</si>
  <si>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</si>
  <si>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</si>
  <si>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</si>
  <si>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</si>
  <si>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</si>
  <si>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</si>
  <si>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</si>
  <si>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</si>
  <si>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</si>
  <si>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</si>
  <si>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</si>
  <si>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</si>
  <si>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</si>
  <si>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</si>
  <si>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</si>
  <si>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</si>
  <si>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</si>
  <si>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</si>
  <si>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</si>
  <si>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</si>
  <si>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</si>
  <si>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</si>
  <si>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</si>
  <si>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</si>
  <si>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</si>
  <si>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</si>
  <si>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</si>
  <si>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</si>
  <si>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</si>
  <si>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</si>
  <si>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</si>
  <si>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</si>
  <si>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</si>
  <si>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</si>
  <si>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</si>
  <si>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</si>
  <si>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</si>
  <si>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</si>
  <si>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</si>
  <si>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</si>
  <si>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</si>
  <si>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</si>
  <si>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</si>
  <si>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</si>
  <si>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</si>
  <si>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</si>
  <si>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</si>
  <si>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</si>
  <si>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</si>
  <si>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</si>
  <si>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</si>
  <si>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</si>
  <si>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</si>
  <si>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</si>
  <si>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</si>
  <si>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</si>
  <si>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</si>
  <si>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</si>
  <si>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</si>
  <si>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</si>
  <si>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</si>
  <si>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</si>
  <si>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</si>
  <si>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</si>
  <si>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</si>
  <si>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</si>
  <si>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</si>
  <si>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</si>
  <si>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</si>
  <si>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</si>
  <si>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</si>
  <si>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</si>
  <si>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</si>
  <si>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</si>
  <si>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</si>
  <si>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</si>
  <si>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</si>
  <si>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</si>
  <si>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</si>
  <si>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</si>
  <si>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</si>
  <si>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</si>
  <si>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</si>
  <si>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</si>
  <si>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</si>
  <si>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</si>
  <si>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</si>
  <si>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</si>
  <si>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</si>
  <si>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</si>
  <si>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</si>
  <si>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</si>
  <si>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</si>
  <si>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</si>
  <si>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</si>
  <si>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</si>
  <si>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</si>
  <si>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</si>
  <si>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</si>
  <si>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</si>
  <si>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</si>
  <si>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</si>
  <si>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</si>
  <si>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</si>
  <si>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</si>
  <si>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</si>
  <si>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</si>
  <si>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</si>
  <si>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</si>
  <si>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</si>
  <si>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</si>
  <si>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</si>
  <si>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</si>
  <si>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</si>
  <si>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</si>
  <si>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</si>
  <si>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</si>
  <si>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</si>
  <si>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</si>
  <si>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</si>
  <si>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</si>
  <si>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</si>
  <si>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</si>
  <si>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</si>
  <si>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</si>
  <si>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</si>
  <si>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</si>
  <si>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</si>
  <si>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</si>
  <si>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</si>
  <si>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</si>
  <si>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</si>
  <si>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</si>
  <si>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</si>
  <si>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</si>
  <si>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</si>
  <si>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</si>
  <si>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</si>
  <si>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</si>
  <si>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</si>
  <si>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</si>
  <si>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</si>
  <si>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</si>
  <si>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</si>
  <si>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</si>
  <si>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</si>
  <si>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</si>
  <si>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</si>
  <si>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</si>
  <si>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</si>
  <si>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</si>
  <si>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</si>
  <si>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</si>
  <si>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</si>
  <si>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</si>
  <si>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</si>
  <si>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</si>
  <si>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</si>
  <si>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</si>
  <si>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</si>
  <si>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</si>
  <si>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</si>
  <si>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</si>
  <si>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</si>
  <si>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</si>
  <si>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</si>
  <si>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</si>
  <si>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</si>
  <si>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</si>
  <si>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</si>
  <si>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</si>
  <si>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</si>
  <si>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</si>
  <si>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</si>
  <si>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</si>
  <si>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</si>
  <si>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</si>
  <si>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</si>
  <si>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</si>
  <si>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</si>
  <si>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</si>
  <si>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</si>
  <si>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</si>
  <si>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</si>
  <si>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</si>
  <si>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</si>
  <si>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</si>
  <si>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</si>
  <si>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</si>
  <si>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</si>
  <si>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</si>
  <si>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</si>
  <si>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</si>
  <si>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</si>
  <si>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</si>
  <si>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</si>
  <si>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</si>
  <si>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</si>
  <si>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</si>
  <si>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</si>
  <si>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</si>
  <si>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</si>
  <si>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</si>
  <si>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</si>
  <si>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</si>
  <si>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</si>
  <si>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</si>
  <si>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</si>
  <si>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</si>
  <si>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</si>
  <si>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</si>
  <si>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</si>
  <si>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</si>
  <si>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</si>
  <si>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</si>
  <si>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</si>
  <si>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</si>
  <si>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</si>
  <si>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</si>
  <si>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</si>
  <si>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</si>
  <si>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</si>
  <si>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</si>
  <si>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</si>
  <si>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</si>
  <si>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</si>
  <si>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</si>
  <si>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</si>
  <si>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</si>
  <si>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</si>
  <si>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</si>
  <si>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</si>
  <si>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</si>
  <si>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</si>
  <si>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</si>
  <si>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</si>
  <si>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</si>
  <si>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</si>
  <si>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</si>
  <si>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</si>
  <si>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</si>
  <si>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</si>
  <si>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</si>
  <si>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</si>
  <si>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</si>
  <si>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</si>
  <si>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</si>
  <si>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</si>
  <si>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</si>
  <si>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</si>
  <si>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</si>
  <si>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</si>
  <si>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</si>
  <si>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</si>
  <si>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</si>
  <si>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</si>
  <si>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</si>
  <si>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</si>
  <si>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</si>
  <si>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</si>
  <si>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</si>
  <si>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</si>
  <si>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</si>
  <si>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</si>
  <si>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</si>
  <si>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</si>
  <si>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</si>
  <si>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</si>
  <si>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</si>
  <si>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</si>
  <si>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</si>
  <si>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</si>
  <si>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</si>
  <si>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</si>
  <si>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</si>
  <si>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</si>
  <si>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</si>
  <si>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</si>
  <si>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</si>
  <si>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</si>
  <si>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</si>
  <si>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</si>
  <si>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</si>
  <si>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</si>
  <si>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</si>
  <si>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</si>
  <si>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</si>
  <si>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</si>
  <si>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</si>
  <si>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</si>
  <si>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</si>
  <si>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</si>
  <si>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</si>
  <si>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</si>
  <si>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</si>
  <si>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</si>
  <si>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</si>
  <si>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</si>
  <si>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</si>
  <si>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</si>
  <si>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</si>
  <si>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</si>
  <si>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</si>
  <si>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</si>
  <si>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</si>
  <si>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</si>
  <si>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</si>
  <si>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</si>
  <si>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</si>
  <si>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</si>
  <si>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</si>
  <si>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</si>
  <si>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</si>
  <si>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</si>
  <si>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</si>
  <si>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</si>
  <si>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</si>
  <si>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</si>
  <si>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</si>
  <si>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</si>
  <si>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</si>
  <si>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</si>
  <si>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</si>
  <si>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</si>
  <si>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</si>
  <si>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</si>
  <si>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</si>
  <si>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</si>
  <si>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</si>
  <si>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</si>
  <si>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</si>
  <si>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</si>
  <si>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</si>
  <si>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</si>
  <si>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</si>
  <si>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</si>
  <si>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</si>
  <si>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</si>
  <si>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</si>
  <si>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</si>
  <si>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</si>
  <si>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</si>
  <si>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</si>
  <si>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</si>
  <si>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</si>
  <si>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</si>
  <si>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</si>
  <si>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</si>
  <si>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</si>
  <si>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</si>
  <si>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</si>
  <si>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</si>
  <si>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</si>
  <si>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</si>
  <si>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</si>
  <si>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</si>
  <si>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</si>
  <si>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</si>
  <si>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</si>
  <si>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</si>
  <si>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</si>
  <si>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</si>
  <si>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</si>
  <si>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</si>
  <si>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</si>
  <si>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</si>
  <si>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</si>
  <si>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</si>
  <si>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</si>
  <si>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</si>
  <si>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</si>
  <si>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</si>
  <si>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</si>
  <si>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</si>
  <si>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</si>
  <si>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</si>
  <si>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</si>
  <si>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</si>
  <si>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</si>
  <si>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</si>
  <si>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</si>
  <si>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</si>
  <si>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</si>
  <si>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</si>
  <si>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</si>
  <si>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</si>
  <si>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</si>
  <si>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</si>
  <si>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</si>
  <si>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</si>
  <si>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</si>
  <si>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</si>
  <si>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</si>
  <si>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</si>
  <si>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</si>
  <si>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</si>
  <si>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</si>
  <si>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</si>
  <si>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</si>
  <si>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</si>
  <si>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</si>
  <si>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</si>
  <si>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</si>
  <si>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</si>
  <si>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</si>
  <si>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</si>
  <si>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</si>
  <si>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</si>
  <si>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</si>
  <si>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</si>
  <si>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</si>
  <si>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</si>
  <si>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</si>
  <si>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</si>
  <si>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</si>
  <si>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</si>
  <si>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</si>
  <si>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</si>
  <si>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</si>
  <si>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</si>
  <si>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</si>
  <si>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</si>
  <si>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</si>
  <si>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</si>
  <si>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</si>
  <si>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</si>
  <si>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</si>
  <si>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</si>
  <si>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</si>
  <si>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</si>
  <si>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S</t>
    <phoneticPr fontId="1" type="noConversion"/>
  </si>
  <si>
    <t>Y</t>
    <phoneticPr fontId="2" type="noConversion"/>
  </si>
  <si>
    <t>LEG 구분</t>
    <phoneticPr fontId="1" type="noConversion"/>
  </si>
  <si>
    <t>KRW</t>
    <phoneticPr fontId="1" type="noConversion"/>
  </si>
  <si>
    <t>ISW: Interest Rate Swap</t>
    <phoneticPr fontId="2" type="noConversion"/>
  </si>
  <si>
    <t>ISW000001_001</t>
    <phoneticPr fontId="2" type="noConversion"/>
  </si>
  <si>
    <t>ISW000001_002</t>
    <phoneticPr fontId="2" type="noConversion"/>
  </si>
  <si>
    <t>LEG구분</t>
    <phoneticPr fontId="2" type="noConversion"/>
  </si>
  <si>
    <t>LEG_INT_FG</t>
    <phoneticPr fontId="2" type="noConversion"/>
  </si>
  <si>
    <t>FIX</t>
  </si>
  <si>
    <t>COUP_DCB_CD</t>
    <phoneticPr fontId="1" type="noConversion"/>
  </si>
  <si>
    <t>BDAY_CALEN_CD</t>
    <phoneticPr fontId="1" type="noConversion"/>
  </si>
  <si>
    <t>COUP_TERM_CD</t>
    <phoneticPr fontId="1" type="noConversion"/>
  </si>
  <si>
    <t>COUP_GEN_METH_CD</t>
    <phoneticPr fontId="1" type="noConversion"/>
  </si>
  <si>
    <t>BDAY_RULE_CD</t>
    <phoneticPr fontId="1" type="noConversion"/>
  </si>
  <si>
    <t>PMT_DLY_DAYS</t>
    <phoneticPr fontId="1" type="noConversion"/>
  </si>
  <si>
    <t>NOTI_AT</t>
    <phoneticPr fontId="2" type="noConversion"/>
  </si>
  <si>
    <t>원금발생시점</t>
    <phoneticPr fontId="2" type="noConversion"/>
  </si>
  <si>
    <t>FIXING_DAYS</t>
    <phoneticPr fontId="1" type="noConversion"/>
  </si>
  <si>
    <t>PART_RATE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</si>
  <si>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</si>
  <si>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</si>
  <si>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</si>
  <si>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SCHE_FG</t>
    <phoneticPr fontId="1" type="noConversion"/>
  </si>
  <si>
    <t>쿠폰 스케줄</t>
    <phoneticPr fontId="1" type="noConversion"/>
  </si>
  <si>
    <t>CI금리확정일수</t>
    <phoneticPr fontId="1" type="noConversion"/>
  </si>
  <si>
    <t>참여율(%)</t>
    <phoneticPr fontId="1" type="noConversion"/>
  </si>
  <si>
    <t>스프레드(%)</t>
    <phoneticPr fontId="1" type="noConversion"/>
  </si>
  <si>
    <t>최종확정이자율(%)</t>
    <phoneticPr fontId="1" type="noConversion"/>
  </si>
  <si>
    <t>차기확정이자율(%)</t>
    <phoneticPr fontId="1" type="noConversion"/>
  </si>
  <si>
    <t>쿠폰지급주기 코드</t>
    <phoneticPr fontId="1" type="noConversion"/>
  </si>
  <si>
    <t>COUP_TERM</t>
    <phoneticPr fontId="1" type="noConversion"/>
  </si>
  <si>
    <t>이자생성방식</t>
  </si>
  <si>
    <t>지급지연적용일수</t>
  </si>
  <si>
    <t>PMT_DLY_DAYS</t>
  </si>
  <si>
    <t>COUP_DAYC_BASIS</t>
    <phoneticPr fontId="1" type="noConversion"/>
  </si>
  <si>
    <t>커브 금리INDEX</t>
    <phoneticPr fontId="1" type="noConversion"/>
  </si>
  <si>
    <t>BASE_CURV_ID</t>
    <phoneticPr fontId="1" type="noConversion"/>
  </si>
  <si>
    <t>IRKRW-Treasury INDEX 3M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</si>
  <si>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</si>
  <si>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</si>
  <si>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</si>
  <si>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E</t>
    <phoneticPr fontId="2" type="noConversion"/>
  </si>
  <si>
    <t>CalKRW</t>
    <phoneticPr fontId="1" type="noConversion"/>
  </si>
  <si>
    <t>SCH_001</t>
    <phoneticPr fontId="1" type="noConversion"/>
  </si>
  <si>
    <t>IRKRW-IRS</t>
    <phoneticPr fontId="1" type="noConversion"/>
  </si>
  <si>
    <t>FLO</t>
  </si>
  <si>
    <t>쿠폰일수산출방식 코드</t>
  </si>
  <si>
    <t>5</t>
  </si>
  <si>
    <t>휴일조정방식달력 코드</t>
    <phoneticPr fontId="1" type="noConversion"/>
  </si>
  <si>
    <t>0</t>
  </si>
  <si>
    <t>1</t>
  </si>
  <si>
    <t>쿠폰스케줄 생성기준 코드</t>
    <phoneticPr fontId="1" type="noConversion"/>
  </si>
  <si>
    <t>휴일조정방식 코드</t>
    <phoneticPr fontId="1" type="noConversion"/>
  </si>
  <si>
    <t>참여율</t>
    <phoneticPr fontId="1" type="noConversion"/>
  </si>
  <si>
    <t>GEARING</t>
    <phoneticPr fontId="1" type="noConversion"/>
  </si>
  <si>
    <t>스프레드</t>
    <phoneticPr fontId="1" type="noConversion"/>
  </si>
  <si>
    <t>SPREAD</t>
    <phoneticPr fontId="1" type="noConversion"/>
  </si>
  <si>
    <t>최종확정이자율</t>
    <phoneticPr fontId="1" type="noConversion"/>
  </si>
  <si>
    <t>LAST_RESET_RATE</t>
    <phoneticPr fontId="1" type="noConversion"/>
  </si>
  <si>
    <t>차기확정이자율</t>
    <phoneticPr fontId="1" type="noConversion"/>
  </si>
  <si>
    <t>NEXT_RESET_RATE</t>
    <phoneticPr fontId="1" type="noConversion"/>
  </si>
  <si>
    <t>쿠폰 개수</t>
    <phoneticPr fontId="1" type="noConversion"/>
  </si>
  <si>
    <t>COUP_CNT</t>
    <phoneticPr fontId="1" type="noConversion"/>
  </si>
  <si>
    <t>쿠폰 지급일</t>
    <phoneticPr fontId="1" type="noConversion"/>
  </si>
  <si>
    <t>COUP_PAYMENT_DT</t>
    <phoneticPr fontId="1" type="noConversion"/>
  </si>
  <si>
    <t>20250610|20251210|20260610|20261210|20270610|20271210|20280612|20281211|20290611|20291210|20300610|20301210</t>
  </si>
  <si>
    <t>쿠폰 시작일</t>
    <phoneticPr fontId="1" type="noConversion"/>
  </si>
  <si>
    <t>COUP_START_DT</t>
    <phoneticPr fontId="1" type="noConversion"/>
  </si>
  <si>
    <t>20241210|20250610|20251210|20260610|20261210|20270610|20271210|20280612|20281211|20290611|20291210|20300610</t>
  </si>
  <si>
    <t>쿠폰 종료일</t>
    <phoneticPr fontId="1" type="noConversion"/>
  </si>
  <si>
    <t>COUP_END_DT</t>
    <phoneticPr fontId="1" type="noConversion"/>
  </si>
  <si>
    <t>금리인덱스 GIRR 커브 데이터 사이즈</t>
    <phoneticPr fontId="1" type="noConversion"/>
  </si>
  <si>
    <t>IDX_ZERO_CNT</t>
    <phoneticPr fontId="1" type="noConversion"/>
  </si>
  <si>
    <t>금리인덱스 GIRR 커브 만기일수</t>
    <phoneticPr fontId="1" type="noConversion"/>
  </si>
  <si>
    <t>IDX_ZERO_T</t>
    <phoneticPr fontId="1" type="noConversion"/>
  </si>
  <si>
    <t>금리인덱스 GIRR 커브 금리</t>
    <phoneticPr fontId="1" type="noConversion"/>
  </si>
  <si>
    <t>IDX_ZERO_RATES</t>
    <phoneticPr fontId="1" type="noConversion"/>
  </si>
  <si>
    <t>0.0261|0.02552|0.02494|0.02458|0.02493|0.0254|0.02698|0.02698|0.02698|0.02698</t>
  </si>
  <si>
    <t>금리인덱스 GIRR 커브 금리계산방식 코드</t>
    <phoneticPr fontId="1" type="noConversion"/>
  </si>
  <si>
    <t>IDX_GIRR_CONVENTION</t>
    <phoneticPr fontId="1" type="noConversion"/>
  </si>
  <si>
    <t>커브일치여부</t>
  </si>
  <si>
    <t>CURVE_DC_EQUAL_YN</t>
    <phoneticPr fontId="1" type="noConversion"/>
  </si>
  <si>
    <t>금리인덱스 만기일수</t>
  </si>
  <si>
    <t>IDX_T</t>
    <phoneticPr fontId="1" type="noConversion"/>
  </si>
  <si>
    <t>금리인덱스 고시확정일수</t>
  </si>
  <si>
    <t>UNDER_FIXING_DAYS</t>
    <phoneticPr fontId="1" type="noConversion"/>
  </si>
  <si>
    <t>금리인덱스 통화</t>
  </si>
  <si>
    <t>UNDER_CCY</t>
    <phoneticPr fontId="1" type="noConversion"/>
  </si>
  <si>
    <t>금리인덱스 휴일조정방식달력 코드</t>
  </si>
  <si>
    <t>UNDER_BDAY_CALEN_CD</t>
    <phoneticPr fontId="1" type="noConversion"/>
  </si>
  <si>
    <t>금리인덱스 휴일조정방식코드</t>
  </si>
  <si>
    <t>UNDER_BDAY_RULE_CD</t>
    <phoneticPr fontId="1" type="noConversion"/>
  </si>
  <si>
    <t>금리인덱스 월말여부 코드</t>
  </si>
  <si>
    <t>UNDER_EOM_CD</t>
    <phoneticPr fontId="1" type="noConversion"/>
  </si>
  <si>
    <t>금리인덱스 일수산출방식 코드</t>
    <phoneticPr fontId="1" type="noConversion"/>
  </si>
  <si>
    <t>IDX_DCB_CD</t>
  </si>
  <si>
    <t>LEG_INT_FG</t>
    <phoneticPr fontId="1" type="noConversion"/>
  </si>
  <si>
    <t>NOTI_EXCHANGE_YN</t>
    <phoneticPr fontId="1" type="noConversion"/>
  </si>
  <si>
    <t>원금지급여부</t>
    <phoneticPr fontId="1" type="noConversion"/>
  </si>
  <si>
    <t>SCH_002</t>
    <phoneticPr fontId="1" type="noConversion"/>
  </si>
  <si>
    <t>IRKRW-IRS INDEX 3M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</si>
  <si>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</si>
  <si>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</si>
  <si>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</si>
  <si>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</si>
  <si>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</si>
  <si>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</si>
  <si>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</si>
  <si>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</si>
  <si>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</si>
  <si>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</si>
  <si>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</si>
  <si>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20301210</t>
    <phoneticPr fontId="1" type="noConversion"/>
  </si>
  <si>
    <t>20241210</t>
    <phoneticPr fontId="1" type="noConversion"/>
  </si>
  <si>
    <t>IRKRW-Treasury</t>
    <phoneticPr fontId="2" type="noConversion"/>
  </si>
  <si>
    <t>CalKRW</t>
  </si>
  <si>
    <t>MF</t>
  </si>
  <si>
    <t>ACT/365</t>
  </si>
  <si>
    <t>F</t>
  </si>
  <si>
    <t>20301210</t>
    <phoneticPr fontId="2" type="noConversion"/>
  </si>
  <si>
    <t>CSR 위험가중치 For CVR</t>
    <phoneticPr fontId="1" type="noConversion"/>
  </si>
  <si>
    <t>CSR_CVR_SHOCK</t>
    <phoneticPr fontId="1" type="noConversion"/>
  </si>
  <si>
    <t>Up</t>
    <phoneticPr fontId="1" type="noConversion"/>
  </si>
  <si>
    <t>Down</t>
    <phoneticPr fontId="1" type="noConversion"/>
  </si>
  <si>
    <t>COUP_RATE</t>
    <phoneticPr fontId="2" type="noConversion"/>
  </si>
  <si>
    <t>쿠폰금리</t>
    <phoneticPr fontId="1" type="noConversion"/>
  </si>
  <si>
    <t>쿠폰금리</t>
    <phoneticPr fontId="2" type="noConversion"/>
  </si>
  <si>
    <t>COUP_RATE</t>
    <phoneticPr fontId="1" type="noConversion"/>
  </si>
  <si>
    <t>0.0299|0.0258|0.0233|0.0219|0.0219|0.0223|0.0224|0.0212|0.0204|0.0204</t>
  </si>
  <si>
    <t>ACT/ACT</t>
    <phoneticPr fontId="1" type="noConversion"/>
  </si>
  <si>
    <t>7|0.25|0.5|1|2|3|5|10|-14327183.3896637|-58643410.1295471|-125356601.285934|-264323508.672714|-693770481.729507|-26214566961.8702|-6656650784.25407, 7|0.25|0.5|1|2|3|5|10|-575889502.077103|-2037679729.82407|106580457.487106|224010832.624435|624568148.412704|26006497741.251|6649076526.59416</t>
  </si>
  <si>
    <t>-551018432.910716|608042935.20622, 529109650.498677|-524627750.392292</t>
  </si>
  <si>
    <t>13|45636|45818|6000000000|0.05|45818|149539636.200314|0.988291341151518|45818|46001|6000000000|0.024592387979471|46001|73979293.1546828|0.978016867542271|46001|46183|6000000000|2.45044466243477E-02|46183|73311933.4624321|0.967840857934295|46183|46366|6000000000|2.42278865995039E-02|46366|72882793.113028|0.958202197067007|46366|46548|6000000000|2.54858411383867E-02|46548|76248050.7482692|0.947943857999778|46548|46731|6000000000|2.60186403037393E-02|46731|78269772.7493309|0.937577272022256|46731|46916|6000000000|2.59146257967697E-02|46916|78619143.4401259|0.926901428659603|46916|47098|6000000000|2.61509053866477E-02|47098|78024012.7929488|0.916425564187606|47098|47280|6000000000|2.63880065257131E-02|47280|78922243.0969575|0.905978114938181|47280|47462|6000000000|0.026648929874214|47462|79727757.3223059|0.895582588460897|47462|47644|6000000000|2.73415272015225E-02|47644|81799856.723459|0.885630258311536|47644|47827|6000000000|2.76680772175002E-02|47827|83231640.5063431|0.875725829993711|-1|-1|6000000000|-1|47827|6000000000|0.875725829993711</t>
  </si>
  <si>
    <t>7|0.25|0.5|1|2|3|5|10|-4298155.02166748|-20005180.4161072|-76657323.4272003|-160540553.178787|-400414645.166397|-25548756233.1295|-6595337284.87015, 0</t>
  </si>
  <si>
    <t>-530952954.199705|586528340.544574, 0</t>
  </si>
  <si>
    <t>13|45636|45818|6000000000|0.015|45818|44861890.8600946|0.988291341151518|45818|46001|6000000000|0.015|46001|45123287.6712324|0.978016867542271|46001|46183|6000000000|0.015|46183|44876712.328767|0.967840857934295|46183|46366|6000000000|0.015|46366|45123287.6712324|0.958202197067007|46366|46548|6000000000|0.015|46548|44876712.328767|0.947943857999778|46548|46731|6000000000|0.015|46731|45123287.6712324|0.937577272022256|46731|46916|6000000000|0.015|46916|45506624.747361|0.926901428659603|46916|47098|6000000000|0.015|47098|44754098.3606562|0.916425564187606|47098|47280|6000000000|0.015|47280|44862564.5632159|0.905978114938181|47280|47462|6000000000|0.015|47462|44876712.328767|0.895582588460897|47462|47644|6000000000|0.015|47644|44876712.328767|0.885630258311536|47644|47827|6000000000|0.015|47827|45123287.6712324|0.875725829993711|-1|-1|6000000000|-1|47827|6000000000|0.875725829993711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</si>
</sst>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_-* #,##0.000_-;\-* #,##0.000_-;_-* &quot;-&quot;_-;_-@_-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4" fontId="3" fillId="5" borderId="1" xfId="0" applyNumberFormat="1" applyFont="1" applyFill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3" fillId="5" borderId="1" xfId="0" applyFont="1" applyFill="1" applyBorder="1" applyAlignment="1">
      <alignment horizontal="left" vertical="center"/>
    </xf>
    <xf numFmtId="2" fontId="3" fillId="0" borderId="1" xfId="0" quotePrefix="1" applyNumberFormat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3" fontId="6" fillId="0" borderId="1" xfId="0" quotePrefix="1" applyNumberFormat="1" applyFont="1" applyBorder="1" applyAlignment="1">
      <alignment horizontal="lef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2" fontId="6" fillId="0" borderId="1" xfId="0" quotePrefix="1" applyNumberFormat="1" applyFont="1" applyBorder="1" applyAlignment="1">
      <alignment horizontal="left" vertical="center"/>
    </xf>
    <xf numFmtId="0" fontId="3" fillId="4" borderId="1" xfId="0" quotePrefix="1" applyFont="1" applyFill="1" applyBorder="1" applyAlignment="1">
      <alignment horizontal="center" vertical="center"/>
    </xf>
    <xf numFmtId="192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4" fillId="0" borderId="1" xfId="0" applyFont="1" applyBorder="1">
      <alignment vertical="center"/>
    </xf>
    <xf numFmtId="0" fontId="5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right" vertical="center"/>
    </xf>
    <xf numFmtId="176" fontId="3" fillId="0" borderId="1" xfId="0" quotePrefix="1" applyNumberFormat="1" applyFont="1" applyBorder="1" applyAlignment="1">
      <alignment horizontal="left" vertical="center"/>
    </xf>
    <xf numFmtId="193" fontId="5" fillId="0" borderId="1" xfId="2" quotePrefix="1" applyNumberFormat="1" applyFont="1" applyBorder="1" applyAlignment="1">
      <alignment horizontal="right" vertical="center"/>
    </xf>
    <xf numFmtId="2" fontId="4" fillId="7" borderId="5" xfId="0" applyNumberFormat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7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topLeftCell="B1" workbookViewId="0">
      <selection activeCell="B2" sqref="B2:F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83203125" style="1" customWidth="1"/>
    <col min="6" max="7" width="25.8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9" t="s">
        <v>705</v>
      </c>
      <c r="C2" s="219"/>
      <c r="D2" s="219"/>
      <c r="E2" s="219"/>
      <c r="F2" s="219"/>
      <c r="G2" s="195"/>
      <c r="H2" s="7"/>
      <c r="I2" s="218" t="s">
        <v>570</v>
      </c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</row>
    <row r="4" spans="2:31" ht="13.15" customHeight="1">
      <c r="B4" s="218" t="s">
        <v>4</v>
      </c>
      <c r="C4" s="218"/>
      <c r="D4" s="218"/>
      <c r="E4" s="218"/>
      <c r="F4" s="218"/>
      <c r="G4" s="9"/>
      <c r="I4" s="218" t="s">
        <v>5</v>
      </c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X4" s="218" t="s">
        <v>568</v>
      </c>
      <c r="Y4" s="218"/>
      <c r="Z4" s="218"/>
      <c r="AA4" s="218"/>
      <c r="AB4" s="218"/>
      <c r="AC4" s="218"/>
      <c r="AD4" s="218"/>
      <c r="AE4" s="218"/>
    </row>
    <row r="5" spans="2:31" s="3" customFormat="1" ht="13.15" customHeight="1">
      <c r="F5" s="197" t="s">
        <v>706</v>
      </c>
      <c r="G5" s="196" t="s">
        <v>707</v>
      </c>
      <c r="K5" s="220" t="str">
        <f>F26</f>
        <v>IRKRW-IRS</v>
      </c>
      <c r="L5" s="217"/>
      <c r="N5" s="221" t="str">
        <f>G26</f>
        <v>IRKRW-IRS</v>
      </c>
      <c r="O5" s="217"/>
      <c r="Q5" s="220" t="str">
        <f>IF(F26&lt;&gt;Y13, Y13, "")</f>
        <v>IRKRW-Treasury</v>
      </c>
      <c r="R5" s="217"/>
      <c r="T5" s="220" t="str">
        <f>IF(G26&lt;&gt;AB13, AB13, "")</f>
        <v/>
      </c>
      <c r="U5" s="217"/>
      <c r="X5" s="222" t="str">
        <f>IF(F27 &lt;&gt; "", F27, "")</f>
        <v>IRKRW-Treasury INDEX 3M</v>
      </c>
      <c r="Y5" s="223"/>
      <c r="AA5" s="222" t="str">
        <f>IF(G27 &lt;&gt;"", G27, "")</f>
        <v>IRKRW-IRS INDEX 3M</v>
      </c>
      <c r="AB5" s="223"/>
    </row>
    <row r="6" spans="2:31" s="12" customFormat="1" ht="13.15" customHeight="1">
      <c r="C6" s="13" t="s">
        <v>3</v>
      </c>
      <c r="D6" s="14" t="s">
        <v>8</v>
      </c>
      <c r="E6" s="14" t="s">
        <v>61</v>
      </c>
      <c r="F6" s="14" t="s">
        <v>2</v>
      </c>
      <c r="G6" s="14" t="s">
        <v>2</v>
      </c>
      <c r="H6" s="12" t="s">
        <v>9</v>
      </c>
      <c r="J6" s="3"/>
      <c r="K6" s="5" t="s">
        <v>75</v>
      </c>
      <c r="L6" s="17" t="s">
        <v>396</v>
      </c>
      <c r="M6" s="46"/>
      <c r="N6" s="5" t="s">
        <v>75</v>
      </c>
      <c r="O6" s="17" t="s">
        <v>396</v>
      </c>
      <c r="Q6" s="5" t="s">
        <v>75</v>
      </c>
      <c r="R6" s="17" t="s">
        <v>396</v>
      </c>
      <c r="T6" s="5" t="s">
        <v>75</v>
      </c>
      <c r="U6" s="17"/>
      <c r="X6" s="17" t="s">
        <v>564</v>
      </c>
      <c r="Y6" s="17">
        <v>3</v>
      </c>
      <c r="AA6" s="17" t="s">
        <v>564</v>
      </c>
      <c r="AB6" s="17">
        <v>3</v>
      </c>
    </row>
    <row r="7" spans="2:31" ht="13.15" customHeight="1">
      <c r="C7" s="14"/>
      <c r="D7" s="198" t="s">
        <v>708</v>
      </c>
      <c r="E7" s="198" t="s">
        <v>709</v>
      </c>
      <c r="F7" s="198" t="s">
        <v>747</v>
      </c>
      <c r="G7" s="198" t="s">
        <v>710</v>
      </c>
      <c r="H7" s="1" t="s">
        <v>9</v>
      </c>
      <c r="K7" s="5" t="s">
        <v>76</v>
      </c>
      <c r="L7" s="17" t="s">
        <v>397</v>
      </c>
      <c r="M7" s="4"/>
      <c r="N7" s="5" t="s">
        <v>76</v>
      </c>
      <c r="O7" s="17" t="s">
        <v>397</v>
      </c>
      <c r="Q7" s="5" t="s">
        <v>76</v>
      </c>
      <c r="R7" s="17" t="s">
        <v>397</v>
      </c>
      <c r="T7" s="5" t="s">
        <v>76</v>
      </c>
      <c r="U7" s="17"/>
      <c r="X7" s="17" t="s">
        <v>569</v>
      </c>
      <c r="Y7" s="17">
        <v>1</v>
      </c>
      <c r="AA7" s="17" t="s">
        <v>569</v>
      </c>
      <c r="AB7" s="17">
        <v>1</v>
      </c>
    </row>
    <row r="8" spans="2:31" ht="13.15" customHeight="1">
      <c r="C8" s="205">
        <v>1</v>
      </c>
      <c r="D8" s="35" t="s">
        <v>43</v>
      </c>
      <c r="E8" s="35" t="s">
        <v>562</v>
      </c>
      <c r="F8" s="42" t="s">
        <v>553</v>
      </c>
      <c r="G8" s="42" t="s">
        <v>553</v>
      </c>
      <c r="H8" s="1" t="s">
        <v>9</v>
      </c>
      <c r="K8" s="5" t="s">
        <v>78</v>
      </c>
      <c r="L8" s="17" t="s">
        <v>247</v>
      </c>
      <c r="M8" s="4"/>
      <c r="N8" s="5" t="s">
        <v>78</v>
      </c>
      <c r="O8" s="17" t="s">
        <v>247</v>
      </c>
      <c r="Q8" s="5" t="s">
        <v>78</v>
      </c>
      <c r="R8" s="17" t="s">
        <v>247</v>
      </c>
      <c r="T8" s="5" t="s">
        <v>78</v>
      </c>
      <c r="U8" s="17"/>
      <c r="X8" s="17" t="s">
        <v>563</v>
      </c>
      <c r="Y8" s="17" t="s">
        <v>470</v>
      </c>
      <c r="AA8" s="17" t="s">
        <v>563</v>
      </c>
      <c r="AB8" s="17" t="s">
        <v>470</v>
      </c>
    </row>
    <row r="9" spans="2:31" ht="13.15" customHeight="1">
      <c r="C9" s="205">
        <v>2</v>
      </c>
      <c r="D9" s="35" t="s">
        <v>24</v>
      </c>
      <c r="E9" s="35" t="s">
        <v>26</v>
      </c>
      <c r="F9" s="42" t="s">
        <v>555</v>
      </c>
      <c r="G9" s="42" t="s">
        <v>555</v>
      </c>
      <c r="H9" s="1" t="s">
        <v>9</v>
      </c>
      <c r="K9" s="5" t="s">
        <v>79</v>
      </c>
      <c r="L9" s="17" t="s">
        <v>398</v>
      </c>
      <c r="M9" s="4"/>
      <c r="N9" s="5" t="s">
        <v>79</v>
      </c>
      <c r="O9" s="17" t="s">
        <v>398</v>
      </c>
      <c r="Q9" s="5" t="s">
        <v>79</v>
      </c>
      <c r="R9" s="17" t="s">
        <v>398</v>
      </c>
      <c r="T9" s="5" t="s">
        <v>79</v>
      </c>
      <c r="U9" s="17"/>
      <c r="X9" s="17" t="s">
        <v>81</v>
      </c>
      <c r="Y9" s="17" t="s">
        <v>573</v>
      </c>
      <c r="AA9" s="17" t="s">
        <v>81</v>
      </c>
      <c r="AB9" s="17" t="s">
        <v>817</v>
      </c>
    </row>
    <row r="10" spans="2:31" ht="13.15" customHeight="1">
      <c r="B10" s="3"/>
      <c r="C10" s="205">
        <v>3</v>
      </c>
      <c r="D10" s="35" t="s">
        <v>23</v>
      </c>
      <c r="E10" s="35" t="s">
        <v>0</v>
      </c>
      <c r="F10" s="42" t="s">
        <v>821</v>
      </c>
      <c r="G10" s="42" t="s">
        <v>821</v>
      </c>
      <c r="H10" s="1" t="s">
        <v>9</v>
      </c>
      <c r="Q10" s="2"/>
      <c r="R10" s="2"/>
      <c r="X10" s="17" t="s">
        <v>80</v>
      </c>
      <c r="Y10" s="17" t="s">
        <v>463</v>
      </c>
      <c r="AA10" s="17" t="s">
        <v>80</v>
      </c>
      <c r="AB10" s="17" t="s">
        <v>818</v>
      </c>
    </row>
    <row r="11" spans="2:31" ht="13.15" customHeight="1">
      <c r="C11" s="205">
        <v>4</v>
      </c>
      <c r="D11" s="35" t="s">
        <v>25</v>
      </c>
      <c r="E11" s="17" t="s">
        <v>49</v>
      </c>
      <c r="F11" s="182">
        <v>6000000000</v>
      </c>
      <c r="G11" s="182">
        <v>6000000000</v>
      </c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565</v>
      </c>
      <c r="Y11" s="5" t="s">
        <v>469</v>
      </c>
      <c r="AA11" s="17" t="s">
        <v>565</v>
      </c>
      <c r="AB11" s="17" t="s">
        <v>65</v>
      </c>
    </row>
    <row r="12" spans="2:31" ht="13.15" customHeight="1">
      <c r="C12" s="205">
        <v>5</v>
      </c>
      <c r="D12" s="35" t="s">
        <v>828</v>
      </c>
      <c r="E12" s="17" t="s">
        <v>826</v>
      </c>
      <c r="F12" s="214"/>
      <c r="G12" s="214">
        <v>1.5</v>
      </c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31">
        <v>90</v>
      </c>
      <c r="O12" s="32">
        <v>2.3281E-2</v>
      </c>
      <c r="Q12" s="31">
        <v>90</v>
      </c>
      <c r="R12" s="32">
        <v>2.6100000000000002E-2</v>
      </c>
      <c r="T12" s="31"/>
      <c r="U12" s="32"/>
      <c r="X12" s="5" t="s">
        <v>75</v>
      </c>
      <c r="Y12" s="17" t="s">
        <v>411</v>
      </c>
      <c r="AA12" s="5" t="s">
        <v>75</v>
      </c>
      <c r="AB12" s="17" t="s">
        <v>819</v>
      </c>
    </row>
    <row r="13" spans="2:31" ht="13.15" customHeight="1">
      <c r="C13" s="205">
        <v>6</v>
      </c>
      <c r="D13" s="35" t="s">
        <v>55</v>
      </c>
      <c r="E13" s="35" t="s">
        <v>736</v>
      </c>
      <c r="F13" s="200" t="s">
        <v>831</v>
      </c>
      <c r="G13" s="43" t="s">
        <v>831</v>
      </c>
      <c r="H13" s="1" t="s">
        <v>9</v>
      </c>
      <c r="I13" s="18">
        <v>2</v>
      </c>
      <c r="J13" s="2"/>
      <c r="K13" s="31">
        <v>180</v>
      </c>
      <c r="L13" s="32">
        <v>2.58E-2</v>
      </c>
      <c r="N13" s="31">
        <v>180</v>
      </c>
      <c r="O13" s="32">
        <v>2.2199E-2</v>
      </c>
      <c r="Q13" s="31">
        <v>180</v>
      </c>
      <c r="R13" s="32">
        <v>2.5520000000000001E-2</v>
      </c>
      <c r="T13" s="31"/>
      <c r="U13" s="32"/>
      <c r="X13" s="17" t="s">
        <v>566</v>
      </c>
      <c r="Y13" s="208" t="s">
        <v>816</v>
      </c>
      <c r="AA13" s="17" t="s">
        <v>566</v>
      </c>
      <c r="AB13" s="208" t="s">
        <v>6</v>
      </c>
    </row>
    <row r="14" spans="2:31" ht="13.15" customHeight="1">
      <c r="C14" s="205">
        <v>7</v>
      </c>
      <c r="D14" s="35" t="s">
        <v>341</v>
      </c>
      <c r="E14" s="35" t="s">
        <v>74</v>
      </c>
      <c r="F14" s="200" t="s">
        <v>744</v>
      </c>
      <c r="G14" s="200" t="s">
        <v>744</v>
      </c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31">
        <v>360</v>
      </c>
      <c r="O14" s="32">
        <v>2.0766E-2</v>
      </c>
      <c r="Q14" s="31">
        <v>360</v>
      </c>
      <c r="R14" s="32">
        <v>2.494E-2</v>
      </c>
      <c r="T14" s="31"/>
      <c r="U14" s="32"/>
      <c r="X14" s="17" t="s">
        <v>567</v>
      </c>
      <c r="Y14" s="17" t="str">
        <f>IF(F26&lt;&gt;Y13, "F", "T")</f>
        <v>F</v>
      </c>
      <c r="AA14" s="17" t="s">
        <v>567</v>
      </c>
      <c r="AB14" s="17" t="s">
        <v>820</v>
      </c>
    </row>
    <row r="15" spans="2:31" ht="13.15" customHeight="1">
      <c r="C15" s="205">
        <v>8</v>
      </c>
      <c r="D15" s="200" t="s">
        <v>731</v>
      </c>
      <c r="E15" s="200" t="s">
        <v>732</v>
      </c>
      <c r="F15" s="200" t="s">
        <v>740</v>
      </c>
      <c r="G15" s="200" t="s">
        <v>740</v>
      </c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31">
        <v>720</v>
      </c>
      <c r="O15" s="32">
        <v>2.0296000000000002E-2</v>
      </c>
      <c r="Q15" s="31">
        <v>720</v>
      </c>
      <c r="R15" s="32">
        <v>2.4580000000000001E-2</v>
      </c>
      <c r="T15" s="31"/>
      <c r="U15" s="32"/>
    </row>
    <row r="16" spans="2:31" ht="13.15" customHeight="1">
      <c r="C16" s="205">
        <v>9</v>
      </c>
      <c r="D16" s="35" t="s">
        <v>733</v>
      </c>
      <c r="E16" s="200" t="s">
        <v>72</v>
      </c>
      <c r="F16" s="200" t="s">
        <v>741</v>
      </c>
      <c r="G16" s="200" t="s">
        <v>741</v>
      </c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31">
        <v>1080</v>
      </c>
      <c r="O16" s="32">
        <v>2.1159000000000001E-2</v>
      </c>
      <c r="Q16" s="31">
        <v>1080</v>
      </c>
      <c r="R16" s="32">
        <v>2.4930000000000001E-2</v>
      </c>
      <c r="T16" s="31"/>
      <c r="U16" s="32"/>
    </row>
    <row r="17" spans="2:71" ht="13.15" customHeight="1">
      <c r="B17" s="3"/>
      <c r="C17" s="205">
        <v>10</v>
      </c>
      <c r="D17" s="35" t="s">
        <v>80</v>
      </c>
      <c r="E17" s="200" t="s">
        <v>73</v>
      </c>
      <c r="F17" s="200" t="s">
        <v>742</v>
      </c>
      <c r="G17" s="200" t="s">
        <v>742</v>
      </c>
      <c r="H17" s="1" t="s">
        <v>9</v>
      </c>
      <c r="I17" s="18">
        <v>6</v>
      </c>
      <c r="J17" s="2"/>
      <c r="K17" s="31">
        <v>1800</v>
      </c>
      <c r="L17" s="32">
        <v>2.23E-2</v>
      </c>
      <c r="N17" s="31">
        <v>1800</v>
      </c>
      <c r="O17" s="32">
        <v>2.2997E-2</v>
      </c>
      <c r="Q17" s="31">
        <v>1800</v>
      </c>
      <c r="R17" s="32">
        <v>2.5399999999999999E-2</v>
      </c>
      <c r="T17" s="31"/>
      <c r="U17" s="32"/>
    </row>
    <row r="18" spans="2:71" ht="13.15" customHeight="1">
      <c r="C18" s="205">
        <v>11</v>
      </c>
      <c r="D18" s="35" t="s">
        <v>734</v>
      </c>
      <c r="E18" s="35" t="s">
        <v>735</v>
      </c>
      <c r="F18" s="202">
        <v>0</v>
      </c>
      <c r="G18" s="202">
        <v>0</v>
      </c>
      <c r="H18" s="1" t="s">
        <v>9</v>
      </c>
      <c r="I18" s="18">
        <v>7</v>
      </c>
      <c r="J18" s="2"/>
      <c r="K18" s="31">
        <v>3600</v>
      </c>
      <c r="L18" s="32">
        <v>2.24E-2</v>
      </c>
      <c r="N18" s="31">
        <v>3600</v>
      </c>
      <c r="O18" s="32">
        <v>2.6093999999999999E-2</v>
      </c>
      <c r="Q18" s="31">
        <v>3600</v>
      </c>
      <c r="R18" s="32">
        <v>2.6980000000000001E-2</v>
      </c>
      <c r="T18" s="31"/>
      <c r="U18" s="32"/>
    </row>
    <row r="19" spans="2:71" ht="13.15" customHeight="1">
      <c r="C19" s="205">
        <v>12</v>
      </c>
      <c r="D19" s="1" t="s">
        <v>718</v>
      </c>
      <c r="E19" s="17" t="s">
        <v>717</v>
      </c>
      <c r="F19" s="202" t="s">
        <v>743</v>
      </c>
      <c r="G19" s="202" t="s">
        <v>743</v>
      </c>
      <c r="H19" s="1" t="s">
        <v>9</v>
      </c>
      <c r="I19" s="18">
        <v>8</v>
      </c>
      <c r="J19" s="2"/>
      <c r="K19" s="31">
        <v>5400</v>
      </c>
      <c r="L19" s="32">
        <v>2.12E-2</v>
      </c>
      <c r="N19" s="31">
        <v>5400</v>
      </c>
      <c r="O19" s="32">
        <v>2.7E-2</v>
      </c>
      <c r="Q19" s="31">
        <v>5400</v>
      </c>
      <c r="R19" s="32">
        <v>2.6980000000000001E-2</v>
      </c>
      <c r="T19" s="31"/>
      <c r="U19" s="32"/>
    </row>
    <row r="20" spans="2:71" ht="13.15" customHeight="1">
      <c r="B20" s="3"/>
      <c r="C20" s="205">
        <v>13</v>
      </c>
      <c r="D20" s="35" t="s">
        <v>726</v>
      </c>
      <c r="E20" s="35" t="s">
        <v>719</v>
      </c>
      <c r="F20" s="202">
        <v>1</v>
      </c>
      <c r="G20" s="202">
        <v>1</v>
      </c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31">
        <v>7200</v>
      </c>
      <c r="O20" s="32">
        <v>2.75E-2</v>
      </c>
      <c r="Q20" s="31">
        <v>7200</v>
      </c>
      <c r="R20" s="32">
        <v>2.6980000000000001E-2</v>
      </c>
      <c r="T20" s="31"/>
      <c r="U20" s="32"/>
    </row>
    <row r="21" spans="2:71" ht="13.15" customHeight="1">
      <c r="C21" s="205">
        <v>14</v>
      </c>
      <c r="D21" s="35" t="s">
        <v>727</v>
      </c>
      <c r="E21" s="35" t="s">
        <v>720</v>
      </c>
      <c r="F21" s="203">
        <v>100</v>
      </c>
      <c r="G21" s="203">
        <v>100</v>
      </c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31">
        <v>10800</v>
      </c>
      <c r="O21" s="32">
        <v>2.7699999999999999E-2</v>
      </c>
      <c r="Q21" s="31">
        <v>10800</v>
      </c>
      <c r="R21" s="32">
        <v>2.6980000000000001E-2</v>
      </c>
      <c r="T21" s="31"/>
      <c r="U21" s="32"/>
    </row>
    <row r="22" spans="2:71" ht="13.15" customHeight="1">
      <c r="C22" s="205">
        <v>15</v>
      </c>
      <c r="D22" s="35" t="s">
        <v>728</v>
      </c>
      <c r="E22" s="35" t="s">
        <v>721</v>
      </c>
      <c r="F22" s="203">
        <v>0</v>
      </c>
      <c r="G22" s="203">
        <v>0</v>
      </c>
      <c r="H22" s="1" t="s">
        <v>9</v>
      </c>
    </row>
    <row r="23" spans="2:71" ht="13.15" customHeight="1">
      <c r="C23" s="205">
        <v>16</v>
      </c>
      <c r="D23" s="35" t="s">
        <v>729</v>
      </c>
      <c r="E23" s="35" t="s">
        <v>722</v>
      </c>
      <c r="F23" s="203">
        <v>5</v>
      </c>
      <c r="G23" s="203">
        <v>5</v>
      </c>
      <c r="H23" s="1" t="s">
        <v>9</v>
      </c>
    </row>
    <row r="24" spans="2:71" ht="13.15" customHeight="1">
      <c r="C24" s="205">
        <v>17</v>
      </c>
      <c r="D24" s="35" t="s">
        <v>730</v>
      </c>
      <c r="E24" s="35" t="s">
        <v>723</v>
      </c>
      <c r="F24" s="203">
        <v>0</v>
      </c>
      <c r="G24" s="203">
        <v>0</v>
      </c>
      <c r="H24" s="1" t="s">
        <v>9</v>
      </c>
    </row>
    <row r="25" spans="2:71" ht="13.15" customHeight="1">
      <c r="C25" s="205">
        <v>18</v>
      </c>
      <c r="D25" s="44" t="s">
        <v>725</v>
      </c>
      <c r="E25" s="44" t="s">
        <v>724</v>
      </c>
      <c r="F25" s="204" t="s">
        <v>745</v>
      </c>
      <c r="G25" s="204" t="s">
        <v>801</v>
      </c>
      <c r="H25" s="1" t="s">
        <v>9</v>
      </c>
      <c r="I25" s="218" t="s">
        <v>13</v>
      </c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</row>
    <row r="26" spans="2:71" ht="13.15" customHeight="1">
      <c r="C26" s="205">
        <v>19</v>
      </c>
      <c r="D26" s="44" t="s">
        <v>55</v>
      </c>
      <c r="E26" s="44" t="s">
        <v>571</v>
      </c>
      <c r="F26" s="45" t="s">
        <v>746</v>
      </c>
      <c r="G26" s="45" t="s">
        <v>746</v>
      </c>
      <c r="K26" s="215" t="str">
        <f>F25</f>
        <v>SCH_001</v>
      </c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  <c r="BK26" s="216"/>
      <c r="BL26" s="216"/>
      <c r="BM26" s="216"/>
      <c r="BN26" s="216"/>
      <c r="BO26" s="216"/>
      <c r="BP26" s="216"/>
      <c r="BQ26" s="216"/>
      <c r="BR26" s="216"/>
      <c r="BS26" s="217"/>
    </row>
    <row r="27" spans="2:71" ht="13.15" customHeight="1">
      <c r="C27" s="205">
        <v>20</v>
      </c>
      <c r="D27" s="44" t="s">
        <v>737</v>
      </c>
      <c r="E27" s="44" t="s">
        <v>738</v>
      </c>
      <c r="F27" s="201" t="s">
        <v>739</v>
      </c>
      <c r="G27" s="201" t="s">
        <v>802</v>
      </c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205">
        <v>21</v>
      </c>
      <c r="D28" s="17" t="s">
        <v>341</v>
      </c>
      <c r="E28" s="17" t="s">
        <v>342</v>
      </c>
      <c r="F28" s="17" t="s">
        <v>701</v>
      </c>
      <c r="G28" s="17" t="s">
        <v>343</v>
      </c>
      <c r="H28" s="1" t="s">
        <v>9</v>
      </c>
      <c r="I28" s="18">
        <v>1</v>
      </c>
      <c r="K28" s="13" t="s">
        <v>52</v>
      </c>
      <c r="L28" s="28" t="s">
        <v>803</v>
      </c>
      <c r="M28" s="207" t="s">
        <v>804</v>
      </c>
      <c r="N28" s="207" t="s">
        <v>805</v>
      </c>
      <c r="O28" s="207" t="s">
        <v>806</v>
      </c>
      <c r="P28" s="207" t="s">
        <v>807</v>
      </c>
      <c r="Q28" s="207" t="s">
        <v>808</v>
      </c>
      <c r="R28" s="207" t="s">
        <v>809</v>
      </c>
      <c r="S28" s="207" t="s">
        <v>810</v>
      </c>
      <c r="T28" s="207" t="s">
        <v>811</v>
      </c>
      <c r="U28" s="207" t="s">
        <v>812</v>
      </c>
      <c r="V28" s="207" t="s">
        <v>813</v>
      </c>
      <c r="W28" s="207" t="s">
        <v>814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H29" s="1" t="s">
        <v>9</v>
      </c>
      <c r="I29" s="18">
        <v>2</v>
      </c>
      <c r="K29" s="13" t="s">
        <v>53</v>
      </c>
      <c r="L29" s="28" t="s">
        <v>815</v>
      </c>
      <c r="M29" s="207" t="s">
        <v>803</v>
      </c>
      <c r="N29" s="207" t="s">
        <v>804</v>
      </c>
      <c r="O29" s="207" t="s">
        <v>805</v>
      </c>
      <c r="P29" s="207" t="s">
        <v>806</v>
      </c>
      <c r="Q29" s="207" t="s">
        <v>807</v>
      </c>
      <c r="R29" s="207" t="s">
        <v>808</v>
      </c>
      <c r="S29" s="207" t="s">
        <v>809</v>
      </c>
      <c r="T29" s="207" t="s">
        <v>810</v>
      </c>
      <c r="U29" s="207" t="s">
        <v>811</v>
      </c>
      <c r="V29" s="207" t="s">
        <v>812</v>
      </c>
      <c r="W29" s="207" t="s">
        <v>813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I30" s="21">
        <v>3</v>
      </c>
      <c r="K30" s="13" t="s">
        <v>54</v>
      </c>
      <c r="L30" s="28" t="s">
        <v>803</v>
      </c>
      <c r="M30" s="207" t="s">
        <v>804</v>
      </c>
      <c r="N30" s="207" t="s">
        <v>805</v>
      </c>
      <c r="O30" s="207" t="s">
        <v>806</v>
      </c>
      <c r="P30" s="207" t="s">
        <v>807</v>
      </c>
      <c r="Q30" s="207" t="s">
        <v>808</v>
      </c>
      <c r="R30" s="207" t="s">
        <v>809</v>
      </c>
      <c r="S30" s="207" t="s">
        <v>810</v>
      </c>
      <c r="T30" s="207" t="s">
        <v>811</v>
      </c>
      <c r="U30" s="207" t="s">
        <v>812</v>
      </c>
      <c r="V30" s="207" t="s">
        <v>813</v>
      </c>
      <c r="W30" s="207" t="s">
        <v>814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15" t="str">
        <f>G25</f>
        <v>SCH_002</v>
      </c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7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52</v>
      </c>
      <c r="L34" s="28" t="s">
        <v>803</v>
      </c>
      <c r="M34" s="207" t="s">
        <v>804</v>
      </c>
      <c r="N34" s="207" t="s">
        <v>805</v>
      </c>
      <c r="O34" s="207" t="s">
        <v>806</v>
      </c>
      <c r="P34" s="207" t="s">
        <v>807</v>
      </c>
      <c r="Q34" s="207" t="s">
        <v>808</v>
      </c>
      <c r="R34" s="207" t="s">
        <v>809</v>
      </c>
      <c r="S34" s="207" t="s">
        <v>810</v>
      </c>
      <c r="T34" s="207" t="s">
        <v>811</v>
      </c>
      <c r="U34" s="207" t="s">
        <v>812</v>
      </c>
      <c r="V34" s="207" t="s">
        <v>813</v>
      </c>
      <c r="W34" s="207" t="s">
        <v>814</v>
      </c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</row>
    <row r="35" spans="3:71" ht="13.15" customHeight="1">
      <c r="C35" s="1"/>
      <c r="F35" s="1"/>
      <c r="G35" s="1"/>
      <c r="I35" s="18">
        <v>2</v>
      </c>
      <c r="K35" s="13" t="s">
        <v>53</v>
      </c>
      <c r="L35" s="28" t="s">
        <v>815</v>
      </c>
      <c r="M35" s="207" t="s">
        <v>803</v>
      </c>
      <c r="N35" s="207" t="s">
        <v>804</v>
      </c>
      <c r="O35" s="207" t="s">
        <v>805</v>
      </c>
      <c r="P35" s="207" t="s">
        <v>806</v>
      </c>
      <c r="Q35" s="207" t="s">
        <v>807</v>
      </c>
      <c r="R35" s="207" t="s">
        <v>808</v>
      </c>
      <c r="S35" s="207" t="s">
        <v>809</v>
      </c>
      <c r="T35" s="207" t="s">
        <v>810</v>
      </c>
      <c r="U35" s="207" t="s">
        <v>811</v>
      </c>
      <c r="V35" s="207" t="s">
        <v>812</v>
      </c>
      <c r="W35" s="207" t="s">
        <v>813</v>
      </c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</row>
    <row r="36" spans="3:71" ht="13.15" customHeight="1">
      <c r="C36" s="1"/>
      <c r="F36" s="1"/>
      <c r="G36" s="1"/>
      <c r="I36" s="21">
        <v>3</v>
      </c>
      <c r="K36" s="13" t="s">
        <v>54</v>
      </c>
      <c r="L36" s="28" t="s">
        <v>803</v>
      </c>
      <c r="M36" s="207" t="s">
        <v>804</v>
      </c>
      <c r="N36" s="207" t="s">
        <v>805</v>
      </c>
      <c r="O36" s="207" t="s">
        <v>806</v>
      </c>
      <c r="P36" s="207" t="s">
        <v>807</v>
      </c>
      <c r="Q36" s="207" t="s">
        <v>808</v>
      </c>
      <c r="R36" s="207" t="s">
        <v>809</v>
      </c>
      <c r="S36" s="207" t="s">
        <v>810</v>
      </c>
      <c r="T36" s="207" t="s">
        <v>811</v>
      </c>
      <c r="U36" s="207" t="s">
        <v>812</v>
      </c>
      <c r="V36" s="207" t="s">
        <v>813</v>
      </c>
      <c r="W36" s="207" t="s">
        <v>814</v>
      </c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F44" s="1"/>
      <c r="G44" s="1"/>
    </row>
    <row r="45" spans="3:71" ht="13.15" customHeight="1"/>
    <row r="46" spans="3:71" ht="13.15" customHeight="1"/>
    <row r="47" spans="3:71" ht="13.15" customHeight="1"/>
    <row r="48" spans="3:71" ht="13.15" customHeight="1">
      <c r="F48" s="1"/>
      <c r="G48" s="1"/>
    </row>
    <row r="49" spans="5:5" ht="13.15" customHeight="1"/>
    <row r="50" spans="5:5" ht="13.15" customHeight="1"/>
    <row r="51" spans="5:5" ht="13.15" customHeight="1"/>
    <row r="52" spans="5:5" ht="13.15" customHeight="1"/>
    <row r="53" spans="5:5" ht="13.15" customHeight="1"/>
    <row r="54" spans="5:5" ht="13.15" customHeight="1"/>
    <row r="55" spans="5:5" ht="13.15" customHeight="1"/>
    <row r="56" spans="5:5" ht="13.15" customHeight="1"/>
    <row r="57" spans="5:5" ht="13.15" customHeight="1"/>
    <row r="58" spans="5:5" ht="13.15" customHeight="1">
      <c r="E58" s="3"/>
    </row>
    <row r="59" spans="5:5" ht="13.15" customHeight="1">
      <c r="E59" s="3"/>
    </row>
    <row r="63" spans="5:5" ht="13.15" customHeight="1"/>
    <row r="73" ht="13.15" customHeight="1"/>
    <row r="74" ht="13.15" customHeight="1"/>
  </sheetData>
  <mergeCells count="14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35">
    <cfRule type="expression" dxfId="74" priority="54">
      <formula>$C34&lt;&gt;$C33</formula>
    </cfRule>
  </conditionalFormatting>
  <conditionalFormatting sqref="D35">
    <cfRule type="expression" dxfId="73" priority="55">
      <formula>$T51="Y"</formula>
    </cfRule>
  </conditionalFormatting>
  <conditionalFormatting sqref="E35">
    <cfRule type="expression" dxfId="72" priority="52">
      <formula>$C34&lt;&gt;$C33</formula>
    </cfRule>
  </conditionalFormatting>
  <conditionalFormatting sqref="E35">
    <cfRule type="expression" dxfId="71" priority="53">
      <formula>$T51="Y"</formula>
    </cfRule>
  </conditionalFormatting>
  <conditionalFormatting sqref="L6">
    <cfRule type="expression" dxfId="70" priority="45">
      <formula>$L6="GROUP"</formula>
    </cfRule>
  </conditionalFormatting>
  <conditionalFormatting sqref="L7">
    <cfRule type="expression" dxfId="69" priority="44">
      <formula>$L7="GROUP"</formula>
    </cfRule>
  </conditionalFormatting>
  <conditionalFormatting sqref="L8">
    <cfRule type="expression" dxfId="68" priority="43">
      <formula>$L8="GROUP"</formula>
    </cfRule>
  </conditionalFormatting>
  <conditionalFormatting sqref="L9">
    <cfRule type="expression" dxfId="67" priority="42">
      <formula>$L9="GROUP"</formula>
    </cfRule>
  </conditionalFormatting>
  <conditionalFormatting sqref="Y12">
    <cfRule type="expression" dxfId="66" priority="37">
      <formula>$L12="GROUP"</formula>
    </cfRule>
  </conditionalFormatting>
  <conditionalFormatting sqref="U6">
    <cfRule type="expression" dxfId="65" priority="32">
      <formula>$L6="GROUP"</formula>
    </cfRule>
  </conditionalFormatting>
  <conditionalFormatting sqref="U7">
    <cfRule type="expression" dxfId="64" priority="31">
      <formula>$L7="GROUP"</formula>
    </cfRule>
  </conditionalFormatting>
  <conditionalFormatting sqref="U8">
    <cfRule type="expression" dxfId="63" priority="30">
      <formula>$L8="GROUP"</formula>
    </cfRule>
  </conditionalFormatting>
  <conditionalFormatting sqref="U9">
    <cfRule type="expression" dxfId="62" priority="29">
      <formula>$L9="GROUP"</formula>
    </cfRule>
  </conditionalFormatting>
  <conditionalFormatting sqref="AB12">
    <cfRule type="expression" dxfId="61" priority="28">
      <formula>$L12="GROUP"</formula>
    </cfRule>
  </conditionalFormatting>
  <conditionalFormatting sqref="O6">
    <cfRule type="expression" dxfId="60" priority="27">
      <formula>$L6="GROUP"</formula>
    </cfRule>
  </conditionalFormatting>
  <conditionalFormatting sqref="O7">
    <cfRule type="expression" dxfId="59" priority="26">
      <formula>$L7="GROUP"</formula>
    </cfRule>
  </conditionalFormatting>
  <conditionalFormatting sqref="O8">
    <cfRule type="expression" dxfId="58" priority="25">
      <formula>$L8="GROUP"</formula>
    </cfRule>
  </conditionalFormatting>
  <conditionalFormatting sqref="O9">
    <cfRule type="expression" dxfId="57" priority="24">
      <formula>$L9="GROUP"</formula>
    </cfRule>
  </conditionalFormatting>
  <conditionalFormatting sqref="F13">
    <cfRule type="expression" dxfId="56" priority="23">
      <formula>$K13="GROUP"</formula>
    </cfRule>
  </conditionalFormatting>
  <conditionalFormatting sqref="F15:G15">
    <cfRule type="expression" dxfId="55" priority="22">
      <formula>$K16="GROUP"</formula>
    </cfRule>
  </conditionalFormatting>
  <conditionalFormatting sqref="F16:G16">
    <cfRule type="expression" dxfId="54" priority="21">
      <formula>$K17="GROUP"</formula>
    </cfRule>
  </conditionalFormatting>
  <conditionalFormatting sqref="F17:G17">
    <cfRule type="expression" dxfId="53" priority="20">
      <formula>$K18="GROUP"</formula>
    </cfRule>
  </conditionalFormatting>
  <conditionalFormatting sqref="F18:F19">
    <cfRule type="expression" dxfId="52" priority="19">
      <formula>$K19="GROUP"</formula>
    </cfRule>
  </conditionalFormatting>
  <conditionalFormatting sqref="F21:G21">
    <cfRule type="expression" dxfId="51" priority="14">
      <formula>$K21="GROUP"</formula>
    </cfRule>
  </conditionalFormatting>
  <conditionalFormatting sqref="F24:G24">
    <cfRule type="expression" dxfId="50" priority="15">
      <formula>$K21="GROUP"</formula>
    </cfRule>
  </conditionalFormatting>
  <conditionalFormatting sqref="F22:G22">
    <cfRule type="expression" dxfId="49" priority="17">
      <formula>$K21="GROUP"</formula>
    </cfRule>
  </conditionalFormatting>
  <conditionalFormatting sqref="F14:G14">
    <cfRule type="expression" dxfId="48" priority="13">
      <formula>$K14="GROUP"</formula>
    </cfRule>
  </conditionalFormatting>
  <conditionalFormatting sqref="G18:G19">
    <cfRule type="expression" dxfId="47" priority="12">
      <formula>$K19="GROUP"</formula>
    </cfRule>
  </conditionalFormatting>
  <conditionalFormatting sqref="F25:G25">
    <cfRule type="expression" dxfId="46" priority="11">
      <formula>$K20="GROUP"</formula>
    </cfRule>
  </conditionalFormatting>
  <conditionalFormatting sqref="F20:F24 F27 Q5:R5 R12:R21 X5:Y14 Q6:Q9">
    <cfRule type="expression" dxfId="45" priority="10">
      <formula>$F$7="FIX"</formula>
    </cfRule>
  </conditionalFormatting>
  <conditionalFormatting sqref="G20:G24 G27 T5:U9 T12:U21 AA5:AB14">
    <cfRule type="expression" dxfId="44" priority="9">
      <formula>$G$7="FIX"</formula>
    </cfRule>
  </conditionalFormatting>
  <conditionalFormatting sqref="F12">
    <cfRule type="expression" dxfId="43" priority="6">
      <formula>F7="FLO"</formula>
    </cfRule>
  </conditionalFormatting>
  <conditionalFormatting sqref="G12">
    <cfRule type="expression" dxfId="42" priority="5">
      <formula>G7="FLO"</formula>
    </cfRule>
  </conditionalFormatting>
  <conditionalFormatting sqref="R6">
    <cfRule type="expression" dxfId="41" priority="4">
      <formula>$L6="GROUP"</formula>
    </cfRule>
  </conditionalFormatting>
  <conditionalFormatting sqref="R7">
    <cfRule type="expression" dxfId="40" priority="3">
      <formula>$L7="GROUP"</formula>
    </cfRule>
  </conditionalFormatting>
  <conditionalFormatting sqref="R8">
    <cfRule type="expression" dxfId="39" priority="2">
      <formula>$L8="GROUP"</formula>
    </cfRule>
  </conditionalFormatting>
  <conditionalFormatting sqref="R9">
    <cfRule type="expression" dxfId="38" priority="1">
      <formula>$L9="GROUP"</formula>
    </cfRule>
  </conditionalFormatting>
  <dataValidations count="2">
    <dataValidation type="list" allowBlank="1" showInputMessage="1" showErrorMessage="1" sqref="F7:G7" xr:uid="{6D06331F-6AE3-4575-9E4A-C0E902F1098C}">
      <formula1>"FIX,FLO"</formula1>
    </dataValidation>
    <dataValidation type="list" allowBlank="1" showInputMessage="1" showErrorMessage="1" sqref="F28:G28" xr:uid="{4467A4DF-6A36-47A9-B88E-C36D4F4B2C91}">
      <formula1>"S,L"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14"/>
  <sheetViews>
    <sheetView topLeftCell="A22" workbookViewId="0">
      <selection activeCell="F47" sqref="F47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ISW: Interest Rate Swap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Trade!F5</f>
        <v>ISW000001_001</v>
      </c>
      <c r="D5" s="216"/>
      <c r="E5" s="216"/>
      <c r="F5" s="217"/>
      <c r="J5" s="225"/>
      <c r="K5" s="225"/>
      <c r="M5" s="216" t="str">
        <f>"GIRR/" &amp; Trade!F26</f>
        <v>GIRR/IRKRW-IRS</v>
      </c>
      <c r="N5" s="216"/>
      <c r="P5" s="216" t="str">
        <f>IF(AND(F34="FLO", Trade!AB13&lt;&gt;""), "GIRR INDEX/" &amp; Trade!Y13, "")</f>
        <v>GIRR INDEX/IRKRW-Treasury</v>
      </c>
      <c r="Q5" s="216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6193562810.9330702</v>
      </c>
      <c r="G7" s="1" t="s">
        <v>9</v>
      </c>
      <c r="H7" s="18">
        <v>1</v>
      </c>
      <c r="I7" s="2"/>
      <c r="J7" s="191"/>
      <c r="K7" s="192"/>
      <c r="M7" s="37">
        <v>0.25</v>
      </c>
      <c r="N7" s="31">
        <v>-14327183.389663696</v>
      </c>
      <c r="P7" s="37">
        <v>0.25</v>
      </c>
      <c r="Q7" s="31">
        <v>-575889502.07710266</v>
      </c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9">
        <v>-1166412070966.0901</v>
      </c>
      <c r="G8" s="1" t="s">
        <v>9</v>
      </c>
      <c r="H8" s="18">
        <v>2</v>
      </c>
      <c r="I8" s="2"/>
      <c r="J8" s="191"/>
      <c r="K8" s="192"/>
      <c r="M8" s="37">
        <v>0.5</v>
      </c>
      <c r="N8" s="31">
        <v>-58643410.129547119</v>
      </c>
      <c r="P8" s="37">
        <v>0.5</v>
      </c>
      <c r="Q8" s="31">
        <v>-2037679729.8240662</v>
      </c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1</v>
      </c>
      <c r="N9" s="31">
        <v>-125356601.28593445</v>
      </c>
      <c r="P9" s="37">
        <v>1</v>
      </c>
      <c r="Q9" s="31">
        <v>106580457.48710632</v>
      </c>
    </row>
    <row r="10" spans="1:26">
      <c r="B10" s="3"/>
      <c r="C10" s="47">
        <v>4</v>
      </c>
      <c r="D10" s="29" t="s">
        <v>19</v>
      </c>
      <c r="E10" s="39" t="s">
        <v>64</v>
      </c>
      <c r="F10" s="149">
        <v>-2.32743457444265E+16</v>
      </c>
      <c r="G10" s="1" t="s">
        <v>9</v>
      </c>
      <c r="H10" s="18">
        <v>4</v>
      </c>
      <c r="I10" s="2"/>
      <c r="J10" s="191"/>
      <c r="K10" s="192"/>
      <c r="M10" s="37">
        <v>2</v>
      </c>
      <c r="N10" s="31">
        <v>-264323508.67271423</v>
      </c>
      <c r="P10" s="37">
        <v>2</v>
      </c>
      <c r="Q10" s="31">
        <v>224010832.62443542</v>
      </c>
    </row>
    <row r="11" spans="1:26">
      <c r="C11" s="47">
        <v>5</v>
      </c>
      <c r="D11" s="29" t="s">
        <v>29</v>
      </c>
      <c r="E11" s="39" t="s">
        <v>64</v>
      </c>
      <c r="F11" s="149">
        <v>0.43509427885471802</v>
      </c>
      <c r="G11" s="1" t="s">
        <v>9</v>
      </c>
      <c r="H11" s="18">
        <v>5</v>
      </c>
      <c r="I11" s="2"/>
      <c r="J11" s="191"/>
      <c r="K11" s="192"/>
      <c r="M11" s="37">
        <v>3</v>
      </c>
      <c r="N11" s="31">
        <v>-693770481.72950745</v>
      </c>
      <c r="P11" s="37">
        <v>3</v>
      </c>
      <c r="Q11" s="31">
        <v>624568148.41270447</v>
      </c>
    </row>
    <row r="12" spans="1:26">
      <c r="C12" s="47">
        <v>6</v>
      </c>
      <c r="D12" s="29" t="s">
        <v>63</v>
      </c>
      <c r="E12" s="39" t="s">
        <v>64</v>
      </c>
      <c r="F12" s="149">
        <v>-3757828.3219057601</v>
      </c>
      <c r="G12" s="1" t="s">
        <v>9</v>
      </c>
      <c r="H12" s="18">
        <v>6</v>
      </c>
      <c r="I12" s="2"/>
      <c r="M12" s="37">
        <v>5</v>
      </c>
      <c r="N12" s="31">
        <v>-26214566961.870193</v>
      </c>
      <c r="P12" s="37">
        <v>5</v>
      </c>
      <c r="Q12" s="31">
        <v>26006497741.250992</v>
      </c>
    </row>
    <row r="13" spans="1:26">
      <c r="C13" s="47">
        <v>7</v>
      </c>
      <c r="D13" s="29" t="s">
        <v>30</v>
      </c>
      <c r="E13" s="39" t="s">
        <v>64</v>
      </c>
      <c r="F13" s="149">
        <v>-116641207.096609</v>
      </c>
      <c r="G13" s="1" t="s">
        <v>9</v>
      </c>
      <c r="H13" s="18">
        <v>6</v>
      </c>
      <c r="I13" s="2"/>
      <c r="M13" s="37">
        <v>10</v>
      </c>
      <c r="N13" s="31">
        <v>-6656650784.2540741</v>
      </c>
      <c r="P13" s="37">
        <v>10</v>
      </c>
      <c r="Q13" s="31">
        <v>6649076526.594162</v>
      </c>
    </row>
    <row r="14" spans="1:26">
      <c r="C14" s="47">
        <v>8</v>
      </c>
      <c r="D14" s="17" t="s">
        <v>21</v>
      </c>
      <c r="E14" s="19" t="s">
        <v>64</v>
      </c>
      <c r="F14" s="36" t="s">
        <v>832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Trade!F26</f>
        <v>GIRR/IRKRW-IRS</v>
      </c>
      <c r="N22" s="216"/>
      <c r="P22" s="216" t="str">
        <f>IF(AND(F34="FLO", Trade!AB13&lt;&gt;""), "GIRR INDEX/" &amp; Trade!Y13, "")</f>
        <v>GIRR INDEX/IRKRW-Treasury</v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833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-551018432.91071606</v>
      </c>
      <c r="P24" s="6" t="s">
        <v>824</v>
      </c>
      <c r="Q24" s="165">
        <v>529109650.49867725</v>
      </c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608042935.20621967</v>
      </c>
      <c r="P25" s="6" t="s">
        <v>825</v>
      </c>
      <c r="Q25" s="165">
        <v>-524627750.39229202</v>
      </c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834</v>
      </c>
      <c r="G28" s="1" t="s">
        <v>9</v>
      </c>
      <c r="H28" s="3" t="s">
        <v>551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703</v>
      </c>
      <c r="E34" s="17" t="s">
        <v>798</v>
      </c>
      <c r="F34" s="193" t="str">
        <f>Trade!F7</f>
        <v>FLO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572</v>
      </c>
      <c r="F35" s="184">
        <v>1.7000000000000001E-2</v>
      </c>
      <c r="H35" s="18">
        <v>1</v>
      </c>
      <c r="J35" s="178" t="s">
        <v>557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822</v>
      </c>
      <c r="E36" s="34" t="s">
        <v>823</v>
      </c>
      <c r="F36" s="211"/>
      <c r="H36" s="18">
        <v>2</v>
      </c>
      <c r="J36" s="178" t="s">
        <v>558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559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704</v>
      </c>
      <c r="G38" s="1"/>
      <c r="H38" s="18">
        <v>4</v>
      </c>
      <c r="I38" s="1"/>
      <c r="J38" s="178" t="s">
        <v>560</v>
      </c>
      <c r="K38" s="187">
        <v>0.05</v>
      </c>
      <c r="L38" s="187">
        <v>2.4592387979471046E-2</v>
      </c>
      <c r="M38" s="187">
        <v>2.4504446624347739E-2</v>
      </c>
      <c r="N38" s="187">
        <v>2.4227886599503853E-2</v>
      </c>
      <c r="O38" s="187">
        <v>2.5485841138386697E-2</v>
      </c>
      <c r="P38" s="187">
        <v>2.6018640303739318E-2</v>
      </c>
      <c r="Q38" s="187">
        <v>2.5914625796769692E-2</v>
      </c>
      <c r="R38" s="187">
        <v>2.6150905386647692E-2</v>
      </c>
      <c r="S38" s="187">
        <v>2.6388006525713062E-2</v>
      </c>
      <c r="T38" s="187">
        <v>2.6648929874213953E-2</v>
      </c>
      <c r="U38" s="187">
        <v>2.7341527201522473E-2</v>
      </c>
      <c r="V38" s="187">
        <v>2.7668077217500218E-2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561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149539636.2003144</v>
      </c>
      <c r="L40" s="186">
        <v>73979293.15468277</v>
      </c>
      <c r="M40" s="186">
        <v>73311933.462432131</v>
      </c>
      <c r="N40" s="186">
        <v>72882793.113028035</v>
      </c>
      <c r="O40" s="186">
        <v>76248050.74826923</v>
      </c>
      <c r="P40" s="186">
        <v>78269772.749330893</v>
      </c>
      <c r="Q40" s="186">
        <v>78619143.440125868</v>
      </c>
      <c r="R40" s="186">
        <v>78024012.792948842</v>
      </c>
      <c r="S40" s="186">
        <v>78922243.09695749</v>
      </c>
      <c r="T40" s="186">
        <v>79727757.322305858</v>
      </c>
      <c r="U40" s="186">
        <v>81799856.723459005</v>
      </c>
      <c r="V40" s="186">
        <v>83231640.506343126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0.98829134115151773</v>
      </c>
      <c r="L41" s="187">
        <v>0.97801686754227113</v>
      </c>
      <c r="M41" s="187">
        <v>0.96784085793429453</v>
      </c>
      <c r="N41" s="187">
        <v>0.95820219706700749</v>
      </c>
      <c r="O41" s="187">
        <v>0.94794385799977821</v>
      </c>
      <c r="P41" s="187">
        <v>0.9375772720222556</v>
      </c>
      <c r="Q41" s="187">
        <v>0.92690142865960345</v>
      </c>
      <c r="R41" s="187">
        <v>0.91642556418760601</v>
      </c>
      <c r="S41" s="187">
        <v>0.90597811493818059</v>
      </c>
      <c r="T41" s="187">
        <v>0.895582588460897</v>
      </c>
      <c r="U41" s="187">
        <v>0.8856302583115363</v>
      </c>
      <c r="V41" s="187">
        <v>0.87572582999371074</v>
      </c>
      <c r="W41" s="187">
        <v>0.87572582999371074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552</v>
      </c>
    </row>
    <row r="44" spans="1:130">
      <c r="C44" s="16">
        <v>2</v>
      </c>
      <c r="D44" s="17" t="s">
        <v>24</v>
      </c>
      <c r="E44" s="17" t="s">
        <v>26</v>
      </c>
      <c r="F44" s="30" t="s">
        <v>554</v>
      </c>
    </row>
    <row r="45" spans="1:130">
      <c r="C45" s="16">
        <v>3</v>
      </c>
      <c r="D45" s="17" t="s">
        <v>211</v>
      </c>
      <c r="E45" s="17" t="s">
        <v>0</v>
      </c>
      <c r="F45" s="30" t="s">
        <v>556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827</v>
      </c>
      <c r="E47" s="17" t="s">
        <v>829</v>
      </c>
      <c r="F47" s="185"/>
    </row>
    <row r="48" spans="1:130">
      <c r="C48" s="16">
        <v>6</v>
      </c>
      <c r="D48" s="17" t="s">
        <v>748</v>
      </c>
      <c r="E48" s="17" t="s">
        <v>711</v>
      </c>
      <c r="F48" s="213">
        <v>5</v>
      </c>
      <c r="AH48" s="167"/>
    </row>
    <row r="49" spans="3:34">
      <c r="C49" s="16">
        <v>7</v>
      </c>
      <c r="D49" s="17" t="s">
        <v>750</v>
      </c>
      <c r="E49" s="199" t="s">
        <v>712</v>
      </c>
      <c r="F49" s="213">
        <v>0</v>
      </c>
      <c r="AH49" s="167"/>
    </row>
    <row r="50" spans="3:34">
      <c r="C50" s="16">
        <v>8</v>
      </c>
      <c r="D50" s="17" t="s">
        <v>731</v>
      </c>
      <c r="E50" s="199" t="s">
        <v>713</v>
      </c>
      <c r="F50" s="213">
        <v>1</v>
      </c>
      <c r="AH50" s="167"/>
    </row>
    <row r="51" spans="3:34">
      <c r="C51" s="16">
        <v>9</v>
      </c>
      <c r="D51" s="17" t="s">
        <v>753</v>
      </c>
      <c r="E51" s="199" t="s">
        <v>714</v>
      </c>
      <c r="F51" s="213">
        <v>0</v>
      </c>
      <c r="AH51" s="167"/>
    </row>
    <row r="52" spans="3:34">
      <c r="C52" s="16">
        <v>10</v>
      </c>
      <c r="D52" s="17" t="s">
        <v>754</v>
      </c>
      <c r="E52" s="17" t="s">
        <v>715</v>
      </c>
      <c r="F52" s="213">
        <v>0</v>
      </c>
      <c r="AH52" s="167"/>
    </row>
    <row r="53" spans="3:34">
      <c r="C53" s="16">
        <v>11</v>
      </c>
      <c r="D53" s="35" t="s">
        <v>734</v>
      </c>
      <c r="E53" s="17" t="s">
        <v>716</v>
      </c>
      <c r="F53" s="185">
        <v>0</v>
      </c>
      <c r="AH53" s="167"/>
    </row>
    <row r="54" spans="3:34">
      <c r="C54" s="16">
        <v>12</v>
      </c>
      <c r="D54" s="35" t="s">
        <v>800</v>
      </c>
      <c r="E54" s="17" t="s">
        <v>799</v>
      </c>
      <c r="F54" s="30">
        <v>1</v>
      </c>
      <c r="G54" s="1" t="s">
        <v>357</v>
      </c>
      <c r="AH54" s="167"/>
    </row>
    <row r="55" spans="3:34">
      <c r="C55" s="16">
        <v>13</v>
      </c>
      <c r="D55" s="35" t="s">
        <v>569</v>
      </c>
      <c r="E55" s="35" t="s">
        <v>719</v>
      </c>
      <c r="F55" s="185">
        <v>1</v>
      </c>
      <c r="G55" s="1" t="s">
        <v>357</v>
      </c>
      <c r="AH55" s="167"/>
    </row>
    <row r="56" spans="3:34">
      <c r="C56" s="16">
        <v>14</v>
      </c>
      <c r="D56" s="35" t="s">
        <v>755</v>
      </c>
      <c r="E56" s="35" t="s">
        <v>756</v>
      </c>
      <c r="F56" s="206">
        <v>1</v>
      </c>
      <c r="G56" s="1" t="s">
        <v>357</v>
      </c>
      <c r="AH56" s="167"/>
    </row>
    <row r="57" spans="3:34">
      <c r="C57" s="16">
        <v>15</v>
      </c>
      <c r="D57" s="35" t="s">
        <v>757</v>
      </c>
      <c r="E57" s="35" t="s">
        <v>758</v>
      </c>
      <c r="F57" s="206">
        <v>0</v>
      </c>
      <c r="G57" s="1" t="s">
        <v>357</v>
      </c>
      <c r="AH57" s="167"/>
    </row>
    <row r="58" spans="3:34">
      <c r="C58" s="16">
        <v>16</v>
      </c>
      <c r="D58" s="35" t="s">
        <v>759</v>
      </c>
      <c r="E58" s="35" t="s">
        <v>760</v>
      </c>
      <c r="F58" s="206">
        <v>0.05</v>
      </c>
      <c r="G58" s="1" t="s">
        <v>357</v>
      </c>
      <c r="AH58" s="167"/>
    </row>
    <row r="59" spans="3:34">
      <c r="C59" s="16">
        <v>17</v>
      </c>
      <c r="D59" s="35" t="s">
        <v>761</v>
      </c>
      <c r="E59" s="35" t="s">
        <v>762</v>
      </c>
      <c r="F59" s="206">
        <v>0</v>
      </c>
      <c r="G59" s="1" t="s">
        <v>357</v>
      </c>
      <c r="AH59" s="167"/>
    </row>
    <row r="60" spans="3:34">
      <c r="C60" s="16">
        <v>18</v>
      </c>
      <c r="D60" s="17" t="s">
        <v>763</v>
      </c>
      <c r="E60" s="27" t="s">
        <v>764</v>
      </c>
      <c r="F60" s="185">
        <v>12</v>
      </c>
      <c r="G60" s="1" t="s">
        <v>357</v>
      </c>
      <c r="AH60" s="167"/>
    </row>
    <row r="61" spans="3:34">
      <c r="C61" s="16">
        <v>19</v>
      </c>
      <c r="D61" s="17" t="s">
        <v>765</v>
      </c>
      <c r="E61" s="27" t="s">
        <v>766</v>
      </c>
      <c r="F61" s="30" t="s">
        <v>767</v>
      </c>
      <c r="AH61" s="167"/>
    </row>
    <row r="62" spans="3:34">
      <c r="C62" s="16">
        <v>20</v>
      </c>
      <c r="D62" s="17" t="s">
        <v>768</v>
      </c>
      <c r="E62" s="27" t="s">
        <v>769</v>
      </c>
      <c r="F62" s="30" t="s">
        <v>770</v>
      </c>
      <c r="AH62" s="167"/>
    </row>
    <row r="63" spans="3:34">
      <c r="C63" s="16">
        <v>21</v>
      </c>
      <c r="D63" s="17" t="s">
        <v>771</v>
      </c>
      <c r="E63" s="27" t="s">
        <v>772</v>
      </c>
      <c r="F63" s="30" t="s">
        <v>767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830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773</v>
      </c>
      <c r="E68" s="27" t="s">
        <v>774</v>
      </c>
      <c r="F68" s="185">
        <v>10</v>
      </c>
      <c r="AH68" s="167"/>
    </row>
    <row r="69" spans="3:34">
      <c r="C69" s="16">
        <v>27</v>
      </c>
      <c r="D69" s="17" t="s">
        <v>775</v>
      </c>
      <c r="E69" s="27" t="s">
        <v>776</v>
      </c>
      <c r="F69" s="30" t="s">
        <v>213</v>
      </c>
      <c r="AH69" s="167"/>
    </row>
    <row r="70" spans="3:34">
      <c r="C70" s="16">
        <v>28</v>
      </c>
      <c r="D70" s="17" t="s">
        <v>777</v>
      </c>
      <c r="E70" s="27" t="s">
        <v>778</v>
      </c>
      <c r="F70" s="30" t="s">
        <v>779</v>
      </c>
      <c r="AH70" s="167"/>
    </row>
    <row r="71" spans="3:34">
      <c r="C71" s="16">
        <v>29</v>
      </c>
      <c r="D71" s="17" t="s">
        <v>780</v>
      </c>
      <c r="E71" s="27" t="s">
        <v>781</v>
      </c>
      <c r="F71" s="30" t="s">
        <v>214</v>
      </c>
      <c r="AH71" s="167"/>
    </row>
    <row r="72" spans="3:34">
      <c r="C72" s="16">
        <v>30</v>
      </c>
      <c r="D72" s="17" t="s">
        <v>782</v>
      </c>
      <c r="E72" s="17" t="s">
        <v>783</v>
      </c>
      <c r="F72" s="213">
        <v>0</v>
      </c>
      <c r="AH72" s="167"/>
    </row>
    <row r="73" spans="3:34">
      <c r="C73" s="16">
        <v>31</v>
      </c>
      <c r="D73" s="1" t="s">
        <v>784</v>
      </c>
      <c r="E73" s="27" t="s">
        <v>785</v>
      </c>
      <c r="F73" s="185">
        <v>90</v>
      </c>
      <c r="AH73" s="167"/>
    </row>
    <row r="74" spans="3:34">
      <c r="C74" s="16">
        <v>32</v>
      </c>
      <c r="D74" s="17" t="s">
        <v>786</v>
      </c>
      <c r="E74" s="27" t="s">
        <v>787</v>
      </c>
      <c r="F74" s="212">
        <v>1</v>
      </c>
      <c r="AH74" s="167"/>
    </row>
    <row r="75" spans="3:34">
      <c r="C75" s="16">
        <v>33</v>
      </c>
      <c r="D75" s="17" t="s">
        <v>788</v>
      </c>
      <c r="E75" s="27" t="s">
        <v>789</v>
      </c>
      <c r="F75" s="213">
        <v>0</v>
      </c>
      <c r="O75" s="166"/>
      <c r="P75" s="166"/>
      <c r="Q75" s="166"/>
      <c r="AH75" s="167"/>
    </row>
    <row r="76" spans="3:34">
      <c r="C76" s="16">
        <v>34</v>
      </c>
      <c r="D76" s="17" t="s">
        <v>790</v>
      </c>
      <c r="E76" s="27" t="s">
        <v>791</v>
      </c>
      <c r="F76" s="213">
        <v>0</v>
      </c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792</v>
      </c>
      <c r="E77" s="27" t="s">
        <v>793</v>
      </c>
      <c r="F77" s="213">
        <v>0</v>
      </c>
      <c r="O77" s="166"/>
      <c r="P77" s="166"/>
      <c r="Q77" s="166"/>
      <c r="AH77" s="167"/>
    </row>
    <row r="78" spans="3:34">
      <c r="C78" s="16">
        <v>36</v>
      </c>
      <c r="D78" s="17" t="s">
        <v>794</v>
      </c>
      <c r="E78" s="27" t="s">
        <v>795</v>
      </c>
      <c r="F78" s="213">
        <v>0</v>
      </c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796</v>
      </c>
      <c r="E79" s="27" t="s">
        <v>797</v>
      </c>
      <c r="F79" s="213">
        <v>0</v>
      </c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572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358</v>
      </c>
      <c r="K91" s="166"/>
      <c r="N91" s="166"/>
      <c r="O91" s="166"/>
      <c r="P91" s="166"/>
      <c r="Q91" s="166"/>
      <c r="AH91" s="167"/>
    </row>
    <row r="92" spans="3:34">
      <c r="D92" s="1" t="s">
        <v>359</v>
      </c>
      <c r="K92" s="166"/>
      <c r="N92" s="166"/>
      <c r="O92" s="166"/>
      <c r="P92" s="166"/>
      <c r="Q92" s="166"/>
      <c r="AH92" s="167"/>
    </row>
    <row r="93" spans="3:34">
      <c r="D93" s="1" t="s">
        <v>360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361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362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363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364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365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366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367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368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369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370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371</v>
      </c>
      <c r="K104" s="166"/>
      <c r="AH104" s="167"/>
    </row>
    <row r="105" spans="3:34">
      <c r="D105" s="1" t="s">
        <v>372</v>
      </c>
    </row>
    <row r="106" spans="3:34">
      <c r="D106" s="1" t="s">
        <v>373</v>
      </c>
    </row>
    <row r="107" spans="3:34">
      <c r="D107" s="1" t="s">
        <v>374</v>
      </c>
    </row>
    <row r="108" spans="3:34">
      <c r="D108" s="1" t="s">
        <v>375</v>
      </c>
    </row>
    <row r="109" spans="3:34">
      <c r="D109" s="1" t="s">
        <v>376</v>
      </c>
    </row>
    <row r="110" spans="3:34">
      <c r="D110" s="1" t="s">
        <v>377</v>
      </c>
    </row>
    <row r="111" spans="3:34">
      <c r="D111" s="1" t="s">
        <v>378</v>
      </c>
    </row>
    <row r="112" spans="3:34">
      <c r="D112" s="1" t="s">
        <v>379</v>
      </c>
    </row>
    <row r="113" spans="4:4">
      <c r="D113" s="1" t="s">
        <v>380</v>
      </c>
    </row>
    <row r="114" spans="4:4">
      <c r="D114" s="3" t="s">
        <v>381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P5:Q18 P22:Q25 C55:F59 C68:F79">
    <cfRule type="expression" dxfId="37" priority="2">
      <formula>$F$34="FIX"</formula>
    </cfRule>
  </conditionalFormatting>
  <conditionalFormatting sqref="C47:F47">
    <cfRule type="expression" dxfId="36" priority="1">
      <formula>$F$34="FLO"</formula>
    </cfRule>
  </conditionalFormatting>
  <dataValidations disablePrompts="1" count="2">
    <dataValidation type="list" allowBlank="1" showInputMessage="1" showErrorMessage="1" sqref="F37" xr:uid="{10B98469-B7E4-4E2B-A4C6-1DEE2C09CBF9}">
      <formula1>"0,1"</formula1>
    </dataValidation>
    <dataValidation type="list" allowBlank="1" showInputMessage="1" showErrorMessage="1" sqref="E7:E30" xr:uid="{3D28A749-AF57-4D0C-8E1A-E3F1E63248E5}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FF620-B685-48BD-A2CF-182CE7ED91E2}">
  <sheetPr codeName="Sheet18"/>
  <dimension ref="A2:DZ114"/>
  <sheetViews>
    <sheetView workbookViewId="0">
      <selection activeCell="S5" sqref="S5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9" t="str">
        <f>Trade!B2</f>
        <v>ISW: Interest Rate Swap</v>
      </c>
      <c r="C2" s="219"/>
      <c r="D2" s="219"/>
      <c r="E2" s="219"/>
      <c r="F2" s="219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6" t="str">
        <f>Trade!G5</f>
        <v>ISW000001_002</v>
      </c>
      <c r="D5" s="216"/>
      <c r="E5" s="216"/>
      <c r="F5" s="217"/>
      <c r="J5" s="225"/>
      <c r="K5" s="225"/>
      <c r="M5" s="216" t="str">
        <f>"GIRR/" &amp; Trade!G26</f>
        <v>GIRR/IRKRW-IRS</v>
      </c>
      <c r="N5" s="216"/>
      <c r="P5" s="216" t="str">
        <f>IF(AND(F34="FLO", Trade!Y13&lt;&gt;""), "GIRR INDEX/" &amp; Trade!AB13, "")</f>
        <v/>
      </c>
      <c r="Q5" s="216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5757629918.7089596</v>
      </c>
      <c r="G7" s="1" t="s">
        <v>9</v>
      </c>
      <c r="H7" s="18">
        <v>1</v>
      </c>
      <c r="I7" s="2"/>
      <c r="J7" s="191"/>
      <c r="K7" s="192"/>
      <c r="M7" s="37">
        <v>0.25</v>
      </c>
      <c r="N7" s="31">
        <v>-4298155.0216674805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8">
        <v>-32802856651.687599</v>
      </c>
      <c r="G8" s="1" t="s">
        <v>9</v>
      </c>
      <c r="H8" s="18">
        <v>2</v>
      </c>
      <c r="I8" s="2"/>
      <c r="J8" s="191"/>
      <c r="K8" s="192"/>
      <c r="M8" s="37">
        <v>0.5</v>
      </c>
      <c r="N8" s="31">
        <v>-20005180.416107178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3"/>
      <c r="G9" s="1" t="s">
        <v>9</v>
      </c>
      <c r="H9" s="18">
        <v>3</v>
      </c>
      <c r="I9" s="2"/>
      <c r="J9" s="191"/>
      <c r="K9" s="192"/>
      <c r="M9" s="37">
        <v>1</v>
      </c>
      <c r="N9" s="31">
        <v>-76657323.427200317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192140728282.92801</v>
      </c>
      <c r="G10" s="1" t="s">
        <v>9</v>
      </c>
      <c r="H10" s="18">
        <v>4</v>
      </c>
      <c r="I10" s="2"/>
      <c r="J10" s="191"/>
      <c r="K10" s="192"/>
      <c r="M10" s="37">
        <v>2</v>
      </c>
      <c r="N10" s="31">
        <v>-160540553.17878723</v>
      </c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9">
        <v>5.6989179751915398</v>
      </c>
      <c r="G11" s="1" t="s">
        <v>9</v>
      </c>
      <c r="H11" s="18">
        <v>5</v>
      </c>
      <c r="I11" s="2"/>
      <c r="J11" s="191"/>
      <c r="K11" s="192"/>
      <c r="M11" s="37">
        <v>3</v>
      </c>
      <c r="N11" s="31">
        <v>-400414645.16639709</v>
      </c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9">
        <v>35.421514742590297</v>
      </c>
      <c r="G12" s="1" t="s">
        <v>9</v>
      </c>
      <c r="H12" s="18">
        <v>6</v>
      </c>
      <c r="I12" s="2"/>
      <c r="M12" s="37">
        <v>5</v>
      </c>
      <c r="N12" s="31">
        <v>-25548756233.129501</v>
      </c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148">
        <v>-3280285.6651687599</v>
      </c>
      <c r="G13" s="1" t="s">
        <v>9</v>
      </c>
      <c r="H13" s="18">
        <v>6</v>
      </c>
      <c r="I13" s="2"/>
      <c r="M13" s="37">
        <v>10</v>
      </c>
      <c r="N13" s="31">
        <v>-6595337284.8701477</v>
      </c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835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24"/>
      <c r="K22" s="224"/>
      <c r="M22" s="216" t="str">
        <f>"GIRR/" &amp; Trade!G26</f>
        <v>GIRR/IRKRW-IRS</v>
      </c>
      <c r="N22" s="216"/>
      <c r="P22" s="216" t="str">
        <f>IF(AND(F34="FLO", Trade!Y13&lt;&gt;""), "GIRR INDEX/" &amp; Trade!AB13, "")</f>
        <v/>
      </c>
      <c r="Q22" s="216"/>
    </row>
    <row r="23" spans="2:25">
      <c r="C23" s="47">
        <v>17</v>
      </c>
      <c r="D23" s="17" t="s">
        <v>38</v>
      </c>
      <c r="E23" s="19" t="s">
        <v>64</v>
      </c>
      <c r="F23" s="36" t="s">
        <v>836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64</v>
      </c>
      <c r="F24" s="41"/>
      <c r="G24" s="1" t="s">
        <v>9</v>
      </c>
      <c r="H24" s="18">
        <v>1</v>
      </c>
      <c r="J24" s="6"/>
      <c r="K24" s="165"/>
      <c r="M24" s="6" t="s">
        <v>67</v>
      </c>
      <c r="N24" s="165">
        <v>-530952954.19970512</v>
      </c>
      <c r="P24" s="6"/>
      <c r="Q24" s="165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5"/>
      <c r="M25" s="6" t="s">
        <v>68</v>
      </c>
      <c r="N25" s="165">
        <v>586528340.54457378</v>
      </c>
      <c r="P25" s="6"/>
      <c r="Q25" s="165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837</v>
      </c>
      <c r="G28" s="1" t="s">
        <v>9</v>
      </c>
      <c r="H28" s="3" t="s">
        <v>551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8" t="s">
        <v>58</v>
      </c>
      <c r="E30" s="40" t="s">
        <v>64</v>
      </c>
      <c r="F30" s="194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703</v>
      </c>
      <c r="E34" s="17" t="s">
        <v>798</v>
      </c>
      <c r="F34" s="193" t="str">
        <f>Trade!G7</f>
        <v>FIX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48">
        <v>2</v>
      </c>
      <c r="D35" s="35" t="s">
        <v>87</v>
      </c>
      <c r="E35" s="17" t="s">
        <v>572</v>
      </c>
      <c r="F35" s="184">
        <v>1.7000000000000001E-2</v>
      </c>
      <c r="H35" s="18">
        <v>1</v>
      </c>
      <c r="J35" s="178" t="s">
        <v>557</v>
      </c>
      <c r="K35" s="28">
        <v>45636</v>
      </c>
      <c r="L35" s="179">
        <v>45818</v>
      </c>
      <c r="M35" s="179">
        <v>46001</v>
      </c>
      <c r="N35" s="179">
        <v>46183</v>
      </c>
      <c r="O35" s="179">
        <v>46366</v>
      </c>
      <c r="P35" s="179">
        <v>46548</v>
      </c>
      <c r="Q35" s="179">
        <v>46731</v>
      </c>
      <c r="R35" s="179">
        <v>46916</v>
      </c>
      <c r="S35" s="179">
        <v>47098</v>
      </c>
      <c r="T35" s="179">
        <v>47280</v>
      </c>
      <c r="U35" s="179">
        <v>47462</v>
      </c>
      <c r="V35" s="179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9">
        <v>3</v>
      </c>
      <c r="D36" s="210" t="s">
        <v>822</v>
      </c>
      <c r="E36" s="34" t="s">
        <v>823</v>
      </c>
      <c r="F36" s="211"/>
      <c r="H36" s="18">
        <v>2</v>
      </c>
      <c r="J36" s="178" t="s">
        <v>558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212</v>
      </c>
      <c r="F37" s="43">
        <v>1</v>
      </c>
      <c r="G37" s="1"/>
      <c r="H37" s="18">
        <v>3</v>
      </c>
      <c r="I37" s="1"/>
      <c r="J37" s="178" t="s">
        <v>559</v>
      </c>
      <c r="K37" s="186">
        <v>6000000000</v>
      </c>
      <c r="L37" s="186">
        <v>6000000000</v>
      </c>
      <c r="M37" s="186">
        <v>6000000000</v>
      </c>
      <c r="N37" s="186">
        <v>6000000000</v>
      </c>
      <c r="O37" s="186">
        <v>6000000000</v>
      </c>
      <c r="P37" s="186">
        <v>6000000000</v>
      </c>
      <c r="Q37" s="186">
        <v>6000000000</v>
      </c>
      <c r="R37" s="186">
        <v>6000000000</v>
      </c>
      <c r="S37" s="186">
        <v>6000000000</v>
      </c>
      <c r="T37" s="186">
        <v>6000000000</v>
      </c>
      <c r="U37" s="186">
        <v>6000000000</v>
      </c>
      <c r="V37" s="186">
        <v>6000000000</v>
      </c>
      <c r="W37" s="186">
        <v>6000000000</v>
      </c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86"/>
      <c r="CB37" s="186"/>
      <c r="CC37" s="186"/>
      <c r="CD37" s="186"/>
      <c r="CE37" s="186"/>
      <c r="CF37" s="186"/>
      <c r="CG37" s="186"/>
      <c r="CH37" s="186"/>
      <c r="CI37" s="186"/>
      <c r="CJ37" s="186"/>
      <c r="CK37" s="186"/>
      <c r="CL37" s="186"/>
      <c r="CM37" s="186"/>
      <c r="CN37" s="186"/>
      <c r="CO37" s="186"/>
      <c r="CP37" s="186"/>
      <c r="CQ37" s="186"/>
      <c r="CR37" s="186"/>
      <c r="CS37" s="186"/>
      <c r="CT37" s="186"/>
      <c r="CU37" s="186"/>
      <c r="CV37" s="186"/>
      <c r="CW37" s="186"/>
      <c r="CX37" s="186"/>
      <c r="CY37" s="186"/>
      <c r="CZ37" s="186"/>
      <c r="DA37" s="186"/>
      <c r="DB37" s="186"/>
      <c r="DC37" s="186"/>
      <c r="DD37" s="186"/>
      <c r="DE37" s="186"/>
      <c r="DF37" s="186"/>
      <c r="DG37" s="186"/>
      <c r="DH37" s="186"/>
      <c r="DI37" s="186"/>
      <c r="DJ37" s="186"/>
      <c r="DK37" s="186"/>
      <c r="DL37" s="186"/>
      <c r="DM37" s="186"/>
      <c r="DN37" s="186"/>
      <c r="DO37" s="186"/>
      <c r="DP37" s="186"/>
      <c r="DQ37" s="186"/>
      <c r="DR37" s="186"/>
      <c r="DS37" s="186"/>
      <c r="DT37" s="186"/>
      <c r="DU37" s="186"/>
      <c r="DV37" s="186"/>
      <c r="DW37" s="186"/>
      <c r="DX37" s="186"/>
      <c r="DY37" s="186"/>
      <c r="DZ37" s="186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704</v>
      </c>
      <c r="G38" s="1"/>
      <c r="H38" s="18">
        <v>4</v>
      </c>
      <c r="I38" s="1"/>
      <c r="J38" s="178" t="s">
        <v>560</v>
      </c>
      <c r="K38" s="187">
        <v>1.4999999999999999E-2</v>
      </c>
      <c r="L38" s="187">
        <v>1.4999999999999999E-2</v>
      </c>
      <c r="M38" s="187">
        <v>1.4999999999999999E-2</v>
      </c>
      <c r="N38" s="187">
        <v>1.4999999999999999E-2</v>
      </c>
      <c r="O38" s="187">
        <v>1.4999999999999999E-2</v>
      </c>
      <c r="P38" s="187">
        <v>1.4999999999999999E-2</v>
      </c>
      <c r="Q38" s="187">
        <v>1.4999999999999999E-2</v>
      </c>
      <c r="R38" s="187">
        <v>1.4999999999999999E-2</v>
      </c>
      <c r="S38" s="187">
        <v>1.4999999999999999E-2</v>
      </c>
      <c r="T38" s="187">
        <v>1.4999999999999999E-2</v>
      </c>
      <c r="U38" s="187">
        <v>1.4999999999999999E-2</v>
      </c>
      <c r="V38" s="187">
        <v>1.4999999999999999E-2</v>
      </c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  <c r="AI38" s="187"/>
      <c r="AJ38" s="187"/>
      <c r="AK38" s="187"/>
      <c r="AL38" s="187"/>
      <c r="AM38" s="187"/>
      <c r="AN38" s="187"/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187"/>
      <c r="DB38" s="187"/>
      <c r="DC38" s="187"/>
      <c r="DD38" s="187"/>
      <c r="DE38" s="187"/>
      <c r="DF38" s="187"/>
      <c r="DG38" s="187"/>
      <c r="DH38" s="187"/>
      <c r="DI38" s="187"/>
      <c r="DJ38" s="187"/>
      <c r="DK38" s="187"/>
      <c r="DL38" s="187"/>
      <c r="DM38" s="187"/>
      <c r="DN38" s="187"/>
      <c r="DO38" s="187"/>
      <c r="DP38" s="187"/>
      <c r="DQ38" s="187"/>
      <c r="DR38" s="187"/>
      <c r="DS38" s="187"/>
      <c r="DT38" s="187"/>
      <c r="DU38" s="187"/>
      <c r="DV38" s="187"/>
      <c r="DW38" s="187"/>
      <c r="DX38" s="187"/>
      <c r="DY38" s="187"/>
      <c r="DZ38" s="187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1" t="s">
        <v>561</v>
      </c>
      <c r="K39" s="180">
        <v>45818</v>
      </c>
      <c r="L39" s="180">
        <v>46001</v>
      </c>
      <c r="M39" s="180">
        <v>46183</v>
      </c>
      <c r="N39" s="180">
        <v>46366</v>
      </c>
      <c r="O39" s="180">
        <v>46548</v>
      </c>
      <c r="P39" s="180">
        <v>46731</v>
      </c>
      <c r="Q39" s="180">
        <v>46916</v>
      </c>
      <c r="R39" s="180">
        <v>47098</v>
      </c>
      <c r="S39" s="180">
        <v>47280</v>
      </c>
      <c r="T39" s="180">
        <v>47462</v>
      </c>
      <c r="U39" s="180">
        <v>47644</v>
      </c>
      <c r="V39" s="180">
        <v>47827</v>
      </c>
      <c r="W39" s="180">
        <v>47827</v>
      </c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L39" s="180"/>
      <c r="BM39" s="180"/>
      <c r="BN39" s="180"/>
      <c r="BO39" s="180"/>
      <c r="BP39" s="180"/>
      <c r="BQ39" s="180"/>
      <c r="BR39" s="180"/>
      <c r="BS39" s="180"/>
      <c r="BT39" s="180"/>
      <c r="BU39" s="180"/>
      <c r="BV39" s="180"/>
      <c r="BW39" s="180"/>
      <c r="BX39" s="180"/>
      <c r="BY39" s="180"/>
      <c r="BZ39" s="180"/>
      <c r="CA39" s="180"/>
      <c r="CB39" s="180"/>
      <c r="CC39" s="180"/>
      <c r="CD39" s="180"/>
      <c r="CE39" s="180"/>
      <c r="CF39" s="180"/>
      <c r="CG39" s="180"/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180"/>
      <c r="DI39" s="180"/>
      <c r="DJ39" s="180"/>
      <c r="DK39" s="180"/>
      <c r="DL39" s="180"/>
      <c r="DM39" s="180"/>
      <c r="DN39" s="180"/>
      <c r="DO39" s="180"/>
      <c r="DP39" s="180"/>
      <c r="DQ39" s="180"/>
      <c r="DR39" s="180"/>
      <c r="DS39" s="180"/>
      <c r="DT39" s="180"/>
      <c r="DU39" s="180"/>
      <c r="DV39" s="180"/>
      <c r="DW39" s="180"/>
      <c r="DX39" s="180"/>
      <c r="DY39" s="180"/>
      <c r="DZ39" s="180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8" t="s">
        <v>235</v>
      </c>
      <c r="K40" s="186">
        <v>44861890.860094622</v>
      </c>
      <c r="L40" s="186">
        <v>45123287.671232417</v>
      </c>
      <c r="M40" s="186">
        <v>44876712.328767002</v>
      </c>
      <c r="N40" s="186">
        <v>45123287.671232417</v>
      </c>
      <c r="O40" s="186">
        <v>44876712.328767002</v>
      </c>
      <c r="P40" s="186">
        <v>45123287.671232417</v>
      </c>
      <c r="Q40" s="186">
        <v>45506624.747361004</v>
      </c>
      <c r="R40" s="186">
        <v>44754098.360656247</v>
      </c>
      <c r="S40" s="186">
        <v>44862564.563215911</v>
      </c>
      <c r="T40" s="186">
        <v>44876712.328767002</v>
      </c>
      <c r="U40" s="186">
        <v>44876712.328767002</v>
      </c>
      <c r="V40" s="186">
        <v>45123287.671232417</v>
      </c>
      <c r="W40" s="186">
        <v>6000000000</v>
      </c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86"/>
      <c r="CB40" s="186"/>
      <c r="CC40" s="186"/>
      <c r="CD40" s="186"/>
      <c r="CE40" s="186"/>
      <c r="CF40" s="186"/>
      <c r="CG40" s="186"/>
      <c r="CH40" s="186"/>
      <c r="CI40" s="186"/>
      <c r="CJ40" s="186"/>
      <c r="CK40" s="186"/>
      <c r="CL40" s="186"/>
      <c r="CM40" s="186"/>
      <c r="CN40" s="186"/>
      <c r="CO40" s="186"/>
      <c r="CP40" s="186"/>
      <c r="CQ40" s="186"/>
      <c r="CR40" s="186"/>
      <c r="CS40" s="186"/>
      <c r="CT40" s="186"/>
      <c r="CU40" s="186"/>
      <c r="CV40" s="186"/>
      <c r="CW40" s="186"/>
      <c r="CX40" s="186"/>
      <c r="CY40" s="186"/>
      <c r="CZ40" s="186"/>
      <c r="DA40" s="186"/>
      <c r="DB40" s="186"/>
      <c r="DC40" s="186"/>
      <c r="DD40" s="186"/>
      <c r="DE40" s="186"/>
      <c r="DF40" s="186"/>
      <c r="DG40" s="186"/>
      <c r="DH40" s="186"/>
      <c r="DI40" s="186"/>
      <c r="DJ40" s="186"/>
      <c r="DK40" s="186"/>
      <c r="DL40" s="186"/>
      <c r="DM40" s="186"/>
      <c r="DN40" s="186"/>
      <c r="DO40" s="186"/>
      <c r="DP40" s="186"/>
      <c r="DQ40" s="186"/>
      <c r="DR40" s="186"/>
      <c r="DS40" s="186"/>
      <c r="DT40" s="186"/>
      <c r="DU40" s="186"/>
      <c r="DV40" s="186"/>
      <c r="DW40" s="186"/>
      <c r="DX40" s="186"/>
      <c r="DY40" s="186"/>
      <c r="DZ40" s="186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8" t="s">
        <v>246</v>
      </c>
      <c r="K41" s="187">
        <v>0.98829134115151773</v>
      </c>
      <c r="L41" s="187">
        <v>0.97801686754227113</v>
      </c>
      <c r="M41" s="187">
        <v>0.96784085793429453</v>
      </c>
      <c r="N41" s="187">
        <v>0.95820219706700749</v>
      </c>
      <c r="O41" s="187">
        <v>0.94794385799977821</v>
      </c>
      <c r="P41" s="187">
        <v>0.9375772720222556</v>
      </c>
      <c r="Q41" s="187">
        <v>0.92690142865960345</v>
      </c>
      <c r="R41" s="187">
        <v>0.91642556418760601</v>
      </c>
      <c r="S41" s="187">
        <v>0.90597811493818059</v>
      </c>
      <c r="T41" s="187">
        <v>0.895582588460897</v>
      </c>
      <c r="U41" s="187">
        <v>0.8856302583115363</v>
      </c>
      <c r="V41" s="187">
        <v>0.87572582999371074</v>
      </c>
      <c r="W41" s="187">
        <v>0.87572582999371074</v>
      </c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  <c r="AI41" s="187"/>
      <c r="AJ41" s="187"/>
      <c r="AK41" s="187"/>
      <c r="AL41" s="187"/>
      <c r="AM41" s="187"/>
      <c r="AN41" s="187"/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187"/>
      <c r="DB41" s="187"/>
      <c r="DC41" s="187"/>
      <c r="DD41" s="187"/>
      <c r="DE41" s="187"/>
      <c r="DF41" s="187"/>
      <c r="DG41" s="187"/>
      <c r="DH41" s="187"/>
      <c r="DI41" s="187"/>
      <c r="DJ41" s="187"/>
      <c r="DK41" s="187"/>
      <c r="DL41" s="187"/>
      <c r="DM41" s="187"/>
      <c r="DN41" s="187"/>
      <c r="DO41" s="187"/>
      <c r="DP41" s="187"/>
      <c r="DQ41" s="187"/>
      <c r="DR41" s="187"/>
      <c r="DS41" s="187"/>
      <c r="DT41" s="187"/>
      <c r="DU41" s="187"/>
      <c r="DV41" s="187"/>
      <c r="DW41" s="187"/>
      <c r="DX41" s="187"/>
      <c r="DY41" s="187"/>
      <c r="DZ41" s="187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552</v>
      </c>
    </row>
    <row r="44" spans="1:130">
      <c r="C44" s="16">
        <v>2</v>
      </c>
      <c r="D44" s="17" t="s">
        <v>24</v>
      </c>
      <c r="E44" s="17" t="s">
        <v>26</v>
      </c>
      <c r="F44" s="30" t="s">
        <v>554</v>
      </c>
    </row>
    <row r="45" spans="1:130">
      <c r="C45" s="16">
        <v>3</v>
      </c>
      <c r="D45" s="17" t="s">
        <v>211</v>
      </c>
      <c r="E45" s="17" t="s">
        <v>0</v>
      </c>
      <c r="F45" s="30" t="s">
        <v>556</v>
      </c>
    </row>
    <row r="46" spans="1:130">
      <c r="C46" s="16">
        <v>4</v>
      </c>
      <c r="D46" s="17" t="s">
        <v>25</v>
      </c>
      <c r="E46" s="17" t="s">
        <v>49</v>
      </c>
      <c r="F46" s="185">
        <v>6000000000</v>
      </c>
    </row>
    <row r="47" spans="1:130">
      <c r="C47" s="16">
        <v>5</v>
      </c>
      <c r="D47" s="17" t="s">
        <v>827</v>
      </c>
      <c r="E47" s="17" t="s">
        <v>829</v>
      </c>
      <c r="F47" s="185">
        <v>1.4999999999999999E-2</v>
      </c>
    </row>
    <row r="48" spans="1:130">
      <c r="C48" s="16">
        <v>6</v>
      </c>
      <c r="D48" s="17" t="s">
        <v>748</v>
      </c>
      <c r="E48" s="17" t="s">
        <v>711</v>
      </c>
      <c r="F48" s="30" t="s">
        <v>749</v>
      </c>
      <c r="AH48" s="167"/>
    </row>
    <row r="49" spans="3:34">
      <c r="C49" s="16">
        <v>7</v>
      </c>
      <c r="D49" s="17" t="s">
        <v>750</v>
      </c>
      <c r="E49" s="199" t="s">
        <v>712</v>
      </c>
      <c r="F49" s="30" t="s">
        <v>751</v>
      </c>
      <c r="AH49" s="167"/>
    </row>
    <row r="50" spans="3:34">
      <c r="C50" s="16">
        <v>8</v>
      </c>
      <c r="D50" s="17" t="s">
        <v>731</v>
      </c>
      <c r="E50" s="199" t="s">
        <v>713</v>
      </c>
      <c r="F50" s="30" t="s">
        <v>752</v>
      </c>
      <c r="AH50" s="167"/>
    </row>
    <row r="51" spans="3:34">
      <c r="C51" s="16">
        <v>9</v>
      </c>
      <c r="D51" s="17" t="s">
        <v>753</v>
      </c>
      <c r="E51" s="199" t="s">
        <v>714</v>
      </c>
      <c r="F51" s="30" t="s">
        <v>751</v>
      </c>
      <c r="AH51" s="167"/>
    </row>
    <row r="52" spans="3:34">
      <c r="C52" s="16">
        <v>10</v>
      </c>
      <c r="D52" s="17" t="s">
        <v>754</v>
      </c>
      <c r="E52" s="17" t="s">
        <v>715</v>
      </c>
      <c r="F52" s="30" t="s">
        <v>751</v>
      </c>
      <c r="AH52" s="167"/>
    </row>
    <row r="53" spans="3:34">
      <c r="C53" s="16">
        <v>11</v>
      </c>
      <c r="D53" s="35" t="s">
        <v>734</v>
      </c>
      <c r="E53" s="17" t="s">
        <v>716</v>
      </c>
      <c r="F53" s="185">
        <v>0</v>
      </c>
      <c r="AH53" s="167"/>
    </row>
    <row r="54" spans="3:34">
      <c r="C54" s="16">
        <v>12</v>
      </c>
      <c r="D54" s="35" t="s">
        <v>800</v>
      </c>
      <c r="E54" s="17" t="s">
        <v>799</v>
      </c>
      <c r="F54" s="185">
        <v>1</v>
      </c>
      <c r="G54" s="1" t="s">
        <v>357</v>
      </c>
      <c r="AH54" s="167"/>
    </row>
    <row r="55" spans="3:34">
      <c r="C55" s="16">
        <v>13</v>
      </c>
      <c r="D55" s="35" t="s">
        <v>569</v>
      </c>
      <c r="E55" s="35" t="s">
        <v>719</v>
      </c>
      <c r="F55" s="185"/>
      <c r="G55" s="1" t="s">
        <v>357</v>
      </c>
      <c r="AH55" s="167"/>
    </row>
    <row r="56" spans="3:34">
      <c r="C56" s="16">
        <v>14</v>
      </c>
      <c r="D56" s="35" t="s">
        <v>755</v>
      </c>
      <c r="E56" s="35" t="s">
        <v>756</v>
      </c>
      <c r="F56" s="206"/>
      <c r="G56" s="1" t="s">
        <v>357</v>
      </c>
      <c r="AH56" s="167"/>
    </row>
    <row r="57" spans="3:34">
      <c r="C57" s="16">
        <v>15</v>
      </c>
      <c r="D57" s="35" t="s">
        <v>757</v>
      </c>
      <c r="E57" s="35" t="s">
        <v>758</v>
      </c>
      <c r="F57" s="185"/>
      <c r="G57" s="1" t="s">
        <v>357</v>
      </c>
      <c r="AH57" s="167"/>
    </row>
    <row r="58" spans="3:34">
      <c r="C58" s="16">
        <v>16</v>
      </c>
      <c r="D58" s="35" t="s">
        <v>759</v>
      </c>
      <c r="E58" s="35" t="s">
        <v>760</v>
      </c>
      <c r="F58" s="185"/>
      <c r="G58" s="1" t="s">
        <v>357</v>
      </c>
      <c r="AH58" s="167"/>
    </row>
    <row r="59" spans="3:34">
      <c r="C59" s="16">
        <v>17</v>
      </c>
      <c r="D59" s="35" t="s">
        <v>761</v>
      </c>
      <c r="E59" s="35" t="s">
        <v>762</v>
      </c>
      <c r="F59" s="185"/>
      <c r="G59" s="1" t="s">
        <v>357</v>
      </c>
      <c r="AH59" s="167"/>
    </row>
    <row r="60" spans="3:34">
      <c r="C60" s="16">
        <v>18</v>
      </c>
      <c r="D60" s="17" t="s">
        <v>763</v>
      </c>
      <c r="E60" s="27" t="s">
        <v>764</v>
      </c>
      <c r="F60" s="185">
        <v>12</v>
      </c>
      <c r="G60" s="1" t="s">
        <v>357</v>
      </c>
      <c r="AH60" s="167"/>
    </row>
    <row r="61" spans="3:34">
      <c r="C61" s="16">
        <v>19</v>
      </c>
      <c r="D61" s="17" t="s">
        <v>765</v>
      </c>
      <c r="E61" s="27" t="s">
        <v>766</v>
      </c>
      <c r="F61" s="30" t="s">
        <v>767</v>
      </c>
      <c r="AH61" s="167"/>
    </row>
    <row r="62" spans="3:34">
      <c r="C62" s="16">
        <v>20</v>
      </c>
      <c r="D62" s="17" t="s">
        <v>768</v>
      </c>
      <c r="E62" s="27" t="s">
        <v>769</v>
      </c>
      <c r="F62" s="30" t="s">
        <v>770</v>
      </c>
      <c r="AH62" s="167"/>
    </row>
    <row r="63" spans="3:34">
      <c r="C63" s="16">
        <v>21</v>
      </c>
      <c r="D63" s="17" t="s">
        <v>771</v>
      </c>
      <c r="E63" s="27" t="s">
        <v>772</v>
      </c>
      <c r="F63" s="30" t="s">
        <v>767</v>
      </c>
      <c r="AH63" s="167"/>
    </row>
    <row r="64" spans="3:34">
      <c r="C64" s="16">
        <v>22</v>
      </c>
      <c r="D64" s="17" t="s">
        <v>44</v>
      </c>
      <c r="E64" s="27" t="s">
        <v>107</v>
      </c>
      <c r="F64" s="185">
        <v>10</v>
      </c>
      <c r="AH64" s="167"/>
    </row>
    <row r="65" spans="3:34">
      <c r="C65" s="16">
        <v>23</v>
      </c>
      <c r="D65" s="17" t="s">
        <v>45</v>
      </c>
      <c r="E65" s="27" t="s">
        <v>108</v>
      </c>
      <c r="F65" s="30" t="s">
        <v>213</v>
      </c>
      <c r="AH65" s="167"/>
    </row>
    <row r="66" spans="3:34">
      <c r="C66" s="16">
        <v>24</v>
      </c>
      <c r="D66" s="17" t="s">
        <v>46</v>
      </c>
      <c r="E66" s="27" t="s">
        <v>109</v>
      </c>
      <c r="F66" s="30" t="s">
        <v>830</v>
      </c>
      <c r="AH66" s="167"/>
    </row>
    <row r="67" spans="3:34">
      <c r="C67" s="16">
        <v>25</v>
      </c>
      <c r="D67" s="17" t="s">
        <v>106</v>
      </c>
      <c r="E67" s="27" t="s">
        <v>210</v>
      </c>
      <c r="F67" s="30" t="s">
        <v>214</v>
      </c>
      <c r="AH67" s="167"/>
    </row>
    <row r="68" spans="3:34">
      <c r="C68" s="16">
        <v>26</v>
      </c>
      <c r="D68" s="17" t="s">
        <v>773</v>
      </c>
      <c r="E68" s="27" t="s">
        <v>774</v>
      </c>
      <c r="F68" s="185"/>
      <c r="AH68" s="167"/>
    </row>
    <row r="69" spans="3:34">
      <c r="C69" s="16">
        <v>27</v>
      </c>
      <c r="D69" s="17" t="s">
        <v>775</v>
      </c>
      <c r="E69" s="27" t="s">
        <v>776</v>
      </c>
      <c r="F69" s="30"/>
      <c r="AH69" s="167"/>
    </row>
    <row r="70" spans="3:34">
      <c r="C70" s="16">
        <v>28</v>
      </c>
      <c r="D70" s="17" t="s">
        <v>777</v>
      </c>
      <c r="E70" s="27" t="s">
        <v>778</v>
      </c>
      <c r="F70" s="185"/>
      <c r="AH70" s="167"/>
    </row>
    <row r="71" spans="3:34">
      <c r="C71" s="16">
        <v>29</v>
      </c>
      <c r="D71" s="17" t="s">
        <v>780</v>
      </c>
      <c r="E71" s="27" t="s">
        <v>781</v>
      </c>
      <c r="F71" s="30"/>
      <c r="AH71" s="167"/>
    </row>
    <row r="72" spans="3:34">
      <c r="C72" s="16">
        <v>30</v>
      </c>
      <c r="D72" s="17" t="s">
        <v>782</v>
      </c>
      <c r="E72" s="17" t="s">
        <v>783</v>
      </c>
      <c r="F72" s="30"/>
      <c r="AH72" s="167"/>
    </row>
    <row r="73" spans="3:34">
      <c r="C73" s="16">
        <v>31</v>
      </c>
      <c r="D73" s="1" t="s">
        <v>784</v>
      </c>
      <c r="E73" s="27" t="s">
        <v>785</v>
      </c>
      <c r="F73" s="185"/>
      <c r="AH73" s="167"/>
    </row>
    <row r="74" spans="3:34">
      <c r="C74" s="16">
        <v>32</v>
      </c>
      <c r="D74" s="17" t="s">
        <v>786</v>
      </c>
      <c r="E74" s="27" t="s">
        <v>787</v>
      </c>
      <c r="F74" s="185"/>
      <c r="AH74" s="167"/>
    </row>
    <row r="75" spans="3:34">
      <c r="C75" s="16">
        <v>33</v>
      </c>
      <c r="D75" s="17" t="s">
        <v>788</v>
      </c>
      <c r="E75" s="27" t="s">
        <v>789</v>
      </c>
      <c r="F75" s="30"/>
      <c r="O75" s="166"/>
      <c r="P75" s="166"/>
      <c r="Q75" s="166"/>
      <c r="AH75" s="167"/>
    </row>
    <row r="76" spans="3:34">
      <c r="C76" s="16">
        <v>34</v>
      </c>
      <c r="D76" s="17" t="s">
        <v>790</v>
      </c>
      <c r="E76" s="27" t="s">
        <v>791</v>
      </c>
      <c r="F76" s="30"/>
      <c r="K76" s="167"/>
      <c r="L76" s="167"/>
      <c r="M76" s="167"/>
      <c r="N76" s="167"/>
      <c r="O76" s="166"/>
      <c r="P76" s="166"/>
      <c r="Q76" s="166"/>
      <c r="AH76" s="167"/>
    </row>
    <row r="77" spans="3:34">
      <c r="C77" s="16">
        <v>35</v>
      </c>
      <c r="D77" s="17" t="s">
        <v>792</v>
      </c>
      <c r="E77" s="27" t="s">
        <v>793</v>
      </c>
      <c r="F77" s="30"/>
      <c r="O77" s="166"/>
      <c r="P77" s="166"/>
      <c r="Q77" s="166"/>
      <c r="AH77" s="167"/>
    </row>
    <row r="78" spans="3:34">
      <c r="C78" s="16">
        <v>36</v>
      </c>
      <c r="D78" s="17" t="s">
        <v>794</v>
      </c>
      <c r="E78" s="27" t="s">
        <v>795</v>
      </c>
      <c r="F78" s="30"/>
      <c r="K78" s="166"/>
      <c r="N78" s="166"/>
      <c r="O78" s="166"/>
      <c r="P78" s="166"/>
      <c r="Q78" s="166"/>
      <c r="AH78" s="167"/>
    </row>
    <row r="79" spans="3:34">
      <c r="C79" s="16">
        <v>37</v>
      </c>
      <c r="D79" s="17" t="s">
        <v>796</v>
      </c>
      <c r="E79" s="27" t="s">
        <v>797</v>
      </c>
      <c r="F79" s="30"/>
      <c r="K79" s="166"/>
      <c r="N79" s="166"/>
      <c r="O79" s="166"/>
      <c r="P79" s="166"/>
      <c r="Q79" s="166"/>
      <c r="AH79" s="167"/>
    </row>
    <row r="80" spans="3:34">
      <c r="C80" s="16">
        <v>38</v>
      </c>
      <c r="D80" s="17" t="s">
        <v>57</v>
      </c>
      <c r="E80" s="17" t="s">
        <v>572</v>
      </c>
      <c r="F80" s="185">
        <v>1.7000000000000001E-2</v>
      </c>
      <c r="K80" s="166"/>
      <c r="N80" s="166"/>
      <c r="O80" s="166"/>
      <c r="P80" s="166"/>
      <c r="Q80" s="166"/>
      <c r="AH80" s="167"/>
    </row>
    <row r="81" spans="3:34">
      <c r="C81" s="16">
        <v>39</v>
      </c>
      <c r="D81" s="17" t="s">
        <v>47</v>
      </c>
      <c r="E81" s="17" t="s">
        <v>50</v>
      </c>
      <c r="F81" s="30">
        <v>9</v>
      </c>
      <c r="K81" s="166"/>
      <c r="N81" s="166"/>
      <c r="O81" s="166"/>
      <c r="P81" s="166"/>
      <c r="Q81" s="166"/>
      <c r="AH81" s="167"/>
    </row>
    <row r="82" spans="3:34">
      <c r="C82" s="16">
        <v>40</v>
      </c>
      <c r="D82" s="17" t="s">
        <v>48</v>
      </c>
      <c r="E82" s="17" t="s">
        <v>51</v>
      </c>
      <c r="F82" s="30">
        <v>1</v>
      </c>
      <c r="K82" s="166"/>
      <c r="N82" s="166"/>
      <c r="O82" s="166"/>
      <c r="P82" s="166"/>
      <c r="Q82" s="166"/>
      <c r="AH82" s="167"/>
    </row>
    <row r="83" spans="3:34" ht="13.5" customHeight="1">
      <c r="K83" s="166"/>
      <c r="N83" s="166"/>
      <c r="O83" s="166"/>
      <c r="P83" s="166"/>
      <c r="Q83" s="166"/>
      <c r="AH83" s="167"/>
    </row>
    <row r="84" spans="3:34">
      <c r="K84" s="166"/>
      <c r="N84" s="166"/>
      <c r="O84" s="166"/>
      <c r="P84" s="166"/>
      <c r="Q84" s="166"/>
      <c r="AH84" s="167"/>
    </row>
    <row r="85" spans="3:34">
      <c r="K85" s="166"/>
      <c r="N85" s="166"/>
      <c r="O85" s="166"/>
      <c r="P85" s="166"/>
      <c r="Q85" s="166"/>
      <c r="AH85" s="167"/>
    </row>
    <row r="86" spans="3:34">
      <c r="K86" s="166"/>
      <c r="N86" s="166"/>
      <c r="O86" s="166"/>
      <c r="P86" s="166"/>
      <c r="Q86" s="166"/>
      <c r="AH86" s="167"/>
    </row>
    <row r="87" spans="3:34">
      <c r="K87" s="166"/>
      <c r="N87" s="166"/>
      <c r="O87" s="166"/>
      <c r="P87" s="166"/>
      <c r="Q87" s="166"/>
      <c r="AH87" s="167"/>
    </row>
    <row r="88" spans="3:34">
      <c r="K88" s="166"/>
      <c r="N88" s="166"/>
      <c r="O88" s="166"/>
      <c r="P88" s="166"/>
      <c r="Q88" s="166"/>
      <c r="AH88" s="167"/>
    </row>
    <row r="89" spans="3:34">
      <c r="K89" s="166"/>
      <c r="N89" s="166"/>
      <c r="O89" s="166"/>
      <c r="P89" s="166"/>
      <c r="Q89" s="166"/>
      <c r="AH89" s="167"/>
    </row>
    <row r="90" spans="3:34">
      <c r="E90" s="1"/>
      <c r="K90" s="166"/>
      <c r="N90" s="166"/>
      <c r="O90" s="166"/>
      <c r="P90" s="166"/>
      <c r="Q90" s="166"/>
      <c r="AH90" s="167"/>
    </row>
    <row r="91" spans="3:34">
      <c r="D91" s="1" t="s">
        <v>358</v>
      </c>
      <c r="K91" s="166"/>
      <c r="N91" s="166"/>
      <c r="O91" s="166"/>
      <c r="P91" s="166"/>
      <c r="Q91" s="166"/>
      <c r="AH91" s="167"/>
    </row>
    <row r="92" spans="3:34">
      <c r="D92" s="1" t="s">
        <v>359</v>
      </c>
      <c r="K92" s="166"/>
      <c r="N92" s="166"/>
      <c r="O92" s="166"/>
      <c r="P92" s="166"/>
      <c r="Q92" s="166"/>
      <c r="AH92" s="167"/>
    </row>
    <row r="93" spans="3:34">
      <c r="D93" s="1" t="s">
        <v>360</v>
      </c>
      <c r="K93" s="166"/>
      <c r="N93" s="166"/>
      <c r="O93" s="166"/>
      <c r="P93" s="166"/>
      <c r="Q93" s="166"/>
      <c r="AH93" s="167"/>
    </row>
    <row r="94" spans="3:34">
      <c r="C94" s="1"/>
      <c r="D94" s="1" t="s">
        <v>361</v>
      </c>
      <c r="E94" s="1"/>
      <c r="F94" s="1"/>
      <c r="K94" s="166"/>
      <c r="N94" s="166"/>
      <c r="O94" s="166"/>
      <c r="P94" s="166"/>
      <c r="Q94" s="166"/>
      <c r="AH94" s="167"/>
    </row>
    <row r="95" spans="3:34">
      <c r="C95" s="1"/>
      <c r="D95" s="1" t="s">
        <v>362</v>
      </c>
      <c r="E95" s="1"/>
      <c r="F95" s="1"/>
      <c r="K95" s="166"/>
      <c r="N95" s="166"/>
      <c r="O95" s="166"/>
      <c r="P95" s="166"/>
      <c r="Q95" s="166"/>
      <c r="AH95" s="167"/>
    </row>
    <row r="96" spans="3:34">
      <c r="C96" s="1"/>
      <c r="D96" s="3" t="s">
        <v>363</v>
      </c>
      <c r="E96" s="1"/>
      <c r="F96" s="1"/>
      <c r="K96" s="166"/>
      <c r="N96" s="166"/>
      <c r="O96" s="166"/>
      <c r="P96" s="166"/>
      <c r="Q96" s="166"/>
      <c r="AH96" s="167"/>
    </row>
    <row r="97" spans="3:34">
      <c r="C97" s="1"/>
      <c r="D97" s="3" t="s">
        <v>364</v>
      </c>
      <c r="E97" s="1"/>
      <c r="F97" s="1"/>
      <c r="K97" s="166"/>
      <c r="N97" s="166"/>
      <c r="O97" s="166"/>
      <c r="P97" s="166"/>
      <c r="Q97" s="166"/>
      <c r="AH97" s="167"/>
    </row>
    <row r="98" spans="3:34">
      <c r="C98" s="1"/>
      <c r="D98" s="1" t="s">
        <v>365</v>
      </c>
      <c r="E98" s="1"/>
      <c r="F98" s="1"/>
      <c r="K98" s="166"/>
      <c r="N98" s="166"/>
      <c r="O98" s="166"/>
      <c r="P98" s="166"/>
      <c r="Q98" s="166"/>
      <c r="AH98" s="167"/>
    </row>
    <row r="99" spans="3:34">
      <c r="C99" s="1"/>
      <c r="D99" s="1" t="s">
        <v>366</v>
      </c>
      <c r="E99" s="1"/>
      <c r="F99" s="1"/>
      <c r="K99" s="166"/>
      <c r="N99" s="166"/>
      <c r="O99" s="166"/>
      <c r="P99" s="166"/>
      <c r="Q99" s="166"/>
      <c r="AH99" s="167"/>
    </row>
    <row r="100" spans="3:34">
      <c r="C100" s="1"/>
      <c r="D100" s="1" t="s">
        <v>367</v>
      </c>
      <c r="E100" s="1"/>
      <c r="F100" s="1"/>
      <c r="K100" s="166"/>
      <c r="N100" s="166"/>
      <c r="O100" s="166"/>
      <c r="P100" s="166"/>
      <c r="Q100" s="166"/>
      <c r="AH100" s="167"/>
    </row>
    <row r="101" spans="3:34">
      <c r="C101" s="1"/>
      <c r="D101" s="1" t="s">
        <v>368</v>
      </c>
      <c r="E101" s="1"/>
      <c r="F101" s="1"/>
      <c r="K101" s="166"/>
      <c r="N101" s="166"/>
      <c r="O101" s="166"/>
      <c r="P101" s="166"/>
      <c r="Q101" s="166"/>
      <c r="AH101" s="167"/>
    </row>
    <row r="102" spans="3:34">
      <c r="C102" s="1"/>
      <c r="D102" s="1" t="s">
        <v>369</v>
      </c>
      <c r="E102" s="1"/>
      <c r="F102" s="1"/>
      <c r="K102" s="166"/>
      <c r="N102" s="166"/>
      <c r="O102" s="166"/>
      <c r="P102" s="166"/>
      <c r="Q102" s="166"/>
      <c r="AH102" s="167"/>
    </row>
    <row r="103" spans="3:34">
      <c r="C103" s="1"/>
      <c r="D103" s="1" t="s">
        <v>370</v>
      </c>
      <c r="E103" s="1"/>
      <c r="F103" s="1"/>
      <c r="K103" s="166"/>
      <c r="N103" s="166"/>
      <c r="O103" s="166"/>
      <c r="P103" s="166"/>
      <c r="Q103" s="166"/>
      <c r="AH103" s="167"/>
    </row>
    <row r="104" spans="3:34">
      <c r="D104" s="1" t="s">
        <v>371</v>
      </c>
      <c r="K104" s="166"/>
      <c r="AH104" s="167"/>
    </row>
    <row r="105" spans="3:34">
      <c r="D105" s="1" t="s">
        <v>372</v>
      </c>
    </row>
    <row r="106" spans="3:34">
      <c r="D106" s="1" t="s">
        <v>373</v>
      </c>
    </row>
    <row r="107" spans="3:34">
      <c r="D107" s="1" t="s">
        <v>374</v>
      </c>
    </row>
    <row r="108" spans="3:34">
      <c r="D108" s="1" t="s">
        <v>375</v>
      </c>
    </row>
    <row r="109" spans="3:34">
      <c r="D109" s="1" t="s">
        <v>376</v>
      </c>
    </row>
    <row r="110" spans="3:34">
      <c r="D110" s="1" t="s">
        <v>377</v>
      </c>
    </row>
    <row r="111" spans="3:34">
      <c r="D111" s="1" t="s">
        <v>378</v>
      </c>
    </row>
    <row r="112" spans="3:34">
      <c r="D112" s="1" t="s">
        <v>379</v>
      </c>
    </row>
    <row r="113" spans="4:4">
      <c r="D113" s="1" t="s">
        <v>380</v>
      </c>
    </row>
    <row r="114" spans="4:4">
      <c r="D114" s="3" t="s">
        <v>381</v>
      </c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conditionalFormatting sqref="C68:F79 P5:Q18 P22:Q25 C55:F59">
    <cfRule type="expression" dxfId="35" priority="2">
      <formula>$F$34="FIX"</formula>
    </cfRule>
  </conditionalFormatting>
  <conditionalFormatting sqref="C47:F47">
    <cfRule type="expression" dxfId="34" priority="1">
      <formula>$F$34="FLO"</formula>
    </cfRule>
  </conditionalFormatting>
  <dataValidations count="2">
    <dataValidation type="list" allowBlank="1" showInputMessage="1" showErrorMessage="1" sqref="E7:E30" xr:uid="{210CA5AF-84C7-4D7C-A86E-81DE10A13DFB}">
      <formula1>"Y,N"</formula1>
    </dataValidation>
    <dataValidation type="list" allowBlank="1" showInputMessage="1" showErrorMessage="1" sqref="F37" xr:uid="{0D4A9D51-6E70-4297-BAA9-517E5DF84329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M15" sqref="M15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242</v>
      </c>
      <c r="I1" s="1" t="s">
        <v>332</v>
      </c>
    </row>
    <row r="2" spans="1:32">
      <c r="A2" s="3"/>
      <c r="C2" s="4"/>
      <c r="D2" s="4"/>
      <c r="E2" s="46"/>
      <c r="F2" s="46"/>
      <c r="G2" s="46"/>
      <c r="H2" s="46"/>
      <c r="I2" s="131" t="s">
        <v>339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70</v>
      </c>
      <c r="AE2" s="54"/>
      <c r="AF2" s="55"/>
    </row>
    <row r="3" spans="1:32">
      <c r="B3" s="3" t="s">
        <v>217</v>
      </c>
      <c r="C3" s="4"/>
      <c r="I3" s="3" t="s">
        <v>232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75</v>
      </c>
      <c r="AA3" s="5"/>
      <c r="AB3" s="17" t="s">
        <v>89</v>
      </c>
      <c r="AC3" s="46"/>
      <c r="AD3" s="20"/>
      <c r="AE3" s="20"/>
      <c r="AF3" s="20"/>
    </row>
    <row r="4" spans="1:32">
      <c r="B4" s="57" t="s">
        <v>222</v>
      </c>
      <c r="C4" s="60"/>
      <c r="E4" s="57" t="s">
        <v>216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76</v>
      </c>
      <c r="AA4" s="5"/>
      <c r="AB4" s="17" t="s">
        <v>91</v>
      </c>
      <c r="AC4" s="4"/>
      <c r="AD4" s="17"/>
      <c r="AE4" s="17"/>
      <c r="AF4" s="17"/>
    </row>
    <row r="5" spans="1:32">
      <c r="B5" s="3" t="s">
        <v>218</v>
      </c>
      <c r="C5" s="58" t="e">
        <f>MID(Trade!#REF!,1,4) &amp;"-" &amp; MID(Trade!#REF!,5,2) &amp;"-" &amp; MID(Trade!#REF!,7,2)</f>
        <v>#REF!</v>
      </c>
      <c r="E5" s="68" t="s">
        <v>228</v>
      </c>
      <c r="F5" s="68" t="s">
        <v>223</v>
      </c>
      <c r="G5" s="68" t="s">
        <v>224</v>
      </c>
      <c r="H5" s="68" t="s">
        <v>395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78</v>
      </c>
      <c r="AA5" s="5"/>
      <c r="AB5" s="17" t="s">
        <v>93</v>
      </c>
      <c r="AC5" s="4"/>
      <c r="AD5" s="17"/>
      <c r="AE5" s="17"/>
      <c r="AF5" s="17"/>
    </row>
    <row r="6" spans="1:32">
      <c r="B6" s="3" t="s">
        <v>219</v>
      </c>
      <c r="C6" s="59">
        <f>Trade!F11</f>
        <v>6000000000</v>
      </c>
      <c r="F6" s="3" t="s">
        <v>387</v>
      </c>
      <c r="G6" s="3" t="s">
        <v>225</v>
      </c>
      <c r="H6" s="3" t="s">
        <v>227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79</v>
      </c>
      <c r="AA6" s="5"/>
      <c r="AB6" s="17" t="s">
        <v>95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230</v>
      </c>
      <c r="G7" s="3" t="s">
        <v>231</v>
      </c>
      <c r="H7" s="3" t="s">
        <v>338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220</v>
      </c>
      <c r="C8" s="4">
        <v>6</v>
      </c>
      <c r="F8" s="3" t="s">
        <v>386</v>
      </c>
      <c r="G8" s="3" t="s">
        <v>233</v>
      </c>
      <c r="H8" s="3" t="s">
        <v>234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331</v>
      </c>
      <c r="AB8" s="13" t="s">
        <v>12</v>
      </c>
      <c r="AD8" s="13" t="s">
        <v>11</v>
      </c>
      <c r="AE8" s="13" t="s">
        <v>331</v>
      </c>
      <c r="AF8" s="13" t="s">
        <v>12</v>
      </c>
    </row>
    <row r="9" spans="1:32">
      <c r="B9" s="3" t="s">
        <v>221</v>
      </c>
      <c r="C9" s="62" t="e">
        <f>Trade!#REF!</f>
        <v>#REF!</v>
      </c>
      <c r="E9" s="69"/>
      <c r="F9" s="69" t="s">
        <v>235</v>
      </c>
      <c r="G9" s="69" t="s">
        <v>236</v>
      </c>
      <c r="H9" s="69" t="s">
        <v>237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229</v>
      </c>
      <c r="C10" s="61" t="e">
        <f>Trade!#REF!</f>
        <v>#REF!</v>
      </c>
      <c r="E10" s="68" t="s">
        <v>238</v>
      </c>
      <c r="F10" s="68" t="s">
        <v>239</v>
      </c>
      <c r="G10" s="68" t="s">
        <v>240</v>
      </c>
      <c r="H10" s="68" t="s">
        <v>241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75</v>
      </c>
      <c r="C11" s="4" t="str">
        <f>Trade!L8</f>
        <v>CONT</v>
      </c>
      <c r="E11" s="69"/>
      <c r="F11" s="69" t="s">
        <v>243</v>
      </c>
      <c r="G11" s="69" t="s">
        <v>244</v>
      </c>
      <c r="H11" s="69" t="s">
        <v>245</v>
      </c>
      <c r="I11" s="64"/>
      <c r="J11" s="162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261</v>
      </c>
      <c r="C12" s="4">
        <f>12/C8</f>
        <v>2</v>
      </c>
      <c r="E12" s="68" t="s">
        <v>2</v>
      </c>
      <c r="F12" s="68" t="s">
        <v>239</v>
      </c>
      <c r="G12" s="68" t="s">
        <v>249</v>
      </c>
      <c r="H12" s="68" t="s">
        <v>250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246</v>
      </c>
      <c r="G13" s="3" t="s">
        <v>251</v>
      </c>
      <c r="H13" s="3" t="s">
        <v>340</v>
      </c>
      <c r="I13" s="3"/>
      <c r="J13" s="133" t="s">
        <v>247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252</v>
      </c>
      <c r="H14" s="3" t="s">
        <v>253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248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385</v>
      </c>
      <c r="G16" s="3" t="s">
        <v>254</v>
      </c>
      <c r="H16" s="3" t="s">
        <v>255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256</v>
      </c>
      <c r="G17" s="69" t="s">
        <v>257</v>
      </c>
      <c r="H17" s="69" t="s">
        <v>258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259</v>
      </c>
      <c r="F18" s="68" t="s">
        <v>259</v>
      </c>
      <c r="G18" s="68" t="s">
        <v>260</v>
      </c>
      <c r="H18" s="68" t="s">
        <v>266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246</v>
      </c>
      <c r="G19" s="3" t="s">
        <v>263</v>
      </c>
      <c r="H19" s="3" t="s">
        <v>262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264</v>
      </c>
      <c r="H20" s="3" t="s">
        <v>265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248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226</v>
      </c>
      <c r="C22" s="63" t="s">
        <v>382</v>
      </c>
      <c r="E22" s="68" t="s">
        <v>267</v>
      </c>
      <c r="F22" s="68" t="s">
        <v>2</v>
      </c>
      <c r="G22" s="68" t="s">
        <v>268</v>
      </c>
      <c r="H22" s="68" t="s">
        <v>269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235</v>
      </c>
      <c r="C23" s="1" t="s">
        <v>228</v>
      </c>
      <c r="F23" s="3" t="s">
        <v>270</v>
      </c>
      <c r="G23" s="3" t="s">
        <v>271</v>
      </c>
      <c r="H23" s="3" t="s">
        <v>272</v>
      </c>
      <c r="J23" s="159" t="e">
        <f>J22/J20</f>
        <v>#REF!</v>
      </c>
    </row>
    <row r="24" spans="2:32">
      <c r="B24" s="3" t="s">
        <v>239</v>
      </c>
      <c r="C24" s="1" t="s">
        <v>383</v>
      </c>
      <c r="F24" s="85" t="s">
        <v>246</v>
      </c>
      <c r="G24" s="85" t="s">
        <v>273</v>
      </c>
      <c r="H24" s="85" t="s">
        <v>274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246</v>
      </c>
      <c r="C25" s="1" t="s">
        <v>384</v>
      </c>
      <c r="F25" s="85" t="s">
        <v>285</v>
      </c>
      <c r="G25" s="85" t="s">
        <v>275</v>
      </c>
      <c r="H25" s="85" t="s">
        <v>276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385</v>
      </c>
      <c r="C26" s="64" t="s">
        <v>388</v>
      </c>
      <c r="E26" s="69"/>
      <c r="F26" s="89" t="s">
        <v>277</v>
      </c>
      <c r="G26" s="89" t="s">
        <v>278</v>
      </c>
      <c r="H26" s="89" t="s">
        <v>279</v>
      </c>
      <c r="I26" s="90"/>
      <c r="J26" s="161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280</v>
      </c>
      <c r="F27" s="68" t="s">
        <v>2</v>
      </c>
      <c r="G27" s="68" t="s">
        <v>281</v>
      </c>
      <c r="H27" s="68" t="s">
        <v>282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283</v>
      </c>
      <c r="G28" s="3" t="s">
        <v>284</v>
      </c>
      <c r="H28" s="3" t="s">
        <v>288</v>
      </c>
      <c r="J28" s="160" t="e">
        <f>J27/((1+J18/$C$12)^2*J14)</f>
        <v>#REF!</v>
      </c>
    </row>
    <row r="29" spans="2:32">
      <c r="E29" s="69"/>
      <c r="F29" s="89" t="s">
        <v>285</v>
      </c>
      <c r="G29" s="89" t="s">
        <v>286</v>
      </c>
      <c r="H29" s="89" t="s">
        <v>287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289</v>
      </c>
      <c r="F30" s="68" t="s">
        <v>239</v>
      </c>
      <c r="G30" s="68" t="s">
        <v>290</v>
      </c>
      <c r="H30" s="68" t="s">
        <v>291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246</v>
      </c>
      <c r="G31" s="3" t="s">
        <v>292</v>
      </c>
      <c r="H31" s="3" t="s">
        <v>293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294</v>
      </c>
      <c r="H32" s="3" t="s">
        <v>295</v>
      </c>
      <c r="J32" s="163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289</v>
      </c>
      <c r="G33" s="69" t="s">
        <v>296</v>
      </c>
      <c r="H33" s="69" t="s">
        <v>297</v>
      </c>
      <c r="I33" s="64"/>
      <c r="J33" s="164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242</v>
      </c>
      <c r="F35" s="57"/>
      <c r="G35" s="124" t="s">
        <v>330</v>
      </c>
      <c r="H35" s="124" t="s">
        <v>207</v>
      </c>
      <c r="I35" s="124" t="s">
        <v>298</v>
      </c>
      <c r="J35" s="124" t="s">
        <v>301</v>
      </c>
    </row>
    <row r="36" spans="2:38">
      <c r="E36" s="1"/>
      <c r="F36" s="3" t="s">
        <v>302</v>
      </c>
      <c r="G36" s="125"/>
      <c r="H36" s="97">
        <f>I36-J36</f>
        <v>0</v>
      </c>
      <c r="I36" s="150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1" t="e">
        <f>#REF!</f>
        <v>#REF!</v>
      </c>
      <c r="J37" s="99" t="e">
        <f>J14</f>
        <v>#REF!</v>
      </c>
    </row>
    <row r="38" spans="2:38">
      <c r="F38" s="3" t="s">
        <v>299</v>
      </c>
      <c r="G38" s="125" t="e">
        <f>H38/I38</f>
        <v>#REF!</v>
      </c>
      <c r="H38" s="96" t="e">
        <f>I38-J38</f>
        <v>#REF!</v>
      </c>
      <c r="I38" s="158" t="e">
        <f>#REF!</f>
        <v>#REF!</v>
      </c>
      <c r="J38" s="100" t="e">
        <f>J23</f>
        <v>#REF!</v>
      </c>
    </row>
    <row r="39" spans="2:38">
      <c r="F39" s="3" t="s">
        <v>280</v>
      </c>
      <c r="G39" s="125" t="e">
        <f>H39/I39</f>
        <v>#REF!</v>
      </c>
      <c r="H39" s="96" t="e">
        <f>I39-J39</f>
        <v>#REF!</v>
      </c>
      <c r="I39" s="158" t="e">
        <f>#REF!</f>
        <v>#REF!</v>
      </c>
      <c r="J39" s="100" t="e">
        <f>J28</f>
        <v>#REF!</v>
      </c>
      <c r="K39" s="1" t="s">
        <v>300</v>
      </c>
    </row>
    <row r="40" spans="2:38">
      <c r="F40" s="3" t="s">
        <v>289</v>
      </c>
      <c r="G40" s="125" t="e">
        <f>H40/I40</f>
        <v>#REF!</v>
      </c>
      <c r="H40" s="95" t="e">
        <f>I40-J40</f>
        <v>#REF!</v>
      </c>
      <c r="I40" s="151" t="e">
        <f>#REF!</f>
        <v>#REF!</v>
      </c>
      <c r="J40" s="99" t="e">
        <f>J33</f>
        <v>#REF!</v>
      </c>
    </row>
    <row r="41" spans="2:38">
      <c r="G41" s="125"/>
      <c r="I41" s="152"/>
      <c r="J41" s="126"/>
      <c r="K41" s="13" t="s">
        <v>351</v>
      </c>
      <c r="L41" s="13" t="s">
        <v>352</v>
      </c>
      <c r="M41" s="13" t="s">
        <v>353</v>
      </c>
      <c r="X41" s="3" t="s">
        <v>337</v>
      </c>
    </row>
    <row r="42" spans="2:38">
      <c r="C42" s="3"/>
      <c r="F42" s="57" t="s">
        <v>335</v>
      </c>
      <c r="G42" s="140" t="e">
        <f>H42/I42</f>
        <v>#REF!</v>
      </c>
      <c r="H42" s="141" t="e">
        <f>I42-J42</f>
        <v>#REF!</v>
      </c>
      <c r="I42" s="153" t="e">
        <f>IF(K42="GIRR",VLOOKUP(M42,#REF!,2,FALSE),VLOOKUP(M42,#REF!,2,FALSE))</f>
        <v>#REF!</v>
      </c>
      <c r="J42" s="145" t="e">
        <f>(J46-J14)*10000</f>
        <v>#VALUE!</v>
      </c>
      <c r="K42" s="129" t="s">
        <v>333</v>
      </c>
      <c r="L42" s="129">
        <v>90</v>
      </c>
      <c r="M42" s="130">
        <f>L42/360</f>
        <v>0.25</v>
      </c>
      <c r="N42" s="128" t="s">
        <v>336</v>
      </c>
      <c r="Z42" s="3" t="s">
        <v>346</v>
      </c>
      <c r="AD42" s="3" t="s">
        <v>347</v>
      </c>
      <c r="AH42" s="3" t="s">
        <v>349</v>
      </c>
      <c r="AJ42" s="3"/>
      <c r="AK42" s="3" t="s">
        <v>350</v>
      </c>
    </row>
    <row r="43" spans="2:38">
      <c r="F43" s="68" t="s">
        <v>239</v>
      </c>
      <c r="G43" s="68" t="s">
        <v>240</v>
      </c>
      <c r="H43" s="68" t="s">
        <v>241</v>
      </c>
      <c r="I43" s="154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331</v>
      </c>
      <c r="AB43" s="13" t="s">
        <v>12</v>
      </c>
      <c r="AD43" s="13" t="s">
        <v>11</v>
      </c>
      <c r="AE43" s="13" t="s">
        <v>331</v>
      </c>
      <c r="AF43" s="13" t="s">
        <v>12</v>
      </c>
      <c r="AH43" s="14" t="s">
        <v>331</v>
      </c>
      <c r="AI43" s="14" t="s">
        <v>2</v>
      </c>
      <c r="AJ43" s="2"/>
      <c r="AK43" s="14" t="s">
        <v>331</v>
      </c>
      <c r="AL43" s="14" t="s">
        <v>2</v>
      </c>
    </row>
    <row r="44" spans="2:38">
      <c r="F44" s="3" t="s">
        <v>239</v>
      </c>
      <c r="G44" s="3" t="s">
        <v>249</v>
      </c>
      <c r="H44" s="3" t="s">
        <v>250</v>
      </c>
      <c r="I44" s="152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246</v>
      </c>
      <c r="G45" s="3" t="s">
        <v>251</v>
      </c>
      <c r="H45" s="3" t="s">
        <v>340</v>
      </c>
      <c r="I45" s="152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252</v>
      </c>
      <c r="H46" s="69" t="s">
        <v>253</v>
      </c>
      <c r="I46" s="155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6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2"/>
      <c r="K48" s="13" t="s">
        <v>351</v>
      </c>
      <c r="L48" s="13" t="s">
        <v>354</v>
      </c>
      <c r="M48" s="13" t="s">
        <v>355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345</v>
      </c>
      <c r="G49" s="140" t="e">
        <f>H49/I49</f>
        <v>#REF!</v>
      </c>
      <c r="H49" s="141" t="e">
        <f>I49-J49</f>
        <v>#REF!</v>
      </c>
      <c r="I49" s="157" t="e">
        <f>IF(K49="GIRR", IF(M49=1,#REF!,#REF!), IF(M49=1,#REF!,#REF!))</f>
        <v>#REF!</v>
      </c>
      <c r="J49" s="144" t="e">
        <f>J53-J14</f>
        <v>#VALUE!</v>
      </c>
      <c r="K49" s="129" t="s">
        <v>334</v>
      </c>
      <c r="L49" s="129" t="e">
        <f xml:space="preserve"> IF(K49="GIRR",#REF!,#REF!)</f>
        <v>#REF!</v>
      </c>
      <c r="M49" s="142">
        <v>-1</v>
      </c>
      <c r="N49" s="128" t="s">
        <v>348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239</v>
      </c>
      <c r="G50" s="68" t="s">
        <v>240</v>
      </c>
      <c r="H50" s="68" t="s">
        <v>241</v>
      </c>
      <c r="I50" s="154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239</v>
      </c>
      <c r="G51" s="3" t="s">
        <v>249</v>
      </c>
      <c r="H51" s="3" t="s">
        <v>250</v>
      </c>
      <c r="I51" s="152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246</v>
      </c>
      <c r="G52" s="3" t="s">
        <v>251</v>
      </c>
      <c r="H52" s="3" t="s">
        <v>340</v>
      </c>
      <c r="I52" s="152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252</v>
      </c>
      <c r="H53" s="69" t="s">
        <v>253</v>
      </c>
      <c r="I53" s="155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8" t="s">
        <v>329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389</v>
      </c>
    </row>
    <row r="5" spans="2:13" ht="81.95" customHeight="1">
      <c r="B5" s="101"/>
      <c r="C5" s="228" t="s">
        <v>390</v>
      </c>
      <c r="D5" s="228"/>
      <c r="E5" s="228"/>
      <c r="F5" s="228"/>
      <c r="G5" s="228"/>
      <c r="H5" s="228"/>
      <c r="I5" s="228"/>
      <c r="J5" s="228"/>
      <c r="K5" s="228"/>
      <c r="L5" s="228"/>
      <c r="M5" s="170"/>
    </row>
    <row r="6" spans="2:13" ht="15.75">
      <c r="B6" s="106"/>
      <c r="C6" s="171" t="s">
        <v>391</v>
      </c>
      <c r="D6" s="171" t="s">
        <v>392</v>
      </c>
      <c r="E6" s="106"/>
      <c r="F6" s="106"/>
      <c r="G6" s="106"/>
      <c r="H6" s="101"/>
      <c r="I6" s="101"/>
      <c r="J6" s="101"/>
    </row>
    <row r="7" spans="2:13" ht="15.75">
      <c r="B7" s="106"/>
      <c r="C7" s="169"/>
      <c r="D7" s="171" t="s">
        <v>393</v>
      </c>
      <c r="E7" s="106"/>
      <c r="F7" s="106"/>
      <c r="G7" s="106"/>
      <c r="H7" s="101"/>
      <c r="I7" s="101"/>
      <c r="J7" s="101"/>
    </row>
    <row r="8" spans="2:13" ht="15.75">
      <c r="B8" s="106"/>
      <c r="C8" s="169"/>
      <c r="D8" s="171" t="s">
        <v>394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303</v>
      </c>
    </row>
    <row r="11" spans="2:13" s="105" customFormat="1" ht="19.5">
      <c r="B11" s="104"/>
    </row>
    <row r="12" spans="2:13" ht="15.75">
      <c r="B12" s="106" t="s">
        <v>304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305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306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307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308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309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310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311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312</v>
      </c>
      <c r="D44" s="107">
        <v>36381</v>
      </c>
      <c r="E44" s="50" t="s">
        <v>313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314</v>
      </c>
      <c r="D45" s="107">
        <v>37477</v>
      </c>
      <c r="E45" s="111" t="s">
        <v>315</v>
      </c>
      <c r="F45" s="50" t="s">
        <v>316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317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318</v>
      </c>
      <c r="D48" s="107">
        <v>36803</v>
      </c>
      <c r="E48" s="50" t="s">
        <v>319</v>
      </c>
      <c r="F48" s="108">
        <v>0.10299999999999999</v>
      </c>
      <c r="G48" s="50" t="s">
        <v>320</v>
      </c>
      <c r="H48" s="115">
        <v>20000000000</v>
      </c>
      <c r="I48" s="101"/>
      <c r="J48" s="101"/>
    </row>
    <row r="49" spans="2:10">
      <c r="B49" s="101"/>
      <c r="C49" s="50" t="s">
        <v>321</v>
      </c>
      <c r="D49" s="116">
        <v>36</v>
      </c>
      <c r="E49" s="50" t="s">
        <v>322</v>
      </c>
      <c r="F49" s="116">
        <v>92</v>
      </c>
      <c r="G49" s="117" t="s">
        <v>323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324</v>
      </c>
      <c r="C51" s="112"/>
      <c r="D51" s="119"/>
      <c r="E51" s="112"/>
      <c r="F51" s="120"/>
      <c r="G51" s="226"/>
      <c r="H51" s="227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325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326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327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328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2" t="s">
        <v>83</v>
      </c>
      <c r="C5" s="172" t="s">
        <v>2</v>
      </c>
      <c r="D5" s="173" t="s">
        <v>84</v>
      </c>
      <c r="E5" s="172" t="s">
        <v>399</v>
      </c>
      <c r="F5" s="172" t="s">
        <v>400</v>
      </c>
    </row>
    <row r="6" spans="2:6" ht="13.5">
      <c r="B6" s="174" t="s">
        <v>74</v>
      </c>
      <c r="C6" s="101" t="s">
        <v>573</v>
      </c>
      <c r="D6" s="122">
        <v>0</v>
      </c>
      <c r="E6" s="122" t="s">
        <v>123</v>
      </c>
      <c r="F6" s="122" t="s">
        <v>401</v>
      </c>
    </row>
    <row r="7" spans="2:6" ht="13.5">
      <c r="B7" s="174" t="s">
        <v>74</v>
      </c>
      <c r="C7" s="101" t="s">
        <v>574</v>
      </c>
      <c r="D7" s="122">
        <v>1</v>
      </c>
      <c r="E7" s="122" t="s">
        <v>124</v>
      </c>
      <c r="F7" s="122" t="s">
        <v>403</v>
      </c>
    </row>
    <row r="8" spans="2:6" ht="13.5">
      <c r="B8" s="174" t="s">
        <v>74</v>
      </c>
      <c r="C8" s="101" t="s">
        <v>575</v>
      </c>
      <c r="D8" s="122">
        <v>2</v>
      </c>
      <c r="E8" s="122" t="s">
        <v>125</v>
      </c>
      <c r="F8" s="122" t="s">
        <v>404</v>
      </c>
    </row>
    <row r="9" spans="2:6" ht="13.5">
      <c r="B9" s="174" t="s">
        <v>74</v>
      </c>
      <c r="C9" s="101" t="s">
        <v>576</v>
      </c>
      <c r="D9" s="122">
        <v>3</v>
      </c>
      <c r="E9" s="122" t="s">
        <v>126</v>
      </c>
      <c r="F9" s="122" t="s">
        <v>405</v>
      </c>
    </row>
    <row r="10" spans="2:6" ht="13.5">
      <c r="B10" s="174" t="s">
        <v>74</v>
      </c>
      <c r="C10" s="101" t="s">
        <v>577</v>
      </c>
      <c r="D10" s="122">
        <v>4</v>
      </c>
      <c r="E10" s="122" t="s">
        <v>127</v>
      </c>
      <c r="F10" s="122" t="s">
        <v>406</v>
      </c>
    </row>
    <row r="11" spans="2:6" ht="13.5">
      <c r="B11" s="174" t="s">
        <v>74</v>
      </c>
      <c r="C11" s="101" t="s">
        <v>578</v>
      </c>
      <c r="D11" s="122">
        <v>5</v>
      </c>
      <c r="E11" s="122" t="s">
        <v>128</v>
      </c>
      <c r="F11" s="122" t="s">
        <v>407</v>
      </c>
    </row>
    <row r="12" spans="2:6" ht="13.5">
      <c r="B12" s="174" t="s">
        <v>74</v>
      </c>
      <c r="C12" s="101" t="s">
        <v>579</v>
      </c>
      <c r="D12" s="122">
        <v>6</v>
      </c>
      <c r="E12" s="122" t="s">
        <v>129</v>
      </c>
      <c r="F12" s="122" t="s">
        <v>408</v>
      </c>
    </row>
    <row r="13" spans="2:6" ht="13.5">
      <c r="B13" s="174" t="s">
        <v>74</v>
      </c>
      <c r="C13" s="101" t="s">
        <v>580</v>
      </c>
      <c r="D13" s="122">
        <v>7</v>
      </c>
      <c r="E13" s="122" t="s">
        <v>130</v>
      </c>
      <c r="F13" s="122" t="s">
        <v>409</v>
      </c>
    </row>
    <row r="14" spans="2:6" ht="13.5">
      <c r="B14" s="189" t="s">
        <v>74</v>
      </c>
      <c r="C14" s="123" t="s">
        <v>581</v>
      </c>
      <c r="D14" s="190">
        <v>8</v>
      </c>
      <c r="E14" s="190"/>
      <c r="F14" s="190" t="s">
        <v>640</v>
      </c>
    </row>
    <row r="15" spans="2:6" ht="13.5">
      <c r="B15" s="189" t="s">
        <v>74</v>
      </c>
      <c r="C15" s="123" t="s">
        <v>582</v>
      </c>
      <c r="D15" s="190">
        <v>9</v>
      </c>
      <c r="E15" s="190"/>
      <c r="F15" s="190" t="s">
        <v>641</v>
      </c>
    </row>
    <row r="16" spans="2:6" ht="13.5">
      <c r="B16" s="189" t="s">
        <v>74</v>
      </c>
      <c r="C16" s="123" t="s">
        <v>583</v>
      </c>
      <c r="D16" s="190">
        <v>10</v>
      </c>
      <c r="E16" s="190"/>
      <c r="F16" s="190" t="s">
        <v>642</v>
      </c>
    </row>
    <row r="17" spans="2:6" ht="13.5">
      <c r="B17" s="189" t="s">
        <v>74</v>
      </c>
      <c r="C17" s="123" t="s">
        <v>584</v>
      </c>
      <c r="D17" s="190">
        <v>11</v>
      </c>
      <c r="E17" s="190"/>
      <c r="F17" s="190" t="s">
        <v>643</v>
      </c>
    </row>
    <row r="18" spans="2:6" ht="13.5">
      <c r="B18" s="189" t="s">
        <v>74</v>
      </c>
      <c r="C18" s="123" t="s">
        <v>585</v>
      </c>
      <c r="D18" s="190">
        <v>12</v>
      </c>
      <c r="E18" s="190"/>
      <c r="F18" s="190" t="s">
        <v>644</v>
      </c>
    </row>
    <row r="19" spans="2:6" ht="13.5">
      <c r="B19" s="189" t="s">
        <v>74</v>
      </c>
      <c r="C19" s="123" t="s">
        <v>586</v>
      </c>
      <c r="D19" s="190">
        <v>13</v>
      </c>
      <c r="E19" s="190"/>
      <c r="F19" s="190" t="s">
        <v>645</v>
      </c>
    </row>
    <row r="20" spans="2:6" ht="13.5">
      <c r="B20" s="189" t="s">
        <v>74</v>
      </c>
      <c r="C20" s="123" t="s">
        <v>587</v>
      </c>
      <c r="D20" s="190">
        <v>14</v>
      </c>
      <c r="E20" s="190"/>
      <c r="F20" s="190" t="s">
        <v>646</v>
      </c>
    </row>
    <row r="21" spans="2:6" ht="13.5">
      <c r="B21" s="189" t="s">
        <v>74</v>
      </c>
      <c r="C21" s="123" t="s">
        <v>588</v>
      </c>
      <c r="D21" s="190">
        <v>15</v>
      </c>
      <c r="E21" s="190"/>
      <c r="F21" s="190" t="s">
        <v>647</v>
      </c>
    </row>
    <row r="22" spans="2:6" ht="13.5">
      <c r="B22" s="189" t="s">
        <v>74</v>
      </c>
      <c r="C22" s="123" t="s">
        <v>589</v>
      </c>
      <c r="D22" s="190">
        <v>16</v>
      </c>
      <c r="E22" s="190"/>
      <c r="F22" s="190" t="s">
        <v>648</v>
      </c>
    </row>
    <row r="23" spans="2:6" ht="13.5">
      <c r="B23" s="189" t="s">
        <v>74</v>
      </c>
      <c r="C23" s="123" t="s">
        <v>590</v>
      </c>
      <c r="D23" s="190">
        <v>17</v>
      </c>
      <c r="E23" s="190"/>
      <c r="F23" s="190" t="s">
        <v>649</v>
      </c>
    </row>
    <row r="24" spans="2:6" ht="13.5">
      <c r="B24" s="189" t="s">
        <v>74</v>
      </c>
      <c r="C24" s="123" t="s">
        <v>591</v>
      </c>
      <c r="D24" s="190">
        <v>18</v>
      </c>
      <c r="E24" s="190"/>
      <c r="F24" s="190" t="s">
        <v>650</v>
      </c>
    </row>
    <row r="25" spans="2:6" ht="13.5">
      <c r="B25" s="189" t="s">
        <v>74</v>
      </c>
      <c r="C25" s="123" t="s">
        <v>592</v>
      </c>
      <c r="D25" s="190">
        <v>19</v>
      </c>
      <c r="E25" s="190"/>
      <c r="F25" s="190" t="s">
        <v>651</v>
      </c>
    </row>
    <row r="26" spans="2:6" ht="13.5">
      <c r="B26" s="189" t="s">
        <v>74</v>
      </c>
      <c r="C26" s="123" t="s">
        <v>593</v>
      </c>
      <c r="D26" s="190">
        <v>20</v>
      </c>
      <c r="E26" s="190"/>
      <c r="F26" s="190" t="s">
        <v>652</v>
      </c>
    </row>
    <row r="27" spans="2:6" ht="13.5">
      <c r="B27" s="189" t="s">
        <v>74</v>
      </c>
      <c r="C27" s="123" t="s">
        <v>594</v>
      </c>
      <c r="D27" s="190">
        <v>21</v>
      </c>
      <c r="E27" s="190"/>
      <c r="F27" s="190" t="s">
        <v>653</v>
      </c>
    </row>
    <row r="28" spans="2:6" ht="13.5">
      <c r="B28" s="189" t="s">
        <v>74</v>
      </c>
      <c r="C28" s="123" t="s">
        <v>595</v>
      </c>
      <c r="D28" s="190">
        <v>22</v>
      </c>
      <c r="E28" s="190"/>
      <c r="F28" s="190" t="s">
        <v>654</v>
      </c>
    </row>
    <row r="29" spans="2:6" ht="13.5">
      <c r="B29" s="189" t="s">
        <v>74</v>
      </c>
      <c r="C29" s="123" t="s">
        <v>596</v>
      </c>
      <c r="D29" s="190">
        <v>23</v>
      </c>
      <c r="E29" s="190"/>
      <c r="F29" s="190" t="s">
        <v>655</v>
      </c>
    </row>
    <row r="30" spans="2:6" ht="13.5">
      <c r="B30" s="189" t="s">
        <v>74</v>
      </c>
      <c r="C30" s="123" t="s">
        <v>597</v>
      </c>
      <c r="D30" s="190">
        <v>24</v>
      </c>
      <c r="E30" s="190"/>
      <c r="F30" s="190" t="s">
        <v>656</v>
      </c>
    </row>
    <row r="31" spans="2:6" ht="13.5">
      <c r="B31" s="189" t="s">
        <v>74</v>
      </c>
      <c r="C31" s="123" t="s">
        <v>598</v>
      </c>
      <c r="D31" s="190">
        <v>25</v>
      </c>
      <c r="E31" s="190"/>
      <c r="F31" s="190" t="s">
        <v>657</v>
      </c>
    </row>
    <row r="32" spans="2:6" ht="13.5">
      <c r="B32" s="189" t="s">
        <v>74</v>
      </c>
      <c r="C32" s="123" t="s">
        <v>599</v>
      </c>
      <c r="D32" s="190">
        <v>26</v>
      </c>
      <c r="E32" s="190"/>
      <c r="F32" s="190" t="s">
        <v>658</v>
      </c>
    </row>
    <row r="33" spans="2:6" ht="13.5">
      <c r="B33" s="189" t="s">
        <v>74</v>
      </c>
      <c r="C33" s="123" t="s">
        <v>600</v>
      </c>
      <c r="D33" s="190">
        <v>27</v>
      </c>
      <c r="E33" s="190"/>
      <c r="F33" s="190" t="s">
        <v>659</v>
      </c>
    </row>
    <row r="34" spans="2:6" ht="13.5">
      <c r="B34" s="189" t="s">
        <v>74</v>
      </c>
      <c r="C34" s="123" t="s">
        <v>601</v>
      </c>
      <c r="D34" s="190">
        <v>28</v>
      </c>
      <c r="E34" s="190"/>
      <c r="F34" s="190" t="s">
        <v>660</v>
      </c>
    </row>
    <row r="35" spans="2:6" ht="13.5">
      <c r="B35" s="189" t="s">
        <v>74</v>
      </c>
      <c r="C35" s="123" t="s">
        <v>602</v>
      </c>
      <c r="D35" s="190">
        <v>29</v>
      </c>
      <c r="E35" s="190"/>
      <c r="F35" s="190" t="s">
        <v>661</v>
      </c>
    </row>
    <row r="36" spans="2:6" ht="13.5">
      <c r="B36" s="189" t="s">
        <v>74</v>
      </c>
      <c r="C36" s="123" t="s">
        <v>603</v>
      </c>
      <c r="D36" s="190">
        <v>30</v>
      </c>
      <c r="E36" s="190"/>
      <c r="F36" s="190" t="s">
        <v>662</v>
      </c>
    </row>
    <row r="37" spans="2:6" ht="13.5">
      <c r="B37" s="189" t="s">
        <v>74</v>
      </c>
      <c r="C37" s="123" t="s">
        <v>604</v>
      </c>
      <c r="D37" s="190">
        <v>31</v>
      </c>
      <c r="E37" s="190"/>
      <c r="F37" s="190" t="s">
        <v>663</v>
      </c>
    </row>
    <row r="38" spans="2:6" ht="13.5">
      <c r="B38" s="189" t="s">
        <v>74</v>
      </c>
      <c r="C38" s="123" t="s">
        <v>605</v>
      </c>
      <c r="D38" s="190">
        <v>32</v>
      </c>
      <c r="E38" s="190"/>
      <c r="F38" s="190" t="s">
        <v>664</v>
      </c>
    </row>
    <row r="39" spans="2:6" ht="13.5">
      <c r="B39" s="189" t="s">
        <v>74</v>
      </c>
      <c r="C39" s="123" t="s">
        <v>606</v>
      </c>
      <c r="D39" s="190">
        <v>33</v>
      </c>
      <c r="E39" s="190"/>
      <c r="F39" s="190" t="s">
        <v>665</v>
      </c>
    </row>
    <row r="40" spans="2:6" ht="13.5">
      <c r="B40" s="189" t="s">
        <v>74</v>
      </c>
      <c r="C40" s="123" t="s">
        <v>607</v>
      </c>
      <c r="D40" s="190">
        <v>34</v>
      </c>
      <c r="E40" s="190"/>
      <c r="F40" s="190" t="s">
        <v>666</v>
      </c>
    </row>
    <row r="41" spans="2:6" ht="13.5">
      <c r="B41" s="189" t="s">
        <v>74</v>
      </c>
      <c r="C41" s="123" t="s">
        <v>608</v>
      </c>
      <c r="D41" s="190">
        <v>35</v>
      </c>
      <c r="E41" s="190"/>
      <c r="F41" s="190" t="s">
        <v>667</v>
      </c>
    </row>
    <row r="42" spans="2:6" ht="13.5">
      <c r="B42" s="189" t="s">
        <v>74</v>
      </c>
      <c r="C42" s="123" t="s">
        <v>609</v>
      </c>
      <c r="D42" s="190">
        <v>36</v>
      </c>
      <c r="E42" s="190"/>
      <c r="F42" s="190" t="s">
        <v>668</v>
      </c>
    </row>
    <row r="43" spans="2:6" ht="13.5">
      <c r="B43" s="189" t="s">
        <v>74</v>
      </c>
      <c r="C43" s="123" t="s">
        <v>610</v>
      </c>
      <c r="D43" s="190">
        <v>37</v>
      </c>
      <c r="E43" s="190"/>
      <c r="F43" s="190" t="s">
        <v>669</v>
      </c>
    </row>
    <row r="44" spans="2:6" ht="13.5">
      <c r="B44" s="189" t="s">
        <v>74</v>
      </c>
      <c r="C44" s="123" t="s">
        <v>611</v>
      </c>
      <c r="D44" s="190">
        <v>38</v>
      </c>
      <c r="E44" s="190"/>
      <c r="F44" s="190" t="s">
        <v>670</v>
      </c>
    </row>
    <row r="45" spans="2:6" ht="13.5">
      <c r="B45" s="189" t="s">
        <v>74</v>
      </c>
      <c r="C45" s="123" t="s">
        <v>612</v>
      </c>
      <c r="D45" s="190">
        <v>39</v>
      </c>
      <c r="E45" s="190"/>
      <c r="F45" s="190" t="s">
        <v>671</v>
      </c>
    </row>
    <row r="46" spans="2:6" ht="13.5">
      <c r="B46" s="189" t="s">
        <v>74</v>
      </c>
      <c r="C46" s="123" t="s">
        <v>613</v>
      </c>
      <c r="D46" s="190">
        <v>40</v>
      </c>
      <c r="E46" s="190"/>
      <c r="F46" s="190" t="s">
        <v>672</v>
      </c>
    </row>
    <row r="47" spans="2:6" ht="13.5">
      <c r="B47" s="189" t="s">
        <v>74</v>
      </c>
      <c r="C47" s="123" t="s">
        <v>614</v>
      </c>
      <c r="D47" s="190">
        <v>41</v>
      </c>
      <c r="E47" s="190"/>
      <c r="F47" s="190" t="s">
        <v>673</v>
      </c>
    </row>
    <row r="48" spans="2:6" ht="13.5">
      <c r="B48" s="189" t="s">
        <v>74</v>
      </c>
      <c r="C48" s="123" t="s">
        <v>615</v>
      </c>
      <c r="D48" s="190">
        <v>42</v>
      </c>
      <c r="E48" s="190"/>
      <c r="F48" s="190" t="s">
        <v>674</v>
      </c>
    </row>
    <row r="49" spans="2:6" ht="13.5">
      <c r="B49" s="189" t="s">
        <v>74</v>
      </c>
      <c r="C49" s="123" t="s">
        <v>616</v>
      </c>
      <c r="D49" s="190">
        <v>43</v>
      </c>
      <c r="E49" s="190"/>
      <c r="F49" s="190" t="s">
        <v>675</v>
      </c>
    </row>
    <row r="50" spans="2:6" ht="13.5">
      <c r="B50" s="189" t="s">
        <v>74</v>
      </c>
      <c r="C50" s="123" t="s">
        <v>617</v>
      </c>
      <c r="D50" s="190">
        <v>44</v>
      </c>
      <c r="E50" s="190"/>
      <c r="F50" s="190" t="s">
        <v>676</v>
      </c>
    </row>
    <row r="51" spans="2:6" ht="13.5">
      <c r="B51" s="189" t="s">
        <v>74</v>
      </c>
      <c r="C51" s="123" t="s">
        <v>618</v>
      </c>
      <c r="D51" s="190">
        <v>45</v>
      </c>
      <c r="E51" s="190"/>
      <c r="F51" s="190" t="s">
        <v>677</v>
      </c>
    </row>
    <row r="52" spans="2:6" ht="13.5">
      <c r="B52" s="189" t="s">
        <v>74</v>
      </c>
      <c r="C52" s="123" t="s">
        <v>619</v>
      </c>
      <c r="D52" s="190">
        <v>46</v>
      </c>
      <c r="E52" s="190"/>
      <c r="F52" s="190" t="s">
        <v>678</v>
      </c>
    </row>
    <row r="53" spans="2:6" ht="13.5">
      <c r="B53" s="189" t="s">
        <v>74</v>
      </c>
      <c r="C53" s="123" t="s">
        <v>620</v>
      </c>
      <c r="D53" s="190">
        <v>47</v>
      </c>
      <c r="E53" s="190"/>
      <c r="F53" s="190" t="s">
        <v>679</v>
      </c>
    </row>
    <row r="54" spans="2:6" ht="13.5">
      <c r="B54" s="189" t="s">
        <v>74</v>
      </c>
      <c r="C54" s="123" t="s">
        <v>621</v>
      </c>
      <c r="D54" s="190">
        <v>48</v>
      </c>
      <c r="E54" s="190"/>
      <c r="F54" s="190" t="s">
        <v>680</v>
      </c>
    </row>
    <row r="55" spans="2:6" ht="13.5">
      <c r="B55" s="189" t="s">
        <v>74</v>
      </c>
      <c r="C55" s="123" t="s">
        <v>622</v>
      </c>
      <c r="D55" s="190">
        <v>49</v>
      </c>
      <c r="E55" s="190"/>
      <c r="F55" s="190" t="s">
        <v>681</v>
      </c>
    </row>
    <row r="56" spans="2:6" ht="13.5">
      <c r="B56" s="189" t="s">
        <v>74</v>
      </c>
      <c r="C56" s="123" t="s">
        <v>623</v>
      </c>
      <c r="D56" s="190">
        <v>50</v>
      </c>
      <c r="E56" s="190"/>
      <c r="F56" s="190" t="s">
        <v>682</v>
      </c>
    </row>
    <row r="57" spans="2:6" ht="13.5">
      <c r="B57" s="189" t="s">
        <v>74</v>
      </c>
      <c r="C57" s="123" t="s">
        <v>624</v>
      </c>
      <c r="D57" s="190">
        <v>51</v>
      </c>
      <c r="E57" s="190"/>
      <c r="F57" s="190" t="s">
        <v>683</v>
      </c>
    </row>
    <row r="58" spans="2:6" ht="13.5">
      <c r="B58" s="189" t="s">
        <v>74</v>
      </c>
      <c r="C58" s="123" t="s">
        <v>625</v>
      </c>
      <c r="D58" s="190">
        <v>52</v>
      </c>
      <c r="E58" s="190"/>
      <c r="F58" s="190" t="s">
        <v>684</v>
      </c>
    </row>
    <row r="59" spans="2:6" ht="13.5">
      <c r="B59" s="189" t="s">
        <v>74</v>
      </c>
      <c r="C59" s="123" t="s">
        <v>626</v>
      </c>
      <c r="D59" s="190">
        <v>53</v>
      </c>
      <c r="E59" s="190"/>
      <c r="F59" s="190" t="s">
        <v>685</v>
      </c>
    </row>
    <row r="60" spans="2:6" ht="13.5">
      <c r="B60" s="189" t="s">
        <v>74</v>
      </c>
      <c r="C60" s="123" t="s">
        <v>627</v>
      </c>
      <c r="D60" s="190">
        <v>54</v>
      </c>
      <c r="E60" s="190"/>
      <c r="F60" s="190" t="s">
        <v>686</v>
      </c>
    </row>
    <row r="61" spans="2:6" ht="13.5">
      <c r="B61" s="189" t="s">
        <v>74</v>
      </c>
      <c r="C61" s="123" t="s">
        <v>628</v>
      </c>
      <c r="D61" s="190">
        <v>55</v>
      </c>
      <c r="E61" s="190"/>
      <c r="F61" s="190" t="s">
        <v>687</v>
      </c>
    </row>
    <row r="62" spans="2:6" ht="13.5">
      <c r="B62" s="189" t="s">
        <v>74</v>
      </c>
      <c r="C62" s="123" t="s">
        <v>629</v>
      </c>
      <c r="D62" s="190">
        <v>56</v>
      </c>
      <c r="E62" s="190"/>
      <c r="F62" s="190" t="s">
        <v>688</v>
      </c>
    </row>
    <row r="63" spans="2:6" ht="13.5">
      <c r="B63" s="189" t="s">
        <v>74</v>
      </c>
      <c r="C63" s="123" t="s">
        <v>630</v>
      </c>
      <c r="D63" s="190">
        <v>57</v>
      </c>
      <c r="E63" s="190"/>
      <c r="F63" s="190" t="s">
        <v>689</v>
      </c>
    </row>
    <row r="64" spans="2:6" ht="13.5">
      <c r="B64" s="189" t="s">
        <v>74</v>
      </c>
      <c r="C64" s="123" t="s">
        <v>631</v>
      </c>
      <c r="D64" s="190">
        <v>58</v>
      </c>
      <c r="E64" s="190"/>
      <c r="F64" s="190" t="s">
        <v>690</v>
      </c>
    </row>
    <row r="65" spans="2:7" ht="13.5">
      <c r="B65" s="189" t="s">
        <v>74</v>
      </c>
      <c r="C65" s="123" t="s">
        <v>632</v>
      </c>
      <c r="D65" s="190">
        <v>59</v>
      </c>
      <c r="E65" s="190"/>
      <c r="F65" s="190" t="s">
        <v>691</v>
      </c>
    </row>
    <row r="66" spans="2:7" ht="13.5">
      <c r="B66" s="189" t="s">
        <v>74</v>
      </c>
      <c r="C66" s="123" t="s">
        <v>633</v>
      </c>
      <c r="D66" s="190">
        <v>60</v>
      </c>
      <c r="E66" s="190"/>
      <c r="F66" s="190" t="s">
        <v>692</v>
      </c>
    </row>
    <row r="67" spans="2:7" ht="13.5">
      <c r="B67" s="189" t="s">
        <v>74</v>
      </c>
      <c r="C67" s="123" t="s">
        <v>634</v>
      </c>
      <c r="D67" s="190">
        <v>61</v>
      </c>
      <c r="E67" s="190"/>
      <c r="F67" s="190" t="s">
        <v>693</v>
      </c>
    </row>
    <row r="68" spans="2:7" ht="13.5">
      <c r="B68" s="189" t="s">
        <v>74</v>
      </c>
      <c r="C68" s="123" t="s">
        <v>635</v>
      </c>
      <c r="D68" s="190">
        <v>62</v>
      </c>
      <c r="E68" s="190"/>
      <c r="F68" s="190" t="s">
        <v>694</v>
      </c>
    </row>
    <row r="69" spans="2:7" ht="13.5">
      <c r="B69" s="189" t="s">
        <v>74</v>
      </c>
      <c r="C69" s="123" t="s">
        <v>636</v>
      </c>
      <c r="D69" s="190">
        <v>63</v>
      </c>
      <c r="E69" s="190"/>
      <c r="F69" s="190" t="s">
        <v>695</v>
      </c>
    </row>
    <row r="70" spans="2:7" ht="13.5">
      <c r="B70" s="189" t="s">
        <v>74</v>
      </c>
      <c r="C70" s="123" t="s">
        <v>637</v>
      </c>
      <c r="D70" s="190">
        <v>64</v>
      </c>
      <c r="E70" s="190"/>
      <c r="F70" s="190" t="s">
        <v>696</v>
      </c>
    </row>
    <row r="71" spans="2:7" ht="13.5">
      <c r="B71" s="189" t="s">
        <v>74</v>
      </c>
      <c r="C71" s="123" t="s">
        <v>638</v>
      </c>
      <c r="D71" s="190">
        <v>65</v>
      </c>
      <c r="E71" s="190"/>
      <c r="F71" s="190" t="s">
        <v>697</v>
      </c>
    </row>
    <row r="72" spans="2:7" ht="13.5">
      <c r="B72" s="189" t="s">
        <v>74</v>
      </c>
      <c r="C72" s="123" t="s">
        <v>639</v>
      </c>
      <c r="D72" s="190">
        <v>66</v>
      </c>
      <c r="E72" s="190"/>
      <c r="F72" s="190" t="s">
        <v>698</v>
      </c>
    </row>
    <row r="73" spans="2:7" ht="13.5">
      <c r="B73" s="101" t="s">
        <v>410</v>
      </c>
      <c r="C73" s="101" t="s">
        <v>411</v>
      </c>
      <c r="D73" s="122">
        <v>0</v>
      </c>
      <c r="E73" s="122" t="s">
        <v>131</v>
      </c>
      <c r="F73" s="122" t="s">
        <v>131</v>
      </c>
      <c r="G73"/>
    </row>
    <row r="74" spans="2:7" ht="13.5">
      <c r="B74" s="101" t="s">
        <v>410</v>
      </c>
      <c r="C74" s="101" t="s">
        <v>412</v>
      </c>
      <c r="D74" s="122">
        <v>1</v>
      </c>
      <c r="E74" s="122" t="s">
        <v>132</v>
      </c>
      <c r="F74" s="122" t="s">
        <v>132</v>
      </c>
      <c r="G74"/>
    </row>
    <row r="75" spans="2:7" ht="13.5">
      <c r="B75" s="101" t="s">
        <v>410</v>
      </c>
      <c r="C75" s="101" t="s">
        <v>413</v>
      </c>
      <c r="D75" s="122">
        <v>2</v>
      </c>
      <c r="E75" s="122" t="s">
        <v>133</v>
      </c>
      <c r="F75" s="122" t="s">
        <v>133</v>
      </c>
      <c r="G75"/>
    </row>
    <row r="76" spans="2:7" ht="13.5">
      <c r="B76" s="101" t="s">
        <v>410</v>
      </c>
      <c r="C76" s="101" t="s">
        <v>414</v>
      </c>
      <c r="D76" s="122">
        <v>3</v>
      </c>
      <c r="E76" s="122" t="s">
        <v>134</v>
      </c>
      <c r="F76" s="122" t="s">
        <v>134</v>
      </c>
      <c r="G76"/>
    </row>
    <row r="77" spans="2:7" ht="13.5">
      <c r="B77" s="101" t="s">
        <v>410</v>
      </c>
      <c r="C77" s="101" t="s">
        <v>415</v>
      </c>
      <c r="D77" s="122">
        <v>4</v>
      </c>
      <c r="E77" s="122" t="s">
        <v>135</v>
      </c>
      <c r="F77" s="122" t="s">
        <v>135</v>
      </c>
      <c r="G77"/>
    </row>
    <row r="78" spans="2:7" ht="13.5">
      <c r="B78" s="101" t="s">
        <v>410</v>
      </c>
      <c r="C78" s="101" t="s">
        <v>416</v>
      </c>
      <c r="D78" s="122">
        <v>5</v>
      </c>
      <c r="E78" s="122" t="s">
        <v>136</v>
      </c>
      <c r="F78" s="122" t="s">
        <v>136</v>
      </c>
      <c r="G78"/>
    </row>
    <row r="79" spans="2:7" ht="13.5">
      <c r="B79" s="101" t="s">
        <v>410</v>
      </c>
      <c r="C79" s="101" t="s">
        <v>417</v>
      </c>
      <c r="D79" s="122">
        <v>6</v>
      </c>
      <c r="E79" s="122" t="s">
        <v>137</v>
      </c>
      <c r="F79" s="122" t="s">
        <v>137</v>
      </c>
      <c r="G79"/>
    </row>
    <row r="80" spans="2:7" ht="13.5">
      <c r="B80" s="101" t="s">
        <v>410</v>
      </c>
      <c r="C80" s="101" t="s">
        <v>418</v>
      </c>
      <c r="D80" s="122">
        <v>7</v>
      </c>
      <c r="E80" s="122" t="s">
        <v>138</v>
      </c>
      <c r="F80" s="122" t="s">
        <v>138</v>
      </c>
      <c r="G80"/>
    </row>
    <row r="81" spans="2:7" ht="13.5">
      <c r="B81" s="101" t="s">
        <v>410</v>
      </c>
      <c r="C81" s="101" t="s">
        <v>419</v>
      </c>
      <c r="D81" s="122">
        <v>8</v>
      </c>
      <c r="E81" s="122" t="s">
        <v>139</v>
      </c>
      <c r="F81" s="122" t="s">
        <v>139</v>
      </c>
      <c r="G81"/>
    </row>
    <row r="82" spans="2:7" ht="13.5">
      <c r="B82" s="101" t="s">
        <v>410</v>
      </c>
      <c r="C82" s="101" t="s">
        <v>420</v>
      </c>
      <c r="D82" s="122">
        <v>9</v>
      </c>
      <c r="E82" s="122" t="s">
        <v>140</v>
      </c>
      <c r="F82" s="122" t="s">
        <v>140</v>
      </c>
      <c r="G82"/>
    </row>
    <row r="83" spans="2:7" ht="13.5">
      <c r="B83" s="101" t="s">
        <v>410</v>
      </c>
      <c r="C83" s="101" t="s">
        <v>421</v>
      </c>
      <c r="D83" s="122">
        <v>10</v>
      </c>
      <c r="E83" s="122" t="s">
        <v>141</v>
      </c>
      <c r="F83" s="122" t="s">
        <v>141</v>
      </c>
      <c r="G83"/>
    </row>
    <row r="84" spans="2:7" ht="13.5">
      <c r="B84" s="101" t="s">
        <v>410</v>
      </c>
      <c r="C84" s="101" t="s">
        <v>422</v>
      </c>
      <c r="D84" s="122">
        <v>11</v>
      </c>
      <c r="E84" s="122" t="s">
        <v>142</v>
      </c>
      <c r="F84" s="122" t="s">
        <v>142</v>
      </c>
      <c r="G84"/>
    </row>
    <row r="85" spans="2:7" ht="13.5">
      <c r="B85" s="101" t="s">
        <v>410</v>
      </c>
      <c r="C85" s="101" t="s">
        <v>423</v>
      </c>
      <c r="D85" s="122">
        <v>12</v>
      </c>
      <c r="E85" s="122" t="s">
        <v>143</v>
      </c>
      <c r="F85" s="122" t="s">
        <v>143</v>
      </c>
      <c r="G85"/>
    </row>
    <row r="86" spans="2:7" ht="13.5">
      <c r="B86" s="101" t="s">
        <v>410</v>
      </c>
      <c r="C86" s="101" t="s">
        <v>424</v>
      </c>
      <c r="D86" s="122">
        <v>13</v>
      </c>
      <c r="E86" s="122" t="s">
        <v>144</v>
      </c>
      <c r="F86" s="122" t="s">
        <v>144</v>
      </c>
      <c r="G86"/>
    </row>
    <row r="87" spans="2:7" ht="13.5">
      <c r="B87" s="101" t="s">
        <v>410</v>
      </c>
      <c r="C87" s="101" t="s">
        <v>425</v>
      </c>
      <c r="D87" s="122">
        <v>14</v>
      </c>
      <c r="E87" s="122" t="s">
        <v>145</v>
      </c>
      <c r="F87" s="122" t="s">
        <v>145</v>
      </c>
      <c r="G87"/>
    </row>
    <row r="88" spans="2:7" ht="13.5">
      <c r="B88" s="101" t="s">
        <v>410</v>
      </c>
      <c r="C88" s="101" t="s">
        <v>426</v>
      </c>
      <c r="D88" s="122">
        <v>15</v>
      </c>
      <c r="E88" s="122" t="s">
        <v>146</v>
      </c>
      <c r="F88" s="122" t="s">
        <v>146</v>
      </c>
      <c r="G88"/>
    </row>
    <row r="89" spans="2:7" ht="13.5">
      <c r="B89" s="101" t="s">
        <v>410</v>
      </c>
      <c r="C89" s="101" t="s">
        <v>427</v>
      </c>
      <c r="D89" s="122">
        <v>16</v>
      </c>
      <c r="E89" s="122" t="s">
        <v>147</v>
      </c>
      <c r="F89" s="122" t="s">
        <v>147</v>
      </c>
      <c r="G89"/>
    </row>
    <row r="90" spans="2:7" ht="13.5">
      <c r="B90" s="101" t="s">
        <v>410</v>
      </c>
      <c r="C90" s="101" t="s">
        <v>428</v>
      </c>
      <c r="D90" s="122">
        <v>17</v>
      </c>
      <c r="E90" s="122" t="s">
        <v>148</v>
      </c>
      <c r="F90" s="122" t="s">
        <v>148</v>
      </c>
      <c r="G90"/>
    </row>
    <row r="91" spans="2:7" ht="13.5">
      <c r="B91" s="101" t="s">
        <v>410</v>
      </c>
      <c r="C91" s="101" t="s">
        <v>429</v>
      </c>
      <c r="D91" s="122">
        <v>18</v>
      </c>
      <c r="E91" s="122" t="s">
        <v>149</v>
      </c>
      <c r="F91" s="122" t="s">
        <v>149</v>
      </c>
      <c r="G91"/>
    </row>
    <row r="92" spans="2:7" ht="13.5">
      <c r="B92" s="122" t="s">
        <v>90</v>
      </c>
      <c r="C92" s="101" t="s">
        <v>430</v>
      </c>
      <c r="D92" s="122">
        <v>0</v>
      </c>
      <c r="E92" s="122" t="s">
        <v>77</v>
      </c>
      <c r="F92" s="122" t="s">
        <v>431</v>
      </c>
      <c r="G92"/>
    </row>
    <row r="93" spans="2:7" ht="13.5">
      <c r="B93" s="122" t="s">
        <v>92</v>
      </c>
      <c r="C93" s="101" t="s">
        <v>432</v>
      </c>
      <c r="D93" s="122">
        <v>0</v>
      </c>
      <c r="E93" s="122" t="s">
        <v>150</v>
      </c>
      <c r="F93" s="122" t="s">
        <v>433</v>
      </c>
      <c r="G93"/>
    </row>
    <row r="94" spans="2:7" ht="13.5">
      <c r="B94" s="122" t="s">
        <v>92</v>
      </c>
      <c r="C94" s="101" t="s">
        <v>419</v>
      </c>
      <c r="D94" s="122">
        <v>1</v>
      </c>
      <c r="E94" s="122" t="s">
        <v>151</v>
      </c>
      <c r="F94" s="122" t="s">
        <v>434</v>
      </c>
      <c r="G94"/>
    </row>
    <row r="95" spans="2:7" ht="13.5">
      <c r="B95" s="122" t="s">
        <v>92</v>
      </c>
      <c r="C95" s="101" t="s">
        <v>435</v>
      </c>
      <c r="D95" s="122">
        <v>2</v>
      </c>
      <c r="E95" s="122" t="s">
        <v>152</v>
      </c>
      <c r="F95" s="122" t="s">
        <v>436</v>
      </c>
      <c r="G95"/>
    </row>
    <row r="96" spans="2:7" ht="13.5">
      <c r="B96" s="122" t="s">
        <v>92</v>
      </c>
      <c r="C96" s="101" t="s">
        <v>437</v>
      </c>
      <c r="D96" s="122">
        <v>3</v>
      </c>
      <c r="E96" s="122" t="s">
        <v>153</v>
      </c>
      <c r="F96" s="122" t="s">
        <v>438</v>
      </c>
      <c r="G96"/>
    </row>
    <row r="97" spans="2:7" ht="13.5">
      <c r="B97" s="122" t="s">
        <v>92</v>
      </c>
      <c r="C97" s="101" t="s">
        <v>439</v>
      </c>
      <c r="D97" s="122">
        <v>4</v>
      </c>
      <c r="E97" s="122" t="s">
        <v>154</v>
      </c>
      <c r="F97" s="122" t="s">
        <v>440</v>
      </c>
      <c r="G97"/>
    </row>
    <row r="98" spans="2:7" ht="13.5">
      <c r="B98" s="122" t="s">
        <v>94</v>
      </c>
      <c r="C98" s="101" t="s">
        <v>441</v>
      </c>
      <c r="D98" s="122">
        <v>0</v>
      </c>
      <c r="E98" s="122" t="s">
        <v>155</v>
      </c>
      <c r="F98" s="122" t="s">
        <v>442</v>
      </c>
      <c r="G98"/>
    </row>
    <row r="99" spans="2:7" ht="13.5">
      <c r="B99" s="122" t="s">
        <v>94</v>
      </c>
      <c r="C99" s="101" t="s">
        <v>443</v>
      </c>
      <c r="D99" s="122">
        <v>1</v>
      </c>
      <c r="E99" s="122" t="s">
        <v>156</v>
      </c>
      <c r="F99" s="122" t="s">
        <v>444</v>
      </c>
      <c r="G99"/>
    </row>
    <row r="100" spans="2:7" ht="13.5">
      <c r="B100" s="122" t="s">
        <v>94</v>
      </c>
      <c r="C100" s="101" t="s">
        <v>699</v>
      </c>
      <c r="D100" s="122">
        <v>2</v>
      </c>
      <c r="E100" s="122" t="s">
        <v>157</v>
      </c>
      <c r="F100" s="122" t="s">
        <v>445</v>
      </c>
      <c r="G100"/>
    </row>
    <row r="101" spans="2:7" ht="13.5">
      <c r="B101" s="122" t="s">
        <v>94</v>
      </c>
      <c r="C101" s="101" t="s">
        <v>446</v>
      </c>
      <c r="D101" s="122">
        <v>3</v>
      </c>
      <c r="E101" s="122" t="s">
        <v>158</v>
      </c>
      <c r="F101" s="122" t="s">
        <v>447</v>
      </c>
      <c r="G101"/>
    </row>
    <row r="102" spans="2:7" ht="13.5">
      <c r="B102" s="122" t="s">
        <v>94</v>
      </c>
      <c r="C102" s="101" t="s">
        <v>448</v>
      </c>
      <c r="D102" s="122">
        <v>4</v>
      </c>
      <c r="E102" s="122" t="s">
        <v>159</v>
      </c>
      <c r="F102" s="122" t="s">
        <v>449</v>
      </c>
      <c r="G102"/>
    </row>
    <row r="103" spans="2:7" ht="13.5">
      <c r="B103" s="122" t="s">
        <v>94</v>
      </c>
      <c r="C103" s="101" t="s">
        <v>450</v>
      </c>
      <c r="D103" s="122">
        <v>5</v>
      </c>
      <c r="E103" s="122" t="s">
        <v>160</v>
      </c>
      <c r="F103" s="122" t="s">
        <v>451</v>
      </c>
      <c r="G103"/>
    </row>
    <row r="104" spans="2:7" ht="13.5">
      <c r="B104" s="122" t="s">
        <v>94</v>
      </c>
      <c r="C104" s="101" t="s">
        <v>452</v>
      </c>
      <c r="D104" s="122">
        <v>6</v>
      </c>
      <c r="E104" s="122" t="s">
        <v>161</v>
      </c>
      <c r="F104" s="122" t="s">
        <v>453</v>
      </c>
      <c r="G104"/>
    </row>
    <row r="105" spans="2:7" ht="13.5">
      <c r="B105" s="122" t="s">
        <v>94</v>
      </c>
      <c r="C105" s="101" t="s">
        <v>454</v>
      </c>
      <c r="D105" s="122">
        <v>7</v>
      </c>
      <c r="E105" s="122" t="s">
        <v>162</v>
      </c>
      <c r="F105" s="122" t="s">
        <v>455</v>
      </c>
      <c r="G105"/>
    </row>
    <row r="106" spans="2:7" ht="13.5">
      <c r="B106" s="122" t="s">
        <v>94</v>
      </c>
      <c r="C106" s="101" t="s">
        <v>456</v>
      </c>
      <c r="D106" s="122">
        <v>8</v>
      </c>
      <c r="E106" s="122" t="s">
        <v>163</v>
      </c>
      <c r="F106" s="122" t="s">
        <v>457</v>
      </c>
      <c r="G106"/>
    </row>
    <row r="107" spans="2:7" ht="13.5">
      <c r="B107" s="122" t="s">
        <v>94</v>
      </c>
      <c r="C107" s="101" t="s">
        <v>458</v>
      </c>
      <c r="D107" s="122">
        <v>9</v>
      </c>
      <c r="E107" s="122" t="s">
        <v>164</v>
      </c>
      <c r="F107" s="122" t="s">
        <v>459</v>
      </c>
      <c r="G107"/>
    </row>
    <row r="108" spans="2:7" ht="13.5">
      <c r="B108" s="122" t="s">
        <v>94</v>
      </c>
      <c r="C108" s="101" t="s">
        <v>460</v>
      </c>
      <c r="D108" s="122">
        <v>10</v>
      </c>
      <c r="E108" s="122" t="s">
        <v>165</v>
      </c>
      <c r="F108" s="122" t="s">
        <v>461</v>
      </c>
      <c r="G108"/>
    </row>
    <row r="109" spans="2:7" ht="13.5">
      <c r="B109" s="122" t="s">
        <v>94</v>
      </c>
      <c r="C109" s="101" t="s">
        <v>462</v>
      </c>
      <c r="D109" s="122">
        <v>11</v>
      </c>
      <c r="E109" s="122" t="s">
        <v>166</v>
      </c>
      <c r="F109" s="122" t="s">
        <v>700</v>
      </c>
      <c r="G109"/>
    </row>
    <row r="110" spans="2:7" ht="13.5">
      <c r="B110" s="122" t="s">
        <v>73</v>
      </c>
      <c r="C110" s="101" t="s">
        <v>463</v>
      </c>
      <c r="D110" s="122">
        <v>0</v>
      </c>
      <c r="E110" s="122" t="s">
        <v>167</v>
      </c>
      <c r="F110" s="122" t="s">
        <v>167</v>
      </c>
      <c r="G110"/>
    </row>
    <row r="111" spans="2:7" ht="13.5">
      <c r="B111" s="122" t="s">
        <v>73</v>
      </c>
      <c r="C111" s="101" t="s">
        <v>464</v>
      </c>
      <c r="D111" s="122">
        <v>1</v>
      </c>
      <c r="E111" s="122" t="s">
        <v>168</v>
      </c>
      <c r="F111" s="122" t="s">
        <v>168</v>
      </c>
      <c r="G111"/>
    </row>
    <row r="112" spans="2:7" ht="13.5">
      <c r="B112" s="122" t="s">
        <v>73</v>
      </c>
      <c r="C112" s="101" t="s">
        <v>465</v>
      </c>
      <c r="D112" s="122">
        <v>2</v>
      </c>
      <c r="E112" s="122" t="s">
        <v>169</v>
      </c>
      <c r="F112" s="122" t="s">
        <v>169</v>
      </c>
      <c r="G112"/>
    </row>
    <row r="113" spans="2:7" ht="13.5">
      <c r="B113" s="122" t="s">
        <v>73</v>
      </c>
      <c r="C113" s="101" t="s">
        <v>466</v>
      </c>
      <c r="D113" s="122">
        <v>3</v>
      </c>
      <c r="E113" s="122" t="s">
        <v>170</v>
      </c>
      <c r="F113" s="122" t="s">
        <v>170</v>
      </c>
      <c r="G113"/>
    </row>
    <row r="114" spans="2:7" ht="13.5">
      <c r="B114" s="122" t="s">
        <v>73</v>
      </c>
      <c r="C114" s="101" t="s">
        <v>467</v>
      </c>
      <c r="D114" s="122">
        <v>4</v>
      </c>
      <c r="E114" s="122" t="s">
        <v>171</v>
      </c>
      <c r="F114" s="122" t="s">
        <v>171</v>
      </c>
      <c r="G114"/>
    </row>
    <row r="115" spans="2:7" ht="13.5">
      <c r="B115" s="122" t="s">
        <v>73</v>
      </c>
      <c r="C115" s="101" t="s">
        <v>468</v>
      </c>
      <c r="D115" s="122">
        <v>5</v>
      </c>
      <c r="E115" s="122" t="s">
        <v>172</v>
      </c>
      <c r="F115" s="122" t="s">
        <v>172</v>
      </c>
      <c r="G115"/>
    </row>
    <row r="116" spans="2:7" ht="13.5">
      <c r="B116" s="122" t="s">
        <v>73</v>
      </c>
      <c r="C116" s="101" t="s">
        <v>469</v>
      </c>
      <c r="D116" s="122">
        <v>6</v>
      </c>
      <c r="E116" s="122" t="s">
        <v>173</v>
      </c>
      <c r="F116" s="122" t="s">
        <v>172</v>
      </c>
      <c r="G116"/>
    </row>
    <row r="117" spans="2:7" ht="13.5">
      <c r="B117" s="122" t="s">
        <v>60</v>
      </c>
      <c r="C117" s="101" t="s">
        <v>470</v>
      </c>
      <c r="D117" s="122">
        <v>0</v>
      </c>
      <c r="E117" s="101" t="s">
        <v>470</v>
      </c>
      <c r="F117" s="122" t="s">
        <v>471</v>
      </c>
      <c r="G117"/>
    </row>
    <row r="118" spans="2:7" ht="13.5">
      <c r="B118" s="122" t="s">
        <v>60</v>
      </c>
      <c r="C118" s="101" t="s">
        <v>472</v>
      </c>
      <c r="D118" s="122">
        <v>1</v>
      </c>
      <c r="E118" s="101" t="s">
        <v>472</v>
      </c>
      <c r="F118" s="122" t="s">
        <v>473</v>
      </c>
      <c r="G118"/>
    </row>
    <row r="119" spans="2:7" ht="13.5">
      <c r="B119" s="122" t="s">
        <v>60</v>
      </c>
      <c r="C119" s="101" t="s">
        <v>474</v>
      </c>
      <c r="D119" s="122">
        <v>2</v>
      </c>
      <c r="E119" s="101" t="s">
        <v>474</v>
      </c>
      <c r="F119" s="122" t="s">
        <v>475</v>
      </c>
      <c r="G119"/>
    </row>
    <row r="120" spans="2:7" ht="13.5">
      <c r="B120" s="122" t="s">
        <v>60</v>
      </c>
      <c r="C120" s="101" t="s">
        <v>476</v>
      </c>
      <c r="D120" s="122">
        <v>3</v>
      </c>
      <c r="E120" s="101" t="s">
        <v>476</v>
      </c>
      <c r="F120" s="122" t="s">
        <v>477</v>
      </c>
      <c r="G120"/>
    </row>
    <row r="121" spans="2:7" ht="13.5">
      <c r="B121" s="122" t="s">
        <v>60</v>
      </c>
      <c r="C121" s="101" t="s">
        <v>478</v>
      </c>
      <c r="D121" s="122">
        <v>4</v>
      </c>
      <c r="E121" s="101" t="s">
        <v>478</v>
      </c>
      <c r="F121" s="122" t="s">
        <v>479</v>
      </c>
      <c r="G121"/>
    </row>
    <row r="122" spans="2:7" ht="13.5">
      <c r="B122" s="122" t="s">
        <v>110</v>
      </c>
      <c r="C122" s="175" t="s">
        <v>480</v>
      </c>
      <c r="D122" s="122">
        <v>0</v>
      </c>
      <c r="E122" s="175" t="b">
        <v>0</v>
      </c>
      <c r="F122" s="175" t="s">
        <v>481</v>
      </c>
      <c r="G122"/>
    </row>
    <row r="123" spans="2:7" ht="13.5">
      <c r="B123" s="122" t="s">
        <v>110</v>
      </c>
      <c r="C123" s="175" t="s">
        <v>482</v>
      </c>
      <c r="D123" s="122">
        <v>1</v>
      </c>
      <c r="E123" s="175" t="b">
        <v>1</v>
      </c>
      <c r="F123" s="175" t="s">
        <v>483</v>
      </c>
      <c r="G123"/>
    </row>
    <row r="124" spans="2:7" ht="13.5">
      <c r="B124" s="122" t="s">
        <v>111</v>
      </c>
      <c r="C124" s="101" t="s">
        <v>484</v>
      </c>
      <c r="D124" s="122">
        <v>0</v>
      </c>
      <c r="E124" s="122" t="s">
        <v>174</v>
      </c>
      <c r="F124" s="122" t="s">
        <v>485</v>
      </c>
      <c r="G124"/>
    </row>
    <row r="125" spans="2:7" ht="13.5">
      <c r="B125" s="122" t="s">
        <v>111</v>
      </c>
      <c r="C125" s="101" t="s">
        <v>486</v>
      </c>
      <c r="D125" s="122">
        <v>1</v>
      </c>
      <c r="E125" s="122" t="s">
        <v>175</v>
      </c>
      <c r="F125" s="122" t="s">
        <v>487</v>
      </c>
      <c r="G125"/>
    </row>
    <row r="126" spans="2:7" ht="13.5">
      <c r="B126" s="122" t="s">
        <v>112</v>
      </c>
      <c r="C126" s="101" t="s">
        <v>419</v>
      </c>
      <c r="D126" s="122">
        <v>0</v>
      </c>
      <c r="E126" s="122" t="s">
        <v>151</v>
      </c>
      <c r="F126" s="122" t="s">
        <v>434</v>
      </c>
      <c r="G126"/>
    </row>
    <row r="127" spans="2:7" ht="13.5">
      <c r="B127" s="122" t="s">
        <v>112</v>
      </c>
      <c r="C127" s="101" t="s">
        <v>435</v>
      </c>
      <c r="D127" s="122">
        <v>1</v>
      </c>
      <c r="E127" s="122" t="s">
        <v>176</v>
      </c>
      <c r="F127" s="122" t="s">
        <v>436</v>
      </c>
      <c r="G127"/>
    </row>
    <row r="128" spans="2:7" ht="13.5">
      <c r="B128" s="122" t="s">
        <v>113</v>
      </c>
      <c r="C128" s="101" t="s">
        <v>465</v>
      </c>
      <c r="D128" s="122">
        <v>0</v>
      </c>
      <c r="E128" s="122" t="s">
        <v>177</v>
      </c>
      <c r="F128" s="122" t="s">
        <v>488</v>
      </c>
      <c r="G128"/>
    </row>
    <row r="129" spans="2:7" ht="13.5">
      <c r="B129" s="122" t="s">
        <v>113</v>
      </c>
      <c r="C129" s="101" t="s">
        <v>489</v>
      </c>
      <c r="D129" s="122">
        <v>1</v>
      </c>
      <c r="E129" s="122" t="s">
        <v>178</v>
      </c>
      <c r="F129" s="122" t="s">
        <v>490</v>
      </c>
      <c r="G129"/>
    </row>
    <row r="130" spans="2:7" ht="13.5">
      <c r="B130" s="122" t="s">
        <v>114</v>
      </c>
      <c r="C130" s="101" t="s">
        <v>402</v>
      </c>
      <c r="D130" s="122">
        <v>0</v>
      </c>
      <c r="E130" s="101" t="s">
        <v>491</v>
      </c>
      <c r="F130" s="122" t="s">
        <v>492</v>
      </c>
      <c r="G130"/>
    </row>
    <row r="131" spans="2:7" ht="13.5">
      <c r="B131" s="122" t="s">
        <v>114</v>
      </c>
      <c r="C131" s="101" t="s">
        <v>493</v>
      </c>
      <c r="D131" s="122">
        <v>1</v>
      </c>
      <c r="E131" s="122" t="s">
        <v>179</v>
      </c>
      <c r="F131" s="122" t="s">
        <v>494</v>
      </c>
      <c r="G131"/>
    </row>
    <row r="132" spans="2:7" ht="13.5">
      <c r="B132" s="122" t="s">
        <v>115</v>
      </c>
      <c r="C132" s="122" t="s">
        <v>180</v>
      </c>
      <c r="D132" s="122">
        <v>0</v>
      </c>
      <c r="E132" s="101" t="s">
        <v>11</v>
      </c>
      <c r="F132" s="122" t="s">
        <v>495</v>
      </c>
    </row>
    <row r="133" spans="2:7" ht="13.5">
      <c r="B133" s="122" t="s">
        <v>115</v>
      </c>
      <c r="C133" s="122" t="s">
        <v>181</v>
      </c>
      <c r="D133" s="122">
        <v>1</v>
      </c>
      <c r="E133" s="101" t="s">
        <v>496</v>
      </c>
      <c r="F133" s="122" t="s">
        <v>447</v>
      </c>
    </row>
    <row r="134" spans="2:7" ht="13.5">
      <c r="B134" s="122" t="s">
        <v>115</v>
      </c>
      <c r="C134" s="122" t="s">
        <v>182</v>
      </c>
      <c r="D134" s="122">
        <v>2</v>
      </c>
      <c r="E134" s="101" t="s">
        <v>497</v>
      </c>
      <c r="F134" s="122" t="s">
        <v>442</v>
      </c>
    </row>
    <row r="135" spans="2:7" ht="13.5">
      <c r="B135" s="122" t="s">
        <v>116</v>
      </c>
      <c r="C135" s="176" t="s">
        <v>498</v>
      </c>
      <c r="D135" s="122">
        <v>0</v>
      </c>
      <c r="E135" s="101" t="s">
        <v>499</v>
      </c>
      <c r="F135" s="122" t="s">
        <v>183</v>
      </c>
    </row>
    <row r="136" spans="2:7" ht="13.5">
      <c r="B136" s="122" t="s">
        <v>116</v>
      </c>
      <c r="C136" s="176" t="s">
        <v>500</v>
      </c>
      <c r="D136" s="122">
        <v>1</v>
      </c>
      <c r="E136" s="122" t="s">
        <v>184</v>
      </c>
      <c r="F136" s="122" t="s">
        <v>184</v>
      </c>
    </row>
    <row r="137" spans="2:7" ht="13.5">
      <c r="B137" s="122" t="s">
        <v>116</v>
      </c>
      <c r="C137" s="176" t="s">
        <v>501</v>
      </c>
      <c r="D137" s="122">
        <v>2</v>
      </c>
      <c r="E137" s="122" t="s">
        <v>185</v>
      </c>
      <c r="F137" s="122" t="s">
        <v>185</v>
      </c>
    </row>
    <row r="138" spans="2:7" ht="13.5">
      <c r="B138" s="122" t="s">
        <v>116</v>
      </c>
      <c r="C138" s="176" t="s">
        <v>502</v>
      </c>
      <c r="D138" s="122">
        <v>3</v>
      </c>
      <c r="E138" s="122" t="s">
        <v>186</v>
      </c>
      <c r="F138" s="122" t="s">
        <v>186</v>
      </c>
    </row>
    <row r="139" spans="2:7" ht="13.5">
      <c r="B139" s="122" t="s">
        <v>116</v>
      </c>
      <c r="C139" s="176" t="s">
        <v>503</v>
      </c>
      <c r="D139" s="122">
        <v>4</v>
      </c>
      <c r="E139" s="122" t="s">
        <v>187</v>
      </c>
      <c r="F139" s="122" t="s">
        <v>187</v>
      </c>
    </row>
    <row r="140" spans="2:7" ht="13.5">
      <c r="B140" s="122" t="s">
        <v>116</v>
      </c>
      <c r="C140" s="176" t="s">
        <v>504</v>
      </c>
      <c r="D140" s="122">
        <v>5</v>
      </c>
      <c r="E140" s="122" t="s">
        <v>188</v>
      </c>
      <c r="F140" s="122" t="s">
        <v>188</v>
      </c>
    </row>
    <row r="141" spans="2:7" ht="13.5">
      <c r="B141" s="122" t="s">
        <v>116</v>
      </c>
      <c r="C141" s="176" t="s">
        <v>505</v>
      </c>
      <c r="D141" s="122">
        <v>6</v>
      </c>
      <c r="E141" s="122" t="s">
        <v>189</v>
      </c>
      <c r="F141" s="122" t="s">
        <v>189</v>
      </c>
    </row>
    <row r="142" spans="2:7" ht="13.5">
      <c r="B142" s="122" t="s">
        <v>117</v>
      </c>
      <c r="C142" s="101" t="s">
        <v>506</v>
      </c>
      <c r="D142" s="122">
        <v>0</v>
      </c>
      <c r="E142" s="122" t="s">
        <v>190</v>
      </c>
      <c r="F142" s="122" t="s">
        <v>190</v>
      </c>
    </row>
    <row r="143" spans="2:7" ht="13.5">
      <c r="B143" s="122" t="s">
        <v>117</v>
      </c>
      <c r="C143" s="101" t="s">
        <v>465</v>
      </c>
      <c r="D143" s="122">
        <v>1</v>
      </c>
      <c r="E143" s="122" t="s">
        <v>191</v>
      </c>
      <c r="F143" s="122" t="s">
        <v>191</v>
      </c>
    </row>
    <row r="144" spans="2:7" ht="13.5">
      <c r="B144" s="122" t="s">
        <v>118</v>
      </c>
      <c r="C144" s="101" t="s">
        <v>507</v>
      </c>
      <c r="D144" s="122">
        <v>0</v>
      </c>
      <c r="E144" s="122" t="s">
        <v>192</v>
      </c>
      <c r="F144" s="122" t="s">
        <v>508</v>
      </c>
    </row>
    <row r="145" spans="2:6" ht="13.5">
      <c r="B145" s="122" t="s">
        <v>118</v>
      </c>
      <c r="C145" s="101" t="s">
        <v>509</v>
      </c>
      <c r="D145" s="122">
        <v>1</v>
      </c>
      <c r="E145" s="122" t="s">
        <v>193</v>
      </c>
      <c r="F145" s="122" t="s">
        <v>510</v>
      </c>
    </row>
    <row r="146" spans="2:6" ht="13.5">
      <c r="B146" s="122" t="s">
        <v>119</v>
      </c>
      <c r="C146" s="101" t="s">
        <v>511</v>
      </c>
      <c r="D146" s="122">
        <v>0</v>
      </c>
      <c r="E146" s="122" t="s">
        <v>194</v>
      </c>
      <c r="F146" s="122" t="s">
        <v>512</v>
      </c>
    </row>
    <row r="147" spans="2:6" ht="13.5">
      <c r="B147" s="122" t="s">
        <v>119</v>
      </c>
      <c r="C147" s="101" t="s">
        <v>513</v>
      </c>
      <c r="D147" s="122">
        <v>1</v>
      </c>
      <c r="E147" s="122" t="s">
        <v>195</v>
      </c>
      <c r="F147" s="122" t="s">
        <v>514</v>
      </c>
    </row>
    <row r="148" spans="2:6" ht="13.5">
      <c r="B148" s="122" t="s">
        <v>120</v>
      </c>
      <c r="C148" s="101" t="s">
        <v>515</v>
      </c>
      <c r="D148" s="122">
        <v>0</v>
      </c>
      <c r="E148" s="122" t="s">
        <v>196</v>
      </c>
      <c r="F148" s="122" t="s">
        <v>516</v>
      </c>
    </row>
    <row r="149" spans="2:6" ht="13.5">
      <c r="B149" s="122" t="s">
        <v>120</v>
      </c>
      <c r="C149" s="101" t="s">
        <v>517</v>
      </c>
      <c r="D149" s="122">
        <v>1</v>
      </c>
      <c r="E149" s="122" t="s">
        <v>197</v>
      </c>
      <c r="F149" s="122" t="s">
        <v>518</v>
      </c>
    </row>
    <row r="150" spans="2:6" ht="13.5">
      <c r="B150" s="122" t="s">
        <v>121</v>
      </c>
      <c r="C150" s="101" t="s">
        <v>519</v>
      </c>
      <c r="D150" s="122">
        <v>0</v>
      </c>
      <c r="E150" s="122" t="s">
        <v>198</v>
      </c>
      <c r="F150" s="122" t="s">
        <v>198</v>
      </c>
    </row>
    <row r="151" spans="2:6" ht="13.5">
      <c r="B151" s="122" t="s">
        <v>121</v>
      </c>
      <c r="C151" s="101" t="s">
        <v>520</v>
      </c>
      <c r="D151" s="122">
        <v>1</v>
      </c>
      <c r="E151" s="122" t="s">
        <v>199</v>
      </c>
      <c r="F151" s="122" t="s">
        <v>199</v>
      </c>
    </row>
    <row r="152" spans="2:6" ht="13.5">
      <c r="B152" s="122" t="s">
        <v>121</v>
      </c>
      <c r="C152" s="101" t="s">
        <v>521</v>
      </c>
      <c r="D152" s="122">
        <v>2</v>
      </c>
      <c r="E152" s="122" t="s">
        <v>200</v>
      </c>
      <c r="F152" s="122" t="s">
        <v>200</v>
      </c>
    </row>
    <row r="153" spans="2:6" ht="13.5">
      <c r="B153" s="122" t="s">
        <v>121</v>
      </c>
      <c r="C153" s="101" t="s">
        <v>522</v>
      </c>
      <c r="D153" s="122">
        <v>3</v>
      </c>
      <c r="E153" s="122" t="s">
        <v>201</v>
      </c>
      <c r="F153" s="122" t="s">
        <v>201</v>
      </c>
    </row>
    <row r="154" spans="2:6" ht="13.5">
      <c r="B154" s="122" t="s">
        <v>121</v>
      </c>
      <c r="C154" s="101" t="s">
        <v>523</v>
      </c>
      <c r="D154" s="122">
        <v>4</v>
      </c>
      <c r="E154" s="122" t="s">
        <v>202</v>
      </c>
      <c r="F154" s="122" t="s">
        <v>202</v>
      </c>
    </row>
    <row r="155" spans="2:6" ht="13.5">
      <c r="B155" s="122" t="s">
        <v>122</v>
      </c>
      <c r="C155" s="101" t="s">
        <v>524</v>
      </c>
      <c r="D155" s="122">
        <v>0</v>
      </c>
      <c r="E155" s="122" t="s">
        <v>203</v>
      </c>
      <c r="F155" s="122" t="s">
        <v>203</v>
      </c>
    </row>
    <row r="156" spans="2:6" ht="13.5">
      <c r="B156" s="122" t="s">
        <v>122</v>
      </c>
      <c r="C156" s="101" t="s">
        <v>525</v>
      </c>
      <c r="D156" s="122">
        <v>1</v>
      </c>
      <c r="E156" s="122" t="s">
        <v>204</v>
      </c>
      <c r="F156" s="122" t="s">
        <v>204</v>
      </c>
    </row>
    <row r="157" spans="2:6" ht="13.5">
      <c r="B157" s="122" t="s">
        <v>122</v>
      </c>
      <c r="C157" s="101" t="s">
        <v>526</v>
      </c>
      <c r="D157" s="122">
        <v>2</v>
      </c>
      <c r="E157" s="122" t="s">
        <v>205</v>
      </c>
      <c r="F157" s="122" t="s">
        <v>205</v>
      </c>
    </row>
    <row r="158" spans="2:6" ht="13.5">
      <c r="B158" s="122" t="s">
        <v>122</v>
      </c>
      <c r="C158" s="101" t="s">
        <v>527</v>
      </c>
      <c r="D158" s="122">
        <v>3</v>
      </c>
      <c r="E158" s="122" t="s">
        <v>206</v>
      </c>
      <c r="F158" s="122" t="s">
        <v>206</v>
      </c>
    </row>
    <row r="159" spans="2:6" ht="13.5">
      <c r="B159" s="122" t="s">
        <v>122</v>
      </c>
      <c r="C159" s="101" t="s">
        <v>528</v>
      </c>
      <c r="D159" s="122">
        <v>4</v>
      </c>
      <c r="E159" s="122" t="s">
        <v>207</v>
      </c>
      <c r="F159" s="122" t="s">
        <v>207</v>
      </c>
    </row>
    <row r="160" spans="2:6" ht="13.5">
      <c r="B160" s="122" t="s">
        <v>122</v>
      </c>
      <c r="C160" s="101" t="s">
        <v>529</v>
      </c>
      <c r="D160" s="122">
        <v>5</v>
      </c>
      <c r="E160" s="122" t="s">
        <v>208</v>
      </c>
      <c r="F160" s="122" t="s">
        <v>208</v>
      </c>
    </row>
    <row r="161" spans="2:6" ht="13.5">
      <c r="B161" s="122" t="s">
        <v>122</v>
      </c>
      <c r="C161" s="101" t="s">
        <v>530</v>
      </c>
      <c r="D161" s="122">
        <v>6</v>
      </c>
      <c r="E161" s="122" t="s">
        <v>209</v>
      </c>
      <c r="F161" s="122" t="s">
        <v>209</v>
      </c>
    </row>
    <row r="162" spans="2:6" ht="13.5">
      <c r="B162" s="122" t="s">
        <v>72</v>
      </c>
      <c r="C162" s="101" t="s">
        <v>531</v>
      </c>
      <c r="D162" s="122">
        <v>0</v>
      </c>
      <c r="E162" s="122" t="s">
        <v>96</v>
      </c>
      <c r="F162" s="122" t="s">
        <v>532</v>
      </c>
    </row>
    <row r="163" spans="2:6" ht="13.5">
      <c r="B163" s="122" t="s">
        <v>72</v>
      </c>
      <c r="C163" s="101" t="s">
        <v>533</v>
      </c>
      <c r="D163" s="122">
        <v>0</v>
      </c>
      <c r="E163" s="122" t="s">
        <v>97</v>
      </c>
      <c r="F163" s="122" t="s">
        <v>534</v>
      </c>
    </row>
    <row r="164" spans="2:6" ht="13.5">
      <c r="B164" s="122" t="s">
        <v>72</v>
      </c>
      <c r="C164" s="101" t="s">
        <v>535</v>
      </c>
      <c r="D164" s="122">
        <v>1</v>
      </c>
      <c r="E164" s="122" t="s">
        <v>98</v>
      </c>
      <c r="F164" s="122" t="s">
        <v>536</v>
      </c>
    </row>
    <row r="165" spans="2:6" ht="13.5">
      <c r="B165" s="122" t="s">
        <v>72</v>
      </c>
      <c r="C165" s="101" t="s">
        <v>537</v>
      </c>
      <c r="D165" s="122">
        <v>2</v>
      </c>
      <c r="E165" s="122" t="s">
        <v>99</v>
      </c>
      <c r="F165" s="122" t="s">
        <v>538</v>
      </c>
    </row>
    <row r="166" spans="2:6" ht="13.5">
      <c r="B166" s="122" t="s">
        <v>72</v>
      </c>
      <c r="C166" s="101" t="s">
        <v>539</v>
      </c>
      <c r="D166" s="122">
        <v>3</v>
      </c>
      <c r="E166" s="122" t="s">
        <v>100</v>
      </c>
      <c r="F166" s="122" t="s">
        <v>540</v>
      </c>
    </row>
    <row r="167" spans="2:6" ht="13.5">
      <c r="B167" s="122" t="s">
        <v>72</v>
      </c>
      <c r="C167" s="101" t="s">
        <v>541</v>
      </c>
      <c r="D167" s="122">
        <v>4</v>
      </c>
      <c r="E167" s="122" t="s">
        <v>101</v>
      </c>
      <c r="F167" s="122" t="s">
        <v>542</v>
      </c>
    </row>
    <row r="168" spans="2:6" ht="13.5">
      <c r="B168" s="122" t="s">
        <v>72</v>
      </c>
      <c r="C168" s="101" t="s">
        <v>543</v>
      </c>
      <c r="D168" s="122">
        <v>5</v>
      </c>
      <c r="E168" s="122" t="s">
        <v>102</v>
      </c>
      <c r="F168" s="122" t="s">
        <v>544</v>
      </c>
    </row>
    <row r="169" spans="2:6" ht="13.5">
      <c r="B169" s="122" t="s">
        <v>72</v>
      </c>
      <c r="C169" s="101" t="s">
        <v>545</v>
      </c>
      <c r="D169" s="122">
        <v>6</v>
      </c>
      <c r="E169" s="122" t="s">
        <v>103</v>
      </c>
      <c r="F169" s="122" t="s">
        <v>546</v>
      </c>
    </row>
    <row r="170" spans="2:6" ht="13.5">
      <c r="B170" s="122" t="s">
        <v>72</v>
      </c>
      <c r="C170" s="101" t="s">
        <v>547</v>
      </c>
      <c r="D170" s="122">
        <v>7</v>
      </c>
      <c r="E170" s="122" t="s">
        <v>104</v>
      </c>
      <c r="F170" s="122" t="s">
        <v>548</v>
      </c>
    </row>
    <row r="171" spans="2:6" ht="13.5">
      <c r="B171" s="175" t="s">
        <v>105</v>
      </c>
      <c r="C171" s="101" t="s">
        <v>469</v>
      </c>
      <c r="D171" s="177">
        <v>0</v>
      </c>
      <c r="E171" s="174" t="s">
        <v>171</v>
      </c>
      <c r="F171" s="122" t="s">
        <v>549</v>
      </c>
    </row>
    <row r="172" spans="2:6" ht="13.5">
      <c r="B172" s="175" t="s">
        <v>105</v>
      </c>
      <c r="C172" s="101" t="s">
        <v>702</v>
      </c>
      <c r="D172" s="177">
        <v>1</v>
      </c>
      <c r="E172" s="174" t="s">
        <v>277</v>
      </c>
      <c r="F172" s="122" t="s">
        <v>550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Trade</vt:lpstr>
      <vt:lpstr>Result_001</vt:lpstr>
      <vt:lpstr>Result_002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2025-08-01T09:20:26Z</dcterms:modified>
</cp:coreProperties>
</file>