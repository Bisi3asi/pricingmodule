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28CB6151-86A9-4168-9899-8B89673D8D7A}" xr6:coauthVersionLast="47" xr6:coauthVersionMax="47" xr10:uidLastSave="{00000000-0000-0000-0000-000000000000}"/>
  <bookViews>
    <workbookView xWindow="-28920" yWindow="-120" windowWidth="29040" windowHeight="15720" xr2:uid="{C823104A-F605-4FED-B28E-5F229F6706E8}"/>
  </bookViews>
  <sheets>
    <sheet name="Trade" sheetId="21" r:id="rId1"/>
    <sheet name="Result_001" sheetId="26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1" l="1"/>
  <c r="C5" i="26" l="1"/>
  <c r="M22" i="26"/>
  <c r="M5" i="26"/>
  <c r="B2" i="26" l="1"/>
  <c r="S5" i="26"/>
  <c r="T7" i="26" s="1"/>
  <c r="P5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M10" i="22" a="1"/>
  <c r="Q10" i="22" a="1"/>
  <c r="V10" i="22" a="1"/>
  <c r="S10" i="22" a="1"/>
  <c r="R10" i="22" a="1"/>
  <c r="U10" i="22" a="1"/>
  <c r="K10" i="22" a="1"/>
  <c r="O10" i="22" a="1"/>
  <c r="T10" i="22" a="1"/>
  <c r="L10" i="22" a="1"/>
  <c r="P10" i="22" a="1"/>
  <c r="N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V43" i="22" a="1"/>
  <c r="Q43" i="22" a="1"/>
  <c r="N43" i="22" a="1"/>
  <c r="S43" i="22" a="1"/>
  <c r="T43" i="22" a="1"/>
  <c r="U43" i="22" a="1"/>
  <c r="M43" i="22" a="1"/>
  <c r="R43" i="22" a="1"/>
  <c r="O43" i="22" a="1"/>
  <c r="L43" i="22" a="1"/>
  <c r="K43" i="22" a="1"/>
  <c r="P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Q50" i="22" a="1"/>
  <c r="K50" i="22" a="1"/>
  <c r="T50" i="22" a="1"/>
  <c r="S50" i="22" a="1"/>
  <c r="U50" i="22" a="1"/>
  <c r="M50" i="22" a="1"/>
  <c r="V50" i="22" a="1"/>
  <c r="N50" i="22" a="1"/>
  <c r="O50" i="22" a="1"/>
  <c r="L50" i="22" a="1"/>
  <c r="R50" i="22" a="1"/>
  <c r="P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<sst xmlns="http://schemas.openxmlformats.org/spreadsheetml/2006/main" count="1146" uniqueCount="714">
  <si>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</si>
  <si>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</si>
  <si>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</si>
  <si>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</si>
  <si>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</si>
  <si>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</si>
  <si>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</si>
  <si>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</si>
  <si>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</si>
  <si>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</si>
  <si>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</si>
  <si>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</si>
  <si>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</si>
  <si>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</si>
  <si>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</si>
  <si>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</si>
  <si>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</si>
  <si>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</si>
  <si>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</si>
  <si>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</si>
  <si>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</si>
  <si>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</si>
  <si>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</si>
  <si>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</si>
  <si>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</si>
  <si>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</si>
  <si>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</si>
  <si>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</si>
  <si>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</si>
  <si>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</si>
  <si>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</si>
  <si>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</si>
  <si>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</si>
  <si>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</si>
  <si>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</si>
  <si>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</si>
  <si>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</si>
  <si>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</si>
  <si>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</si>
  <si>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</si>
  <si>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</si>
  <si>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</si>
  <si>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</si>
  <si>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</si>
  <si>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</si>
  <si>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</si>
  <si>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</si>
  <si>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</si>
  <si>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</si>
  <si>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</si>
  <si>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</si>
  <si>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</si>
  <si>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</si>
  <si>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</si>
  <si>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</si>
  <si>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</si>
  <si>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</si>
  <si>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</si>
  <si>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</si>
  <si>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</si>
  <si>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</si>
  <si>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</si>
  <si>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</si>
  <si>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</si>
  <si>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</si>
  <si>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</si>
  <si>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</si>
  <si>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</si>
  <si>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</si>
  <si>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</si>
  <si>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</si>
  <si>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</si>
  <si>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</si>
  <si>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</si>
  <si>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</si>
  <si>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</si>
  <si>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</si>
  <si>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</si>
  <si>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</si>
  <si>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</si>
  <si>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</si>
  <si>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</si>
  <si>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</si>
  <si>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</si>
  <si>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</si>
  <si>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</si>
  <si>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</si>
  <si>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</si>
  <si>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</si>
  <si>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</si>
  <si>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</si>
  <si>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</si>
  <si>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</si>
  <si>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</si>
  <si>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</si>
  <si>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</si>
  <si>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</si>
  <si>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</si>
  <si>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</si>
  <si>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</si>
  <si>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</si>
  <si>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</si>
  <si>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</si>
  <si>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</si>
  <si>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</si>
  <si>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</si>
  <si>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</si>
  <si>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</si>
  <si>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</si>
  <si>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</si>
  <si>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</si>
  <si>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</si>
  <si>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</si>
  <si>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</si>
  <si>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</si>
  <si>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</si>
  <si>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</si>
  <si>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</si>
  <si>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</si>
  <si>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</si>
  <si>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</si>
  <si>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</si>
  <si>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</si>
  <si>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</si>
  <si>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</si>
  <si>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</si>
  <si>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</si>
  <si>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</si>
  <si>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</si>
  <si>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</si>
  <si>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</si>
  <si>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</si>
  <si>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</si>
  <si>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</si>
  <si>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</si>
  <si>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</si>
  <si>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</si>
  <si>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</si>
  <si>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</si>
  <si>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</si>
  <si>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</si>
  <si>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</si>
  <si>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</si>
  <si>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</si>
  <si>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</si>
  <si>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</si>
  <si>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</si>
  <si>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</si>
  <si>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</si>
  <si>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</si>
  <si>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</si>
  <si>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</si>
  <si>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</si>
  <si>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</si>
  <si>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</si>
  <si>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</si>
  <si>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</si>
  <si>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</si>
  <si>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</si>
  <si>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</si>
  <si>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</si>
  <si>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</si>
  <si>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</si>
  <si>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</si>
  <si>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</si>
  <si>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</si>
  <si>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</si>
  <si>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</si>
  <si>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</si>
  <si>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</si>
  <si>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</si>
  <si>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</si>
  <si>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</si>
  <si>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</si>
  <si>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</si>
  <si>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</si>
  <si>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</si>
  <si>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</si>
  <si>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</si>
  <si>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</si>
  <si>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</si>
  <si>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</si>
  <si>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</si>
  <si>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</si>
  <si>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</si>
  <si>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</si>
  <si>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</si>
  <si>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</si>
  <si>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</si>
  <si>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</si>
  <si>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</si>
  <si>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</si>
  <si>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</si>
  <si>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</si>
  <si>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</si>
  <si>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</si>
  <si>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</si>
  <si>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</si>
  <si>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</si>
  <si>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</si>
  <si>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</si>
  <si>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</si>
  <si>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</si>
  <si>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</si>
  <si>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</si>
  <si>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</si>
  <si>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</si>
  <si>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</si>
  <si>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</si>
  <si>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</si>
  <si>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</si>
  <si>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</si>
  <si>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</si>
  <si>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</si>
  <si>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0|0|0|0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</si>
  <si>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</si>
  <si>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</si>
  <si>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</si>
  <si>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</si>
  <si>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</si>
  <si>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</si>
  <si>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</si>
  <si>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</si>
  <si>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</si>
  <si>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</si>
  <si>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</si>
  <si>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</si>
  <si>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</si>
  <si>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</si>
  <si>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</si>
  <si>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</si>
  <si>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</si>
  <si>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</si>
  <si>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</si>
  <si>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</si>
  <si>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</si>
  <si>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</si>
  <si>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</si>
  <si>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</si>
  <si>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</si>
  <si>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</si>
  <si>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</si>
  <si>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</si>
  <si>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</si>
  <si>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</si>
  <si>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</si>
  <si>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</si>
  <si>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</si>
  <si>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</si>
  <si>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</si>
  <si>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</si>
  <si>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</si>
  <si>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</si>
  <si>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</si>
  <si>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</si>
  <si>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</si>
  <si>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</si>
  <si>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</si>
  <si>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</si>
  <si>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</si>
  <si>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</si>
  <si>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</si>
  <si>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</si>
  <si>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</si>
  <si>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</si>
  <si>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</si>
  <si>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</si>
  <si>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</si>
  <si>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</si>
  <si>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</si>
  <si>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</si>
  <si>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</si>
  <si>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</si>
  <si>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</si>
  <si>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</si>
  <si>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</si>
  <si>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</si>
  <si>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</si>
  <si>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</si>
  <si>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</si>
  <si>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</si>
  <si>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</si>
  <si>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</si>
  <si>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</si>
  <si>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</si>
  <si>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</si>
  <si>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</si>
  <si>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</si>
  <si>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</si>
  <si>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</si>
  <si>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</si>
  <si>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</si>
  <si>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</si>
  <si>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</si>
  <si>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</si>
  <si>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</si>
  <si>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</si>
  <si>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</si>
  <si>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</si>
  <si>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</si>
  <si>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</si>
  <si>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</si>
  <si>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</si>
  <si>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</si>
  <si>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</si>
  <si>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</si>
  <si>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</si>
  <si>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</si>
  <si>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</si>
  <si>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</si>
  <si>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</si>
  <si>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</si>
  <si>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</si>
  <si>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</si>
  <si>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</si>
  <si>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</si>
  <si>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</si>
  <si>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</si>
  <si>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</si>
  <si>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</si>
  <si>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</si>
  <si>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</si>
  <si>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</si>
  <si>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</si>
  <si>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</si>
  <si>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</si>
  <si>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</si>
  <si>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</si>
  <si>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</si>
  <si>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</si>
  <si>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</si>
  <si>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</si>
  <si>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</si>
  <si>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</si>
  <si>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</si>
  <si>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</si>
  <si>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</si>
  <si>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</si>
  <si>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</si>
  <si>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</si>
  <si>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</si>
  <si>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</si>
  <si>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</si>
  <si>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</si>
  <si>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</si>
  <si>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</si>
  <si>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</si>
  <si>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</si>
  <si>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</si>
  <si>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</si>
  <si>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</si>
  <si>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</si>
  <si>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</si>
  <si>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</si>
  <si>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</si>
  <si>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</si>
  <si>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</si>
  <si>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</si>
  <si>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</si>
  <si>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</si>
  <si>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</si>
  <si>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</si>
  <si>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</si>
  <si>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</si>
  <si>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</si>
  <si>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</si>
  <si>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</si>
  <si>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</si>
  <si>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</si>
  <si>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</si>
  <si>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</si>
  <si>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</si>
  <si>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</si>
  <si>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</si>
  <si>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</si>
  <si>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</si>
  <si>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</si>
  <si>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</si>
  <si>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</si>
  <si>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</si>
  <si>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</si>
  <si>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</si>
  <si>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</si>
  <si>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</si>
  <si>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</si>
  <si>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</si>
  <si>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</si>
  <si>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</si>
  <si>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</si>
  <si>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</si>
  <si>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</si>
  <si>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</si>
  <si>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</si>
  <si>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</si>
  <si>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</si>
  <si>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</si>
  <si>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</si>
  <si>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</si>
  <si>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</si>
  <si>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</si>
  <si>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</si>
  <si>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</si>
  <si>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</si>
  <si>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</si>
  <si>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</si>
  <si>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</si>
  <si>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</si>
  <si>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</si>
  <si>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</si>
  <si>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</si>
  <si>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</si>
  <si>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</si>
  <si>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</si>
  <si>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</si>
  <si>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</si>
  <si>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</si>
  <si>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</si>
  <si>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</si>
  <si>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</si>
  <si>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</si>
  <si>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</si>
  <si>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</si>
  <si>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</si>
  <si>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</si>
  <si>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</si>
  <si>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</si>
  <si>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</si>
  <si>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</si>
  <si>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</si>
  <si>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</si>
  <si>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</si>
  <si>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</si>
  <si>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</si>
  <si>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</si>
  <si>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</si>
  <si>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</si>
  <si>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</si>
  <si>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</si>
  <si>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</si>
  <si>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</si>
  <si>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</si>
  <si>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</si>
  <si>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</si>
  <si>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</si>
  <si>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</si>
  <si>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</si>
  <si>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</si>
  <si>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</si>
  <si>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</si>
  <si>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</si>
  <si>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</si>
  <si>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</si>
  <si>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</si>
  <si>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</si>
  <si>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</si>
  <si>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</si>
  <si>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</si>
  <si>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</si>
  <si>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</si>
  <si>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</si>
  <si>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</si>
  <si>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</si>
  <si>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</si>
  <si>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</si>
  <si>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</si>
  <si>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</si>
  <si>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</si>
  <si>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</si>
  <si>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</si>
  <si>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</si>
  <si>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</si>
  <si>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</si>
  <si>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</si>
  <si>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</si>
  <si>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</si>
  <si>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</si>
  <si>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</si>
  <si>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</si>
  <si>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</si>
  <si>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</si>
  <si>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</si>
  <si>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</si>
  <si>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</si>
  <si>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</si>
  <si>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</si>
  <si>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</si>
  <si>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</si>
  <si>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</si>
  <si>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</si>
  <si>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</si>
  <si>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</si>
  <si>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</si>
  <si>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</si>
  <si>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</si>
  <si>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</si>
  <si>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</si>
  <si>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</si>
  <si>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</si>
  <si>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</si>
  <si>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</si>
  <si>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</si>
  <si>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</si>
  <si>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</si>
  <si>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</si>
  <si>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</si>
  <si>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</si>
  <si>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</si>
  <si>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</si>
  <si>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</si>
  <si>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</si>
  <si>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</si>
  <si>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</si>
  <si>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</si>
  <si>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</si>
  <si>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</si>
  <si>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</si>
  <si>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</si>
  <si>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</si>
  <si>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</si>
  <si>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</si>
  <si>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</si>
  <si>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</si>
  <si>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</si>
  <si>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</si>
  <si>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</si>
  <si>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</si>
  <si>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</si>
  <si>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</si>
  <si>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</si>
  <si>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</si>
  <si>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</si>
  <si>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</si>
  <si>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</si>
  <si>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</si>
  <si>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</si>
  <si>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</si>
  <si>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</si>
  <si>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</si>
  <si>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</si>
  <si>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</si>
  <si>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</si>
  <si>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</si>
  <si>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</si>
  <si>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</si>
  <si>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</si>
  <si>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</si>
  <si>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</si>
  <si>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</si>
  <si>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</si>
  <si>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</si>
  <si>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</si>
  <si>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</si>
  <si>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</si>
  <si>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</si>
  <si>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</si>
  <si>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</si>
  <si>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</si>
  <si>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</si>
  <si>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</si>
  <si>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</si>
  <si>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</si>
  <si>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</si>
  <si>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</si>
  <si>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</si>
  <si>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DSC_CURV</t>
    <phoneticPr fontId="1" type="noConversion"/>
  </si>
  <si>
    <t>GIRR_CVR_SHOCK</t>
    <phoneticPr fontId="1" type="noConversion"/>
  </si>
  <si>
    <t>CSR_CVR_SHOCK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</si>
  <si>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</si>
  <si>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</si>
  <si>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</si>
  <si>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</si>
  <si>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</si>
  <si>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</si>
  <si>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</si>
  <si>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</si>
  <si>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</si>
  <si>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</si>
  <si>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</si>
  <si>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</si>
  <si>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</si>
  <si>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</si>
  <si>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</si>
  <si>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</si>
  <si>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</si>
  <si>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</si>
  <si>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</si>
  <si>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</si>
  <si>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</si>
  <si>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</si>
  <si>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</si>
  <si>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</si>
  <si>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</si>
  <si>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</si>
  <si>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</si>
  <si>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</si>
  <si>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</si>
  <si>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</si>
  <si>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</si>
  <si>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</si>
  <si>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</si>
  <si>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</si>
  <si>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</si>
  <si>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</si>
  <si>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</si>
  <si>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</si>
  <si>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</si>
  <si>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</si>
  <si>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</si>
  <si>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</si>
  <si>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</si>
  <si>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</si>
  <si>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</si>
  <si>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</si>
  <si>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</si>
  <si>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</si>
  <si>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</si>
  <si>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</si>
  <si>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</si>
  <si>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</si>
  <si>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</si>
  <si>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</si>
  <si>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</si>
  <si>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</si>
  <si>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</si>
  <si>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</si>
  <si>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</si>
  <si>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</si>
  <si>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</si>
  <si>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</si>
  <si>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</si>
  <si>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</si>
  <si>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</si>
  <si>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</si>
  <si>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</si>
  <si>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</si>
  <si>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</si>
  <si>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</si>
  <si>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</si>
  <si>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</si>
  <si>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</si>
  <si>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</si>
  <si>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</si>
  <si>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</si>
  <si>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</si>
  <si>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</si>
  <si>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</si>
  <si>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</si>
  <si>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</si>
  <si>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</si>
  <si>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</si>
  <si>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</si>
  <si>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</si>
  <si>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</si>
  <si>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</si>
  <si>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</si>
  <si>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</si>
  <si>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</si>
  <si>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</si>
  <si>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</si>
  <si>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</si>
  <si>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</si>
  <si>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</si>
  <si>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</si>
  <si>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</si>
  <si>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</si>
  <si>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</si>
  <si>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</si>
  <si>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</si>
  <si>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</si>
  <si>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</si>
  <si>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</si>
  <si>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</si>
  <si>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</si>
  <si>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</si>
  <si>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</si>
  <si>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</si>
  <si>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</si>
  <si>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</si>
  <si>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</si>
  <si>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</si>
  <si>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</si>
  <si>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</si>
  <si>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</si>
  <si>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</si>
  <si>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</si>
  <si>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</si>
  <si>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</si>
  <si>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</si>
  <si>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</si>
  <si>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</si>
  <si>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</si>
  <si>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</si>
  <si>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</si>
  <si>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</si>
  <si>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</si>
  <si>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Y</t>
    <phoneticPr fontId="2" type="noConversion"/>
  </si>
  <si>
    <t>PROD_DIV</t>
    <phoneticPr fontId="1" type="noConversion"/>
  </si>
  <si>
    <t>LEG 구분</t>
    <phoneticPr fontId="1" type="noConversion"/>
  </si>
  <si>
    <t>ZCL</t>
  </si>
  <si>
    <t>KRW</t>
    <phoneticPr fontId="1" type="noConversion"/>
  </si>
  <si>
    <t>20260522</t>
  </si>
  <si>
    <t>0.0299|0.0258|0.0233|0.0219|0.0219|0.0223|0.0224|0.0212|0.0204|0.0204</t>
  </si>
  <si>
    <t>-10236665.3251805|10481267.4699336</t>
  </si>
  <si>
    <t>FSP</t>
    <phoneticPr fontId="2" type="noConversion"/>
  </si>
  <si>
    <t>20241231</t>
    <phoneticPr fontId="1" type="noConversion"/>
  </si>
  <si>
    <t>20201210</t>
    <phoneticPr fontId="1" type="noConversion"/>
  </si>
  <si>
    <t>20260522</t>
    <phoneticPr fontId="2" type="noConversion"/>
  </si>
  <si>
    <t>IRKRW-CRS</t>
    <phoneticPr fontId="1" type="noConversion"/>
  </si>
  <si>
    <t>S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</si>
  <si>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</si>
  <si>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</si>
  <si>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</si>
  <si>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3|0|1|2|-609272138.735652|-372238006.199002|-237034132.53665|0|0|0|0|0|0|0|0|0|0|0|0|0|0|0|0</t>
  </si>
  <si>
    <t>1|-1|-1|452730000|-1|46164|452730000|0.968886208538356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</si>
</sst>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1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4" borderId="1" xfId="0" applyNumberFormat="1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178" fontId="5" fillId="0" borderId="1" xfId="0" quotePrefix="1" applyNumberFormat="1" applyFont="1" applyBorder="1" applyAlignment="1">
      <alignment horizontal="left" vertical="center"/>
    </xf>
    <xf numFmtId="185" fontId="3" fillId="4" borderId="1" xfId="2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3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178" fontId="5" fillId="4" borderId="1" xfId="0" quotePrefix="1" applyNumberFormat="1" applyFont="1" applyFill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3" fontId="4" fillId="4" borderId="5" xfId="0" quotePrefix="1" applyNumberFormat="1" applyFont="1" applyFill="1" applyBorder="1" applyAlignment="1">
      <alignment horizontal="left" vertical="center"/>
    </xf>
    <xf numFmtId="0" fontId="4" fillId="4" borderId="7" xfId="0" quotePrefix="1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3" fontId="4" fillId="4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0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tabSelected="1" zoomScale="85" zoomScaleNormal="85" workbookViewId="0"/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07" t="s">
        <v>703</v>
      </c>
      <c r="C2" s="207"/>
      <c r="D2" s="207"/>
      <c r="E2" s="207"/>
      <c r="F2" s="207"/>
      <c r="G2" s="198"/>
      <c r="H2" s="7"/>
      <c r="I2" s="206" t="s">
        <v>563</v>
      </c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</row>
    <row r="4" spans="2:31" ht="13.15" customHeight="1">
      <c r="B4" s="206" t="s">
        <v>4</v>
      </c>
      <c r="C4" s="206"/>
      <c r="D4" s="206"/>
      <c r="E4" s="206"/>
      <c r="F4" s="206"/>
      <c r="G4" s="9"/>
      <c r="I4" s="206" t="s">
        <v>5</v>
      </c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X4" s="206" t="s">
        <v>561</v>
      </c>
      <c r="Y4" s="206"/>
      <c r="Z4" s="206"/>
      <c r="AA4" s="206"/>
      <c r="AB4" s="206"/>
      <c r="AC4" s="206"/>
      <c r="AD4" s="206"/>
      <c r="AE4" s="206"/>
    </row>
    <row r="5" spans="2:31" s="3" customFormat="1" ht="13.15" customHeight="1">
      <c r="C5" s="208"/>
      <c r="D5" s="213"/>
      <c r="E5" s="213"/>
      <c r="F5" s="209"/>
      <c r="G5" s="1"/>
      <c r="K5" s="208" t="str">
        <f>F11</f>
        <v>IRKRW-CRS</v>
      </c>
      <c r="L5" s="209"/>
      <c r="N5" s="210"/>
      <c r="O5" s="205"/>
      <c r="Q5" s="210"/>
      <c r="R5" s="205"/>
      <c r="T5" s="210"/>
      <c r="U5" s="205"/>
      <c r="X5" s="211"/>
      <c r="Y5" s="212"/>
      <c r="AA5" s="211"/>
      <c r="AB5" s="212"/>
    </row>
    <row r="6" spans="2:31" s="12" customFormat="1" ht="13.15" customHeight="1">
      <c r="C6" s="13" t="s">
        <v>3</v>
      </c>
      <c r="D6" s="14" t="s">
        <v>8</v>
      </c>
      <c r="E6" s="14" t="s">
        <v>60</v>
      </c>
      <c r="F6" s="14" t="s">
        <v>2</v>
      </c>
      <c r="G6" s="1"/>
      <c r="H6" s="12" t="s">
        <v>9</v>
      </c>
      <c r="J6" s="3"/>
      <c r="K6" s="5" t="s">
        <v>74</v>
      </c>
      <c r="L6" s="17" t="s">
        <v>709</v>
      </c>
      <c r="M6" s="46"/>
      <c r="N6" s="189" t="s">
        <v>74</v>
      </c>
      <c r="O6" s="34"/>
      <c r="Q6" s="189" t="s">
        <v>74</v>
      </c>
      <c r="R6" s="34"/>
      <c r="T6" s="189" t="s">
        <v>74</v>
      </c>
      <c r="U6" s="34"/>
      <c r="X6" s="34" t="s">
        <v>557</v>
      </c>
      <c r="Y6" s="34"/>
      <c r="AA6" s="34" t="s">
        <v>557</v>
      </c>
      <c r="AB6" s="34"/>
    </row>
    <row r="7" spans="2:31" ht="13.15" customHeight="1">
      <c r="C7" s="199">
        <v>1</v>
      </c>
      <c r="D7" s="35" t="s">
        <v>43</v>
      </c>
      <c r="E7" s="35" t="s">
        <v>555</v>
      </c>
      <c r="F7" s="42" t="s">
        <v>704</v>
      </c>
      <c r="G7" s="1"/>
      <c r="H7" s="1" t="s">
        <v>9</v>
      </c>
      <c r="K7" s="5" t="s">
        <v>75</v>
      </c>
      <c r="L7" s="17" t="s">
        <v>710</v>
      </c>
      <c r="M7" s="4"/>
      <c r="N7" s="189" t="s">
        <v>75</v>
      </c>
      <c r="O7" s="34"/>
      <c r="Q7" s="189" t="s">
        <v>75</v>
      </c>
      <c r="R7" s="34"/>
      <c r="T7" s="189" t="s">
        <v>75</v>
      </c>
      <c r="U7" s="34"/>
      <c r="X7" s="34" t="s">
        <v>562</v>
      </c>
      <c r="Y7" s="34"/>
      <c r="AA7" s="34" t="s">
        <v>562</v>
      </c>
      <c r="AB7" s="34"/>
    </row>
    <row r="8" spans="2:31" ht="13.15" customHeight="1">
      <c r="C8" s="199">
        <v>2</v>
      </c>
      <c r="D8" s="35" t="s">
        <v>24</v>
      </c>
      <c r="E8" s="35" t="s">
        <v>26</v>
      </c>
      <c r="F8" s="42" t="s">
        <v>705</v>
      </c>
      <c r="G8" s="1"/>
      <c r="H8" s="1" t="s">
        <v>9</v>
      </c>
      <c r="K8" s="5" t="s">
        <v>77</v>
      </c>
      <c r="L8" s="17" t="s">
        <v>247</v>
      </c>
      <c r="M8" s="4"/>
      <c r="N8" s="189" t="s">
        <v>77</v>
      </c>
      <c r="O8" s="34"/>
      <c r="Q8" s="189" t="s">
        <v>77</v>
      </c>
      <c r="R8" s="34"/>
      <c r="T8" s="189" t="s">
        <v>77</v>
      </c>
      <c r="U8" s="34"/>
      <c r="X8" s="34" t="s">
        <v>556</v>
      </c>
      <c r="Y8" s="34"/>
      <c r="AA8" s="34" t="s">
        <v>556</v>
      </c>
      <c r="AB8" s="34"/>
    </row>
    <row r="9" spans="2:31" ht="13.15" customHeight="1">
      <c r="C9" s="199">
        <v>3</v>
      </c>
      <c r="D9" s="35" t="s">
        <v>23</v>
      </c>
      <c r="E9" s="35" t="s">
        <v>0</v>
      </c>
      <c r="F9" s="42" t="s">
        <v>706</v>
      </c>
      <c r="G9" s="1"/>
      <c r="H9" s="1" t="s">
        <v>9</v>
      </c>
      <c r="K9" s="5" t="s">
        <v>78</v>
      </c>
      <c r="L9" s="17" t="s">
        <v>711</v>
      </c>
      <c r="M9" s="4"/>
      <c r="N9" s="189" t="s">
        <v>78</v>
      </c>
      <c r="O9" s="34"/>
      <c r="Q9" s="189" t="s">
        <v>78</v>
      </c>
      <c r="R9" s="34"/>
      <c r="T9" s="189" t="s">
        <v>78</v>
      </c>
      <c r="U9" s="34"/>
      <c r="X9" s="34" t="s">
        <v>80</v>
      </c>
      <c r="Y9" s="34"/>
      <c r="AA9" s="34" t="s">
        <v>80</v>
      </c>
      <c r="AB9" s="34"/>
    </row>
    <row r="10" spans="2:31" ht="13.15" customHeight="1">
      <c r="B10" s="3"/>
      <c r="C10" s="199">
        <v>4</v>
      </c>
      <c r="D10" s="35" t="s">
        <v>25</v>
      </c>
      <c r="E10" s="17" t="s">
        <v>49</v>
      </c>
      <c r="F10" s="181">
        <v>452730000</v>
      </c>
      <c r="G10" s="1"/>
      <c r="H10" s="1" t="s">
        <v>9</v>
      </c>
      <c r="Q10" s="2"/>
      <c r="R10" s="2"/>
      <c r="X10" s="34" t="s">
        <v>79</v>
      </c>
      <c r="Y10" s="34"/>
      <c r="AA10" s="34" t="s">
        <v>79</v>
      </c>
      <c r="AB10" s="34"/>
    </row>
    <row r="11" spans="2:31" ht="13.15" customHeight="1">
      <c r="C11" s="199">
        <v>5</v>
      </c>
      <c r="D11" s="44" t="s">
        <v>55</v>
      </c>
      <c r="E11" s="44" t="s">
        <v>564</v>
      </c>
      <c r="F11" s="45" t="s">
        <v>707</v>
      </c>
      <c r="G11" s="1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4" t="s">
        <v>558</v>
      </c>
      <c r="Y11" s="189"/>
      <c r="AA11" s="34" t="s">
        <v>558</v>
      </c>
      <c r="AB11" s="189"/>
    </row>
    <row r="12" spans="2:31" ht="13.15" customHeight="1">
      <c r="C12" s="199">
        <v>6</v>
      </c>
      <c r="D12" s="17" t="s">
        <v>341</v>
      </c>
      <c r="E12" s="17" t="s">
        <v>342</v>
      </c>
      <c r="F12" s="17" t="s">
        <v>708</v>
      </c>
      <c r="G12" s="1"/>
      <c r="H12" s="1" t="s">
        <v>9</v>
      </c>
      <c r="I12" s="18">
        <v>1</v>
      </c>
      <c r="J12" s="2"/>
      <c r="K12" s="31">
        <v>90</v>
      </c>
      <c r="L12" s="32">
        <v>2.9899999999999999E-2</v>
      </c>
      <c r="N12" s="187"/>
      <c r="O12" s="188"/>
      <c r="Q12" s="187"/>
      <c r="R12" s="188"/>
      <c r="T12" s="187"/>
      <c r="U12" s="188"/>
      <c r="X12" s="189" t="s">
        <v>74</v>
      </c>
      <c r="Y12" s="34"/>
      <c r="AA12" s="189" t="s">
        <v>74</v>
      </c>
      <c r="AB12" s="34"/>
    </row>
    <row r="13" spans="2:31" ht="13.15" customHeight="1">
      <c r="H13" s="1" t="s">
        <v>9</v>
      </c>
      <c r="I13" s="18">
        <v>2</v>
      </c>
      <c r="J13" s="2"/>
      <c r="K13" s="31">
        <v>180</v>
      </c>
      <c r="L13" s="32">
        <v>2.58E-2</v>
      </c>
      <c r="N13" s="187"/>
      <c r="O13" s="188"/>
      <c r="Q13" s="187"/>
      <c r="R13" s="188"/>
      <c r="T13" s="187"/>
      <c r="U13" s="188"/>
      <c r="X13" s="34" t="s">
        <v>559</v>
      </c>
      <c r="Y13" s="34"/>
      <c r="AA13" s="34" t="s">
        <v>559</v>
      </c>
      <c r="AB13" s="34"/>
    </row>
    <row r="14" spans="2:31" ht="13.15" customHeight="1">
      <c r="H14" s="1" t="s">
        <v>9</v>
      </c>
      <c r="I14" s="18">
        <v>3</v>
      </c>
      <c r="J14" s="2"/>
      <c r="K14" s="31">
        <v>360</v>
      </c>
      <c r="L14" s="32">
        <v>2.3300000000000001E-2</v>
      </c>
      <c r="N14" s="187"/>
      <c r="O14" s="188"/>
      <c r="Q14" s="187"/>
      <c r="R14" s="188"/>
      <c r="T14" s="187"/>
      <c r="U14" s="188"/>
      <c r="X14" s="34" t="s">
        <v>560</v>
      </c>
      <c r="Y14" s="34"/>
      <c r="AA14" s="34" t="s">
        <v>560</v>
      </c>
      <c r="AB14" s="34"/>
    </row>
    <row r="15" spans="2:31" ht="13.15" customHeight="1">
      <c r="C15" s="1"/>
      <c r="F15" s="1"/>
      <c r="G15" s="1"/>
      <c r="H15" s="1" t="s">
        <v>9</v>
      </c>
      <c r="I15" s="18">
        <v>4</v>
      </c>
      <c r="J15" s="2"/>
      <c r="K15" s="31">
        <v>720</v>
      </c>
      <c r="L15" s="32">
        <v>2.1899999999999999E-2</v>
      </c>
      <c r="N15" s="187"/>
      <c r="O15" s="188"/>
      <c r="Q15" s="187"/>
      <c r="R15" s="188"/>
      <c r="T15" s="187"/>
      <c r="U15" s="188"/>
    </row>
    <row r="16" spans="2:31" ht="13.15" customHeight="1">
      <c r="C16" s="1"/>
      <c r="F16" s="1"/>
      <c r="G16" s="1"/>
      <c r="H16" s="1" t="s">
        <v>9</v>
      </c>
      <c r="I16" s="18">
        <v>5</v>
      </c>
      <c r="J16" s="2"/>
      <c r="K16" s="31">
        <v>1080</v>
      </c>
      <c r="L16" s="32">
        <v>2.1899999999999999E-2</v>
      </c>
      <c r="N16" s="187"/>
      <c r="O16" s="188"/>
      <c r="Q16" s="187"/>
      <c r="R16" s="188"/>
      <c r="T16" s="187"/>
      <c r="U16" s="188"/>
    </row>
    <row r="17" spans="2:71" ht="13.15" customHeight="1">
      <c r="B17" s="3"/>
      <c r="C17" s="1"/>
      <c r="F17" s="1"/>
      <c r="G17" s="1"/>
      <c r="H17" s="1" t="s">
        <v>9</v>
      </c>
      <c r="I17" s="18">
        <v>6</v>
      </c>
      <c r="J17" s="2"/>
      <c r="K17" s="31">
        <v>1800</v>
      </c>
      <c r="L17" s="32">
        <v>2.23E-2</v>
      </c>
      <c r="N17" s="187"/>
      <c r="O17" s="188"/>
      <c r="Q17" s="187"/>
      <c r="R17" s="188"/>
      <c r="T17" s="187"/>
      <c r="U17" s="188"/>
    </row>
    <row r="18" spans="2:71" ht="13.15" customHeight="1">
      <c r="C18" s="1"/>
      <c r="F18" s="1"/>
      <c r="G18" s="1"/>
      <c r="H18" s="1" t="s">
        <v>9</v>
      </c>
      <c r="I18" s="18">
        <v>7</v>
      </c>
      <c r="J18" s="2"/>
      <c r="K18" s="31">
        <v>3600</v>
      </c>
      <c r="L18" s="32">
        <v>2.24E-2</v>
      </c>
      <c r="N18" s="187"/>
      <c r="O18" s="188"/>
      <c r="Q18" s="187"/>
      <c r="R18" s="188"/>
      <c r="T18" s="187"/>
      <c r="U18" s="188"/>
    </row>
    <row r="19" spans="2:71" ht="13.15" customHeight="1">
      <c r="C19" s="1"/>
      <c r="F19" s="1"/>
      <c r="G19" s="1"/>
      <c r="H19" s="1" t="s">
        <v>9</v>
      </c>
      <c r="I19" s="18">
        <v>8</v>
      </c>
      <c r="J19" s="2"/>
      <c r="K19" s="31">
        <v>5400</v>
      </c>
      <c r="L19" s="32">
        <v>2.12E-2</v>
      </c>
      <c r="N19" s="187"/>
      <c r="O19" s="188"/>
      <c r="Q19" s="187"/>
      <c r="R19" s="188"/>
      <c r="T19" s="187"/>
      <c r="U19" s="188"/>
    </row>
    <row r="20" spans="2:71" ht="13.15" customHeight="1">
      <c r="B20" s="3"/>
      <c r="C20" s="1"/>
      <c r="F20" s="1"/>
      <c r="G20" s="1"/>
      <c r="H20" s="1" t="s">
        <v>9</v>
      </c>
      <c r="I20" s="18">
        <v>9</v>
      </c>
      <c r="J20" s="2"/>
      <c r="K20" s="31">
        <v>7200</v>
      </c>
      <c r="L20" s="32">
        <v>2.0400000000000001E-2</v>
      </c>
      <c r="N20" s="187"/>
      <c r="O20" s="188"/>
      <c r="Q20" s="187"/>
      <c r="R20" s="188"/>
      <c r="T20" s="187"/>
      <c r="U20" s="188"/>
    </row>
    <row r="21" spans="2:71" ht="13.15" customHeight="1">
      <c r="C21" s="1"/>
      <c r="F21" s="1"/>
      <c r="G21" s="1"/>
      <c r="H21" s="1" t="s">
        <v>9</v>
      </c>
      <c r="I21" s="21">
        <v>10</v>
      </c>
      <c r="J21" s="2"/>
      <c r="K21" s="31">
        <v>10800</v>
      </c>
      <c r="L21" s="32">
        <v>2.0400000000000001E-2</v>
      </c>
      <c r="N21" s="187"/>
      <c r="O21" s="188"/>
      <c r="Q21" s="187"/>
      <c r="R21" s="188"/>
      <c r="T21" s="187"/>
      <c r="U21" s="188"/>
    </row>
    <row r="22" spans="2:71" ht="13.15" customHeight="1">
      <c r="C22" s="1"/>
      <c r="F22" s="1"/>
      <c r="G22" s="1"/>
      <c r="H22" s="1" t="s">
        <v>9</v>
      </c>
    </row>
    <row r="23" spans="2:71" ht="13.15" customHeight="1">
      <c r="C23" s="1"/>
      <c r="F23" s="1"/>
      <c r="G23" s="1"/>
      <c r="H23" s="1" t="s">
        <v>9</v>
      </c>
    </row>
    <row r="24" spans="2:71" ht="13.15" customHeight="1">
      <c r="C24" s="1"/>
      <c r="F24" s="1"/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06" t="s">
        <v>13</v>
      </c>
      <c r="J25" s="206"/>
      <c r="K25" s="206"/>
      <c r="L25" s="206"/>
      <c r="M25" s="206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  <c r="AM25" s="206"/>
      <c r="AN25" s="206"/>
      <c r="AO25" s="206"/>
      <c r="AP25" s="206"/>
      <c r="AQ25" s="206"/>
      <c r="AR25" s="206"/>
      <c r="AS25" s="206"/>
      <c r="AT25" s="206"/>
      <c r="AU25" s="206"/>
      <c r="AV25" s="206"/>
      <c r="AW25" s="206"/>
      <c r="AX25" s="206"/>
      <c r="AY25" s="206"/>
      <c r="AZ25" s="206"/>
      <c r="BA25" s="206"/>
      <c r="BB25" s="206"/>
      <c r="BC25" s="206"/>
      <c r="BD25" s="206"/>
      <c r="BE25" s="206"/>
      <c r="BF25" s="206"/>
      <c r="BG25" s="206"/>
      <c r="BH25" s="206"/>
      <c r="BI25" s="206"/>
      <c r="BJ25" s="206"/>
      <c r="BK25" s="206"/>
      <c r="BL25" s="206"/>
      <c r="BM25" s="206"/>
      <c r="BN25" s="206"/>
      <c r="BO25" s="206"/>
      <c r="BP25" s="206"/>
      <c r="BQ25" s="206"/>
      <c r="BR25" s="206"/>
      <c r="BS25" s="206"/>
    </row>
    <row r="26" spans="2:71" ht="13.15" customHeight="1">
      <c r="C26" s="1"/>
      <c r="F26" s="1"/>
      <c r="G26" s="1"/>
      <c r="K26" s="203"/>
      <c r="L26" s="204"/>
      <c r="M26" s="204"/>
      <c r="N26" s="204"/>
      <c r="O26" s="204"/>
      <c r="P26" s="204"/>
      <c r="Q26" s="204"/>
      <c r="R26" s="204"/>
      <c r="S26" s="204"/>
      <c r="T26" s="204"/>
      <c r="U26" s="204"/>
      <c r="V26" s="204"/>
      <c r="W26" s="204"/>
      <c r="X26" s="204"/>
      <c r="Y26" s="204"/>
      <c r="Z26" s="204"/>
      <c r="AA26" s="204"/>
      <c r="AB26" s="204"/>
      <c r="AC26" s="204"/>
      <c r="AD26" s="204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  <c r="AP26" s="204"/>
      <c r="AQ26" s="204"/>
      <c r="AR26" s="204"/>
      <c r="AS26" s="204"/>
      <c r="AT26" s="204"/>
      <c r="AU26" s="204"/>
      <c r="AV26" s="204"/>
      <c r="AW26" s="204"/>
      <c r="AX26" s="204"/>
      <c r="AY26" s="204"/>
      <c r="AZ26" s="204"/>
      <c r="BA26" s="204"/>
      <c r="BB26" s="204"/>
      <c r="BC26" s="204"/>
      <c r="BD26" s="204"/>
      <c r="BE26" s="204"/>
      <c r="BF26" s="204"/>
      <c r="BG26" s="204"/>
      <c r="BH26" s="204"/>
      <c r="BI26" s="204"/>
      <c r="BJ26" s="204"/>
      <c r="BK26" s="204"/>
      <c r="BL26" s="204"/>
      <c r="BM26" s="204"/>
      <c r="BN26" s="204"/>
      <c r="BO26" s="204"/>
      <c r="BP26" s="204"/>
      <c r="BQ26" s="204"/>
      <c r="BR26" s="204"/>
      <c r="BS26" s="205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7">
        <v>1</v>
      </c>
      <c r="M27" s="47">
        <v>2</v>
      </c>
      <c r="N27" s="47">
        <v>3</v>
      </c>
      <c r="O27" s="47">
        <v>4</v>
      </c>
      <c r="P27" s="47">
        <v>5</v>
      </c>
      <c r="Q27" s="47">
        <v>6</v>
      </c>
      <c r="R27" s="47">
        <v>7</v>
      </c>
      <c r="S27" s="47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52</v>
      </c>
      <c r="L28" s="190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</row>
    <row r="29" spans="2:71" ht="13.15" customHeight="1">
      <c r="H29" s="1" t="s">
        <v>9</v>
      </c>
      <c r="I29" s="18">
        <v>2</v>
      </c>
      <c r="K29" s="13" t="s">
        <v>53</v>
      </c>
      <c r="L29" s="190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</row>
    <row r="30" spans="2:71" ht="13.15" customHeight="1">
      <c r="I30" s="21">
        <v>3</v>
      </c>
      <c r="K30" s="13" t="s">
        <v>54</v>
      </c>
      <c r="L30" s="190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87"/>
      <c r="Y30" s="187"/>
      <c r="Z30" s="187"/>
      <c r="AA30" s="187"/>
      <c r="AB30" s="187"/>
      <c r="AC30" s="187"/>
      <c r="AD30" s="187"/>
      <c r="AE30" s="187"/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Q30" s="187"/>
      <c r="BR30" s="187"/>
      <c r="BS30" s="187"/>
    </row>
    <row r="31" spans="2:71" ht="13.15" customHeight="1"/>
    <row r="32" spans="2:71" ht="13.15" customHeight="1">
      <c r="F32" s="1"/>
      <c r="G32" s="1"/>
      <c r="K32" s="203"/>
      <c r="L32" s="204"/>
      <c r="M32" s="204"/>
      <c r="N32" s="204"/>
      <c r="O32" s="204"/>
      <c r="P32" s="204"/>
      <c r="Q32" s="204"/>
      <c r="R32" s="204"/>
      <c r="S32" s="204"/>
      <c r="T32" s="204"/>
      <c r="U32" s="204"/>
      <c r="V32" s="204"/>
      <c r="W32" s="204"/>
      <c r="X32" s="204"/>
      <c r="Y32" s="204"/>
      <c r="Z32" s="204"/>
      <c r="AA32" s="204"/>
      <c r="AB32" s="204"/>
      <c r="AC32" s="204"/>
      <c r="AD32" s="204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  <c r="AP32" s="204"/>
      <c r="AQ32" s="204"/>
      <c r="AR32" s="204"/>
      <c r="AS32" s="204"/>
      <c r="AT32" s="204"/>
      <c r="AU32" s="204"/>
      <c r="AV32" s="204"/>
      <c r="AW32" s="204"/>
      <c r="AX32" s="204"/>
      <c r="AY32" s="204"/>
      <c r="AZ32" s="204"/>
      <c r="BA32" s="204"/>
      <c r="BB32" s="204"/>
      <c r="BC32" s="204"/>
      <c r="BD32" s="204"/>
      <c r="BE32" s="204"/>
      <c r="BF32" s="204"/>
      <c r="BG32" s="204"/>
      <c r="BH32" s="204"/>
      <c r="BI32" s="204"/>
      <c r="BJ32" s="204"/>
      <c r="BK32" s="204"/>
      <c r="BL32" s="204"/>
      <c r="BM32" s="204"/>
      <c r="BN32" s="204"/>
      <c r="BO32" s="204"/>
      <c r="BP32" s="204"/>
      <c r="BQ32" s="204"/>
      <c r="BR32" s="204"/>
      <c r="BS32" s="205"/>
    </row>
    <row r="33" spans="5:71" ht="13.15" customHeight="1">
      <c r="I33" s="15" t="s">
        <v>10</v>
      </c>
      <c r="K33" s="13" t="s">
        <v>10</v>
      </c>
      <c r="L33" s="47">
        <v>1</v>
      </c>
      <c r="M33" s="47">
        <v>2</v>
      </c>
      <c r="N33" s="47">
        <v>3</v>
      </c>
      <c r="O33" s="47">
        <v>4</v>
      </c>
      <c r="P33" s="47">
        <v>5</v>
      </c>
      <c r="Q33" s="47">
        <v>6</v>
      </c>
      <c r="R33" s="47">
        <v>7</v>
      </c>
      <c r="S33" s="47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5:71" ht="13.15" customHeight="1">
      <c r="I34" s="18">
        <v>1</v>
      </c>
      <c r="K34" s="13" t="s">
        <v>52</v>
      </c>
      <c r="L34" s="190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Q34" s="187"/>
      <c r="BR34" s="187"/>
      <c r="BS34" s="187"/>
    </row>
    <row r="35" spans="5:71" ht="13.15" customHeight="1">
      <c r="I35" s="18">
        <v>2</v>
      </c>
      <c r="K35" s="13" t="s">
        <v>53</v>
      </c>
      <c r="L35" s="190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87"/>
      <c r="Y35" s="187"/>
      <c r="Z35" s="187"/>
      <c r="AA35" s="187"/>
      <c r="AB35" s="187"/>
      <c r="AC35" s="187"/>
      <c r="AD35" s="187"/>
      <c r="AE35" s="187"/>
      <c r="AF35" s="187"/>
      <c r="AG35" s="187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Q35" s="187"/>
      <c r="BR35" s="187"/>
      <c r="BS35" s="187"/>
    </row>
    <row r="36" spans="5:71" ht="13.15" customHeight="1">
      <c r="I36" s="21">
        <v>3</v>
      </c>
      <c r="K36" s="13" t="s">
        <v>54</v>
      </c>
      <c r="L36" s="190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87"/>
      <c r="Y36" s="187"/>
      <c r="Z36" s="187"/>
      <c r="AA36" s="187"/>
      <c r="AB36" s="187"/>
      <c r="AC36" s="187"/>
      <c r="AD36" s="18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</row>
    <row r="37" spans="5:71" ht="13.15" customHeight="1"/>
    <row r="38" spans="5:71" ht="13.15" customHeight="1"/>
    <row r="39" spans="5:71" ht="13.15" customHeight="1"/>
    <row r="40" spans="5:71" ht="13.15" customHeight="1"/>
    <row r="41" spans="5:71" ht="13.15" customHeight="1"/>
    <row r="42" spans="5:71" ht="13.15" customHeight="1">
      <c r="E42" s="3"/>
    </row>
    <row r="43" spans="5:71" ht="13.15" customHeight="1">
      <c r="E43" s="3"/>
    </row>
    <row r="44" spans="5:71" ht="13.15" customHeight="1"/>
    <row r="45" spans="5:71" ht="13.15" customHeight="1"/>
    <row r="46" spans="5:71" ht="13.15" customHeight="1"/>
    <row r="47" spans="5:71" ht="13.15" customHeight="1"/>
    <row r="48" spans="5:71" ht="13.15" customHeight="1"/>
    <row r="49" ht="13.15" customHeight="1"/>
    <row r="50" ht="13.15" customHeight="1"/>
    <row r="51" ht="13.15" customHeight="1"/>
    <row r="52" ht="13.15" customHeight="1"/>
    <row r="53" ht="13.15" customHeight="1"/>
    <row r="54" ht="13.15" customHeight="1"/>
    <row r="55" ht="13.15" customHeight="1"/>
    <row r="56" ht="13.15" customHeight="1"/>
    <row r="57" ht="13.15" customHeight="1"/>
    <row r="58" ht="13.15" customHeight="1"/>
    <row r="59" ht="13.15" customHeight="1"/>
    <row r="63" ht="13.15" customHeight="1"/>
    <row r="73" ht="13.15" customHeight="1"/>
    <row r="74" ht="13.15" customHeight="1"/>
  </sheetData>
  <mergeCells count="15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  <mergeCell ref="C5:F5"/>
  </mergeCells>
  <phoneticPr fontId="2" type="noConversion"/>
  <conditionalFormatting sqref="D19">
    <cfRule type="expression" dxfId="59" priority="25">
      <formula>$C19&lt;&gt;$C18</formula>
    </cfRule>
  </conditionalFormatting>
  <conditionalFormatting sqref="D19">
    <cfRule type="expression" dxfId="58" priority="26">
      <formula>$T51="Y"</formula>
    </cfRule>
  </conditionalFormatting>
  <conditionalFormatting sqref="E19">
    <cfRule type="expression" dxfId="57" priority="23">
      <formula>$C19&lt;&gt;$C18</formula>
    </cfRule>
  </conditionalFormatting>
  <conditionalFormatting sqref="E19">
    <cfRule type="expression" dxfId="56" priority="24">
      <formula>$T51="Y"</formula>
    </cfRule>
  </conditionalFormatting>
  <conditionalFormatting sqref="R6">
    <cfRule type="expression" dxfId="51" priority="18">
      <formula>$L6="GROUP"</formula>
    </cfRule>
  </conditionalFormatting>
  <conditionalFormatting sqref="R7">
    <cfRule type="expression" dxfId="50" priority="17">
      <formula>$L7="GROUP"</formula>
    </cfRule>
  </conditionalFormatting>
  <conditionalFormatting sqref="R8">
    <cfRule type="expression" dxfId="49" priority="16">
      <formula>$L8="GROUP"</formula>
    </cfRule>
  </conditionalFormatting>
  <conditionalFormatting sqref="R9">
    <cfRule type="expression" dxfId="48" priority="15">
      <formula>$L9="GROUP"</formula>
    </cfRule>
  </conditionalFormatting>
  <conditionalFormatting sqref="Y12">
    <cfRule type="expression" dxfId="47" priority="14">
      <formula>$L12="GROUP"</formula>
    </cfRule>
  </conditionalFormatting>
  <conditionalFormatting sqref="U6">
    <cfRule type="expression" dxfId="46" priority="13">
      <formula>$L6="GROUP"</formula>
    </cfRule>
  </conditionalFormatting>
  <conditionalFormatting sqref="U7">
    <cfRule type="expression" dxfId="45" priority="12">
      <formula>$L7="GROUP"</formula>
    </cfRule>
  </conditionalFormatting>
  <conditionalFormatting sqref="U8">
    <cfRule type="expression" dxfId="44" priority="11">
      <formula>$L8="GROUP"</formula>
    </cfRule>
  </conditionalFormatting>
  <conditionalFormatting sqref="U9">
    <cfRule type="expression" dxfId="43" priority="10">
      <formula>$L9="GROUP"</formula>
    </cfRule>
  </conditionalFormatting>
  <conditionalFormatting sqref="AB12">
    <cfRule type="expression" dxfId="42" priority="9">
      <formula>$L12="GROUP"</formula>
    </cfRule>
  </conditionalFormatting>
  <conditionalFormatting sqref="O6">
    <cfRule type="expression" dxfId="41" priority="8">
      <formula>$L6="GROUP"</formula>
    </cfRule>
  </conditionalFormatting>
  <conditionalFormatting sqref="O7">
    <cfRule type="expression" dxfId="40" priority="7">
      <formula>$L7="GROUP"</formula>
    </cfRule>
  </conditionalFormatting>
  <conditionalFormatting sqref="O8">
    <cfRule type="expression" dxfId="39" priority="6">
      <formula>$L8="GROUP"</formula>
    </cfRule>
  </conditionalFormatting>
  <conditionalFormatting sqref="O9">
    <cfRule type="expression" dxfId="38" priority="5">
      <formula>$L9="GROUP"</formula>
    </cfRule>
  </conditionalFormatting>
  <conditionalFormatting sqref="L6">
    <cfRule type="expression" dxfId="3" priority="4">
      <formula>$L6="GROUP"</formula>
    </cfRule>
  </conditionalFormatting>
  <conditionalFormatting sqref="L7">
    <cfRule type="expression" dxfId="2" priority="3">
      <formula>$L7="GROUP"</formula>
    </cfRule>
  </conditionalFormatting>
  <conditionalFormatting sqref="L8">
    <cfRule type="expression" dxfId="1" priority="2">
      <formula>$L8="GROUP"</formula>
    </cfRule>
  </conditionalFormatting>
  <conditionalFormatting sqref="L9">
    <cfRule type="expression" dxfId="0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04"/>
  <sheetViews>
    <sheetView workbookViewId="0">
      <selection activeCell="M12" sqref="M12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07" t="str">
        <f>Trade!B2</f>
        <v>FSP</v>
      </c>
      <c r="C2" s="207"/>
      <c r="D2" s="207"/>
      <c r="E2" s="207"/>
      <c r="F2" s="20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68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3">
        <f>Trade!C5</f>
        <v>0</v>
      </c>
      <c r="D5" s="213"/>
      <c r="E5" s="213"/>
      <c r="F5" s="209"/>
      <c r="J5" s="214"/>
      <c r="K5" s="214"/>
      <c r="M5" s="213" t="str">
        <f>"GIRR/" &amp; Trade!F11</f>
        <v>GIRR/IRKRW-CRS</v>
      </c>
      <c r="N5" s="213"/>
      <c r="P5" s="204" t="str">
        <f>IF(Trade!Y14="F", "GIRR/" &amp; Trade!Y13, "")</f>
        <v/>
      </c>
      <c r="Q5" s="204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355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63</v>
      </c>
      <c r="F7" s="147">
        <v>438643853.19156998</v>
      </c>
      <c r="G7" s="1" t="s">
        <v>9</v>
      </c>
      <c r="H7" s="18">
        <v>1</v>
      </c>
      <c r="I7" s="2"/>
      <c r="J7" s="194"/>
      <c r="K7" s="195"/>
      <c r="M7" s="37">
        <v>0</v>
      </c>
      <c r="N7" s="31">
        <v>-609272138.73565197</v>
      </c>
      <c r="P7" s="37"/>
      <c r="Q7" s="31"/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63</v>
      </c>
      <c r="F8" s="148">
        <v>-609252023.75829196</v>
      </c>
      <c r="G8" s="1" t="s">
        <v>9</v>
      </c>
      <c r="H8" s="18">
        <v>2</v>
      </c>
      <c r="I8" s="2"/>
      <c r="J8" s="194"/>
      <c r="K8" s="195"/>
      <c r="M8" s="37">
        <v>1</v>
      </c>
      <c r="N8" s="31">
        <v>-372238006.19900227</v>
      </c>
      <c r="P8" s="37"/>
      <c r="Q8" s="31"/>
    </row>
    <row r="9" spans="1:26">
      <c r="C9" s="47">
        <v>3</v>
      </c>
      <c r="D9" s="34" t="s">
        <v>18</v>
      </c>
      <c r="E9" s="40" t="s">
        <v>64</v>
      </c>
      <c r="F9" s="182"/>
      <c r="G9" s="1" t="s">
        <v>9</v>
      </c>
      <c r="H9" s="18">
        <v>3</v>
      </c>
      <c r="I9" s="2"/>
      <c r="J9" s="194"/>
      <c r="K9" s="195"/>
      <c r="M9" s="37">
        <v>2</v>
      </c>
      <c r="N9" s="31">
        <v>-237034132.5366497</v>
      </c>
      <c r="P9" s="37"/>
      <c r="Q9" s="31"/>
    </row>
    <row r="10" spans="1:26">
      <c r="B10" s="3"/>
      <c r="C10" s="47">
        <v>4</v>
      </c>
      <c r="D10" s="29" t="s">
        <v>19</v>
      </c>
      <c r="E10" s="39" t="s">
        <v>63</v>
      </c>
      <c r="F10" s="148">
        <v>846334880.59043896</v>
      </c>
      <c r="G10" s="1" t="s">
        <v>9</v>
      </c>
      <c r="H10" s="18">
        <v>4</v>
      </c>
      <c r="I10" s="2"/>
      <c r="J10" s="194"/>
      <c r="K10" s="195"/>
      <c r="M10" s="37"/>
      <c r="N10" s="31"/>
      <c r="P10" s="37"/>
      <c r="Q10" s="31"/>
    </row>
    <row r="11" spans="1:26">
      <c r="C11" s="47">
        <v>5</v>
      </c>
      <c r="D11" s="29" t="s">
        <v>29</v>
      </c>
      <c r="E11" s="39" t="s">
        <v>63</v>
      </c>
      <c r="F11" s="148">
        <v>1.38904109589041</v>
      </c>
      <c r="G11" s="1" t="s">
        <v>9</v>
      </c>
      <c r="H11" s="18">
        <v>5</v>
      </c>
      <c r="I11" s="2"/>
      <c r="J11" s="194"/>
      <c r="K11" s="195"/>
      <c r="M11" s="37"/>
      <c r="N11" s="31"/>
      <c r="P11" s="37"/>
      <c r="Q11" s="31"/>
    </row>
    <row r="12" spans="1:26">
      <c r="C12" s="47">
        <v>6</v>
      </c>
      <c r="D12" s="29" t="s">
        <v>62</v>
      </c>
      <c r="E12" s="39" t="s">
        <v>63</v>
      </c>
      <c r="F12" s="148">
        <v>2.5649209288635801</v>
      </c>
      <c r="G12" s="1" t="s">
        <v>9</v>
      </c>
      <c r="H12" s="18">
        <v>6</v>
      </c>
      <c r="I12" s="2"/>
      <c r="M12" s="37"/>
      <c r="N12" s="31"/>
      <c r="P12" s="37"/>
      <c r="Q12" s="31"/>
    </row>
    <row r="13" spans="1:26">
      <c r="C13" s="47">
        <v>7</v>
      </c>
      <c r="D13" s="29" t="s">
        <v>30</v>
      </c>
      <c r="E13" s="39" t="s">
        <v>63</v>
      </c>
      <c r="F13" s="148">
        <v>-60925.202375829198</v>
      </c>
      <c r="G13" s="1" t="s">
        <v>9</v>
      </c>
      <c r="H13" s="18">
        <v>6</v>
      </c>
      <c r="I13" s="2"/>
      <c r="M13" s="37"/>
      <c r="N13" s="31"/>
      <c r="P13" s="37"/>
      <c r="Q13" s="31"/>
    </row>
    <row r="14" spans="1:26">
      <c r="C14" s="47">
        <v>8</v>
      </c>
      <c r="D14" s="17" t="s">
        <v>21</v>
      </c>
      <c r="E14" s="19" t="s">
        <v>63</v>
      </c>
      <c r="F14" s="36" t="s">
        <v>712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64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64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64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64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64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64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64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64</v>
      </c>
      <c r="F22" s="41"/>
      <c r="G22" s="1" t="s">
        <v>9</v>
      </c>
      <c r="J22" s="204"/>
      <c r="K22" s="204"/>
      <c r="M22" s="213" t="str">
        <f>"GIRR/" &amp; Trade!F11</f>
        <v>GIRR/IRKRW-CRS</v>
      </c>
      <c r="N22" s="213"/>
      <c r="P22" s="204"/>
      <c r="Q22" s="204"/>
    </row>
    <row r="23" spans="2:25">
      <c r="C23" s="47">
        <v>17</v>
      </c>
      <c r="D23" s="17" t="s">
        <v>38</v>
      </c>
      <c r="E23" s="19" t="s">
        <v>63</v>
      </c>
      <c r="F23" s="36" t="s">
        <v>702</v>
      </c>
      <c r="G23" s="1" t="s">
        <v>9</v>
      </c>
      <c r="H23" s="15" t="s">
        <v>10</v>
      </c>
      <c r="J23" s="23" t="s">
        <v>65</v>
      </c>
      <c r="K23" s="23" t="s">
        <v>12</v>
      </c>
      <c r="M23" s="23" t="s">
        <v>65</v>
      </c>
      <c r="N23" s="23" t="s">
        <v>12</v>
      </c>
      <c r="P23" s="23" t="s">
        <v>65</v>
      </c>
      <c r="Q23" s="23" t="s">
        <v>12</v>
      </c>
    </row>
    <row r="24" spans="2:25">
      <c r="C24" s="47">
        <v>18</v>
      </c>
      <c r="D24" s="34" t="s">
        <v>81</v>
      </c>
      <c r="E24" s="40" t="s">
        <v>64</v>
      </c>
      <c r="F24" s="41"/>
      <c r="G24" s="1" t="s">
        <v>9</v>
      </c>
      <c r="H24" s="18">
        <v>1</v>
      </c>
      <c r="J24" s="6"/>
      <c r="K24" s="164"/>
      <c r="M24" s="6" t="s">
        <v>66</v>
      </c>
      <c r="N24" s="164">
        <v>-10236665.325180471</v>
      </c>
      <c r="P24" s="6"/>
      <c r="Q24" s="164"/>
    </row>
    <row r="25" spans="2:25">
      <c r="C25" s="47">
        <v>19</v>
      </c>
      <c r="D25" s="34" t="s">
        <v>39</v>
      </c>
      <c r="E25" s="40" t="s">
        <v>63</v>
      </c>
      <c r="F25" s="41"/>
      <c r="G25" s="1" t="s">
        <v>9</v>
      </c>
      <c r="H25" s="21">
        <v>2</v>
      </c>
      <c r="J25" s="6"/>
      <c r="K25" s="164"/>
      <c r="M25" s="6" t="s">
        <v>67</v>
      </c>
      <c r="N25" s="164">
        <v>10481267.469933569</v>
      </c>
      <c r="P25" s="6"/>
      <c r="Q25" s="164"/>
    </row>
    <row r="26" spans="2:25">
      <c r="C26" s="47">
        <v>20</v>
      </c>
      <c r="D26" s="34" t="s">
        <v>40</v>
      </c>
      <c r="E26" s="40" t="s">
        <v>63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63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63</v>
      </c>
      <c r="F28" s="36" t="s">
        <v>713</v>
      </c>
      <c r="G28" s="1" t="s">
        <v>9</v>
      </c>
      <c r="H28" s="3" t="s">
        <v>547</v>
      </c>
    </row>
    <row r="29" spans="2:25">
      <c r="C29" s="47">
        <v>23</v>
      </c>
      <c r="D29" s="26" t="s">
        <v>42</v>
      </c>
      <c r="E29" s="56" t="s">
        <v>63</v>
      </c>
      <c r="F29" s="146"/>
      <c r="G29" s="1" t="s">
        <v>9</v>
      </c>
      <c r="H29" s="3" t="s">
        <v>343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9" t="s">
        <v>57</v>
      </c>
      <c r="E30" s="40" t="s">
        <v>63</v>
      </c>
      <c r="F30" s="197"/>
      <c r="G30" s="1" t="s">
        <v>9</v>
      </c>
    </row>
    <row r="31" spans="2:25">
      <c r="D31" s="2"/>
      <c r="E31" s="2"/>
      <c r="F31" s="2"/>
    </row>
    <row r="32" spans="2:25">
      <c r="B32" s="38" t="s">
        <v>84</v>
      </c>
      <c r="C32" s="38"/>
      <c r="D32" s="38"/>
      <c r="E32" s="38"/>
      <c r="F32" s="38"/>
      <c r="G32" s="1" t="s">
        <v>9</v>
      </c>
      <c r="H32" s="9" t="s">
        <v>61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60</v>
      </c>
      <c r="F33" s="14" t="s">
        <v>2</v>
      </c>
      <c r="G33" s="1" t="s">
        <v>9</v>
      </c>
      <c r="J33" s="24" t="s">
        <v>215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697</v>
      </c>
      <c r="E34" s="17" t="s">
        <v>696</v>
      </c>
      <c r="F34" s="196" t="s">
        <v>698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0">
        <v>2</v>
      </c>
      <c r="D35" s="35" t="s">
        <v>86</v>
      </c>
      <c r="E35" s="17" t="s">
        <v>565</v>
      </c>
      <c r="F35" s="183">
        <v>1.7000000000000001E-2</v>
      </c>
      <c r="H35" s="18">
        <v>1</v>
      </c>
      <c r="J35" s="177" t="s">
        <v>550</v>
      </c>
      <c r="K35" s="2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0">
        <v>3</v>
      </c>
      <c r="D36" s="201" t="s">
        <v>210</v>
      </c>
      <c r="E36" s="34" t="s">
        <v>566</v>
      </c>
      <c r="F36" s="202"/>
      <c r="H36" s="18">
        <v>2</v>
      </c>
      <c r="J36" s="177" t="s">
        <v>551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58</v>
      </c>
      <c r="E37" s="49" t="s">
        <v>212</v>
      </c>
      <c r="F37" s="43">
        <v>1</v>
      </c>
      <c r="G37" s="1"/>
      <c r="H37" s="18">
        <v>3</v>
      </c>
      <c r="I37" s="1"/>
      <c r="J37" s="177" t="s">
        <v>552</v>
      </c>
      <c r="K37" s="185">
        <v>452730000</v>
      </c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5"/>
      <c r="CA37" s="185"/>
      <c r="CB37" s="185"/>
      <c r="CC37" s="185"/>
      <c r="CD37" s="185"/>
      <c r="CE37" s="185"/>
      <c r="CF37" s="185"/>
      <c r="CG37" s="185"/>
      <c r="CH37" s="185"/>
      <c r="CI37" s="185"/>
      <c r="CJ37" s="185"/>
      <c r="CK37" s="185"/>
      <c r="CL37" s="185"/>
      <c r="CM37" s="185"/>
      <c r="CN37" s="185"/>
      <c r="CO37" s="185"/>
      <c r="CP37" s="185"/>
      <c r="CQ37" s="185"/>
      <c r="CR37" s="185"/>
      <c r="CS37" s="185"/>
      <c r="CT37" s="185"/>
      <c r="CU37" s="185"/>
      <c r="CV37" s="185"/>
      <c r="CW37" s="185"/>
      <c r="CX37" s="185"/>
      <c r="CY37" s="185"/>
      <c r="CZ37" s="185"/>
      <c r="DA37" s="185"/>
      <c r="DB37" s="185"/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5"/>
      <c r="DN37" s="185"/>
      <c r="DO37" s="185"/>
      <c r="DP37" s="185"/>
      <c r="DQ37" s="185"/>
      <c r="DR37" s="185"/>
      <c r="DS37" s="185"/>
      <c r="DT37" s="185"/>
      <c r="DU37" s="185"/>
      <c r="DV37" s="185"/>
      <c r="DW37" s="185"/>
      <c r="DX37" s="185"/>
      <c r="DY37" s="185"/>
      <c r="DZ37" s="185"/>
    </row>
    <row r="38" spans="1:130" s="98" customFormat="1">
      <c r="A38" s="1"/>
      <c r="B38" s="1"/>
      <c r="C38" s="48">
        <v>5</v>
      </c>
      <c r="D38" s="35" t="s">
        <v>70</v>
      </c>
      <c r="E38" s="35" t="s">
        <v>59</v>
      </c>
      <c r="F38" s="35" t="s">
        <v>699</v>
      </c>
      <c r="G38" s="1"/>
      <c r="H38" s="18">
        <v>4</v>
      </c>
      <c r="I38" s="1"/>
      <c r="J38" s="177" t="s">
        <v>553</v>
      </c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</row>
    <row r="39" spans="1:130">
      <c r="C39" s="48">
        <v>6</v>
      </c>
      <c r="D39" s="35" t="s">
        <v>85</v>
      </c>
      <c r="E39" s="51" t="s">
        <v>87</v>
      </c>
      <c r="F39" s="52">
        <v>0.75</v>
      </c>
      <c r="H39" s="18">
        <v>5</v>
      </c>
      <c r="J39" s="180" t="s">
        <v>554</v>
      </c>
      <c r="K39" s="179">
        <v>46164</v>
      </c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179"/>
      <c r="BM39" s="179"/>
      <c r="BN39" s="179"/>
      <c r="BO39" s="179"/>
      <c r="BP39" s="179"/>
      <c r="BQ39" s="179"/>
      <c r="BR39" s="179"/>
      <c r="BS39" s="179"/>
      <c r="BT39" s="179"/>
      <c r="BU39" s="179"/>
      <c r="BV39" s="179"/>
      <c r="BW39" s="179"/>
      <c r="BX39" s="179"/>
      <c r="BY39" s="179"/>
      <c r="BZ39" s="179"/>
      <c r="CA39" s="179"/>
      <c r="CB39" s="179"/>
      <c r="CC39" s="179"/>
      <c r="CD39" s="179"/>
      <c r="CE39" s="179"/>
      <c r="CF39" s="179"/>
      <c r="CG39" s="179"/>
      <c r="CH39" s="179"/>
      <c r="CI39" s="179"/>
      <c r="CJ39" s="179"/>
      <c r="CK39" s="179"/>
      <c r="CL39" s="179"/>
      <c r="CM39" s="179"/>
      <c r="CN39" s="179"/>
      <c r="CO39" s="179"/>
      <c r="CP39" s="179"/>
      <c r="CQ39" s="179"/>
      <c r="CR39" s="179"/>
      <c r="CS39" s="179"/>
      <c r="CT39" s="179"/>
      <c r="CU39" s="179"/>
      <c r="CV39" s="179"/>
      <c r="CW39" s="179"/>
      <c r="CX39" s="179"/>
      <c r="CY39" s="179"/>
      <c r="CZ39" s="179"/>
      <c r="DA39" s="179"/>
      <c r="DB39" s="179"/>
      <c r="DC39" s="179"/>
      <c r="DD39" s="179"/>
      <c r="DE39" s="179"/>
      <c r="DF39" s="179"/>
      <c r="DG39" s="179"/>
      <c r="DH39" s="179"/>
      <c r="DI39" s="179"/>
      <c r="DJ39" s="179"/>
      <c r="DK39" s="179"/>
      <c r="DL39" s="179"/>
      <c r="DM39" s="179"/>
      <c r="DN39" s="179"/>
      <c r="DO39" s="179"/>
      <c r="DP39" s="179"/>
      <c r="DQ39" s="179"/>
      <c r="DR39" s="179"/>
      <c r="DS39" s="179"/>
      <c r="DT39" s="179"/>
      <c r="DU39" s="179"/>
      <c r="DV39" s="179"/>
      <c r="DW39" s="179"/>
      <c r="DX39" s="179"/>
      <c r="DY39" s="179"/>
      <c r="DZ39" s="179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7" t="s">
        <v>235</v>
      </c>
      <c r="K40" s="185">
        <v>452730000</v>
      </c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7" t="s">
        <v>246</v>
      </c>
      <c r="K41" s="186">
        <v>0.96888620853835627</v>
      </c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</row>
    <row r="42" spans="1:130">
      <c r="C42" s="13" t="s">
        <v>3</v>
      </c>
      <c r="D42" s="14" t="s">
        <v>8</v>
      </c>
      <c r="E42" s="14" t="s">
        <v>60</v>
      </c>
      <c r="F42" s="14" t="s">
        <v>2</v>
      </c>
    </row>
    <row r="43" spans="1:130">
      <c r="C43" s="16">
        <v>1</v>
      </c>
      <c r="D43" s="17" t="s">
        <v>43</v>
      </c>
      <c r="E43" s="17" t="s">
        <v>555</v>
      </c>
      <c r="F43" s="30" t="s">
        <v>548</v>
      </c>
    </row>
    <row r="44" spans="1:130">
      <c r="C44" s="16">
        <v>2</v>
      </c>
      <c r="D44" s="17" t="s">
        <v>24</v>
      </c>
      <c r="E44" s="17" t="s">
        <v>26</v>
      </c>
      <c r="F44" s="30" t="s">
        <v>549</v>
      </c>
    </row>
    <row r="45" spans="1:130">
      <c r="C45" s="16">
        <v>3</v>
      </c>
      <c r="D45" s="17" t="s">
        <v>211</v>
      </c>
      <c r="E45" s="17" t="s">
        <v>0</v>
      </c>
      <c r="F45" s="30" t="s">
        <v>700</v>
      </c>
    </row>
    <row r="46" spans="1:130">
      <c r="C46" s="16">
        <v>4</v>
      </c>
      <c r="D46" s="17" t="s">
        <v>25</v>
      </c>
      <c r="E46" s="17" t="s">
        <v>49</v>
      </c>
      <c r="F46" s="184">
        <v>452730000</v>
      </c>
    </row>
    <row r="47" spans="1:130">
      <c r="C47" s="16">
        <v>5</v>
      </c>
      <c r="D47" s="17" t="s">
        <v>44</v>
      </c>
      <c r="E47" s="27" t="s">
        <v>106</v>
      </c>
      <c r="F47" s="184">
        <v>10</v>
      </c>
    </row>
    <row r="48" spans="1:130">
      <c r="C48" s="16">
        <v>6</v>
      </c>
      <c r="D48" s="17" t="s">
        <v>45</v>
      </c>
      <c r="E48" s="27" t="s">
        <v>107</v>
      </c>
      <c r="F48" s="30" t="s">
        <v>213</v>
      </c>
      <c r="AH48" s="166"/>
    </row>
    <row r="49" spans="3:34">
      <c r="C49" s="16">
        <v>7</v>
      </c>
      <c r="D49" s="17" t="s">
        <v>46</v>
      </c>
      <c r="E49" s="27" t="s">
        <v>108</v>
      </c>
      <c r="F49" s="30" t="s">
        <v>701</v>
      </c>
      <c r="AH49" s="166"/>
    </row>
    <row r="50" spans="3:34">
      <c r="C50" s="16">
        <v>8</v>
      </c>
      <c r="D50" s="17" t="s">
        <v>105</v>
      </c>
      <c r="E50" s="27" t="s">
        <v>209</v>
      </c>
      <c r="F50" s="30" t="s">
        <v>214</v>
      </c>
      <c r="AH50" s="166"/>
    </row>
    <row r="51" spans="3:34">
      <c r="C51" s="16">
        <v>9</v>
      </c>
      <c r="D51" s="17" t="s">
        <v>56</v>
      </c>
      <c r="E51" s="17" t="s">
        <v>565</v>
      </c>
      <c r="F51" s="184">
        <v>1.7000000000000001E-2</v>
      </c>
      <c r="AH51" s="166"/>
    </row>
    <row r="52" spans="3:34">
      <c r="C52" s="16">
        <v>10</v>
      </c>
      <c r="D52" s="17" t="s">
        <v>47</v>
      </c>
      <c r="E52" s="17" t="s">
        <v>50</v>
      </c>
      <c r="F52" s="30">
        <v>9</v>
      </c>
      <c r="AH52" s="166"/>
    </row>
    <row r="53" spans="3:34">
      <c r="C53" s="16">
        <v>11</v>
      </c>
      <c r="D53" s="17" t="s">
        <v>48</v>
      </c>
      <c r="E53" s="17" t="s">
        <v>51</v>
      </c>
      <c r="F53" s="30">
        <v>1</v>
      </c>
      <c r="AH53" s="166"/>
    </row>
    <row r="54" spans="3:34">
      <c r="G54" s="1" t="s">
        <v>356</v>
      </c>
      <c r="AH54" s="166"/>
    </row>
    <row r="55" spans="3:34">
      <c r="G55" s="1" t="s">
        <v>356</v>
      </c>
      <c r="AH55" s="166"/>
    </row>
    <row r="56" spans="3:34">
      <c r="G56" s="1" t="s">
        <v>356</v>
      </c>
      <c r="AH56" s="166"/>
    </row>
    <row r="57" spans="3:34">
      <c r="G57" s="1" t="s">
        <v>356</v>
      </c>
      <c r="AH57" s="166"/>
    </row>
    <row r="58" spans="3:34">
      <c r="G58" s="1" t="s">
        <v>356</v>
      </c>
      <c r="AH58" s="166"/>
    </row>
    <row r="59" spans="3:34">
      <c r="G59" s="1" t="s">
        <v>356</v>
      </c>
      <c r="AH59" s="166"/>
    </row>
    <row r="60" spans="3:34">
      <c r="G60" s="1" t="s">
        <v>356</v>
      </c>
      <c r="AH60" s="166"/>
    </row>
    <row r="61" spans="3:34">
      <c r="E61" s="1"/>
      <c r="AH61" s="166"/>
    </row>
    <row r="62" spans="3:34">
      <c r="D62" s="1" t="s">
        <v>357</v>
      </c>
      <c r="AH62" s="166"/>
    </row>
    <row r="63" spans="3:34">
      <c r="D63" s="1" t="s">
        <v>358</v>
      </c>
      <c r="AH63" s="166"/>
    </row>
    <row r="64" spans="3:34">
      <c r="D64" s="1" t="s">
        <v>359</v>
      </c>
      <c r="AH64" s="166"/>
    </row>
    <row r="65" spans="3:34">
      <c r="C65" s="1"/>
      <c r="D65" s="1" t="s">
        <v>360</v>
      </c>
      <c r="E65" s="1"/>
      <c r="F65" s="1"/>
      <c r="AH65" s="166"/>
    </row>
    <row r="66" spans="3:34">
      <c r="C66" s="1"/>
      <c r="D66" s="1" t="s">
        <v>361</v>
      </c>
      <c r="E66" s="1"/>
      <c r="F66" s="1"/>
      <c r="AH66" s="166"/>
    </row>
    <row r="67" spans="3:34">
      <c r="C67" s="1"/>
      <c r="D67" s="3" t="s">
        <v>362</v>
      </c>
      <c r="E67" s="1"/>
      <c r="F67" s="1"/>
      <c r="AH67" s="166"/>
    </row>
    <row r="68" spans="3:34">
      <c r="C68" s="1"/>
      <c r="D68" s="3" t="s">
        <v>363</v>
      </c>
      <c r="E68" s="1"/>
      <c r="F68" s="1"/>
      <c r="AH68" s="166"/>
    </row>
    <row r="69" spans="3:34">
      <c r="C69" s="1"/>
      <c r="D69" s="1" t="s">
        <v>364</v>
      </c>
      <c r="E69" s="1"/>
      <c r="F69" s="1"/>
      <c r="AH69" s="166"/>
    </row>
    <row r="70" spans="3:34">
      <c r="C70" s="1"/>
      <c r="D70" s="1" t="s">
        <v>365</v>
      </c>
      <c r="E70" s="1"/>
      <c r="F70" s="1"/>
      <c r="AH70" s="166"/>
    </row>
    <row r="71" spans="3:34">
      <c r="C71" s="1"/>
      <c r="D71" s="1" t="s">
        <v>366</v>
      </c>
      <c r="E71" s="1"/>
      <c r="F71" s="1"/>
      <c r="AH71" s="166"/>
    </row>
    <row r="72" spans="3:34">
      <c r="C72" s="1"/>
      <c r="D72" s="1" t="s">
        <v>367</v>
      </c>
      <c r="E72" s="1"/>
      <c r="F72" s="1"/>
      <c r="AH72" s="166"/>
    </row>
    <row r="73" spans="3:34">
      <c r="C73" s="1"/>
      <c r="D73" s="1" t="s">
        <v>368</v>
      </c>
      <c r="E73" s="1"/>
      <c r="F73" s="1"/>
      <c r="AH73" s="166"/>
    </row>
    <row r="74" spans="3:34">
      <c r="C74" s="1"/>
      <c r="D74" s="1" t="s">
        <v>369</v>
      </c>
      <c r="E74" s="1"/>
      <c r="F74" s="1"/>
      <c r="AH74" s="166"/>
    </row>
    <row r="75" spans="3:34">
      <c r="D75" s="1" t="s">
        <v>370</v>
      </c>
      <c r="O75" s="165"/>
      <c r="P75" s="165"/>
      <c r="Q75" s="165"/>
      <c r="AH75" s="166"/>
    </row>
    <row r="76" spans="3:34">
      <c r="D76" s="1" t="s">
        <v>371</v>
      </c>
      <c r="K76" s="166"/>
      <c r="L76" s="166"/>
      <c r="M76" s="166"/>
      <c r="N76" s="166"/>
      <c r="O76" s="165"/>
      <c r="P76" s="165"/>
      <c r="Q76" s="165"/>
      <c r="AH76" s="166"/>
    </row>
    <row r="77" spans="3:34">
      <c r="D77" s="1" t="s">
        <v>372</v>
      </c>
      <c r="O77" s="165"/>
      <c r="P77" s="165"/>
      <c r="Q77" s="165"/>
      <c r="AH77" s="166"/>
    </row>
    <row r="78" spans="3:34">
      <c r="D78" s="1" t="s">
        <v>373</v>
      </c>
      <c r="K78" s="165"/>
      <c r="N78" s="165"/>
      <c r="O78" s="165"/>
      <c r="P78" s="165"/>
      <c r="Q78" s="165"/>
      <c r="AH78" s="166"/>
    </row>
    <row r="79" spans="3:34">
      <c r="D79" s="1" t="s">
        <v>374</v>
      </c>
      <c r="K79" s="165"/>
      <c r="N79" s="165"/>
      <c r="O79" s="165"/>
      <c r="P79" s="165"/>
      <c r="Q79" s="165"/>
      <c r="AH79" s="166"/>
    </row>
    <row r="80" spans="3:34">
      <c r="D80" s="1" t="s">
        <v>375</v>
      </c>
      <c r="K80" s="165"/>
      <c r="N80" s="165"/>
      <c r="O80" s="165"/>
      <c r="P80" s="165"/>
      <c r="Q80" s="165"/>
      <c r="AH80" s="166"/>
    </row>
    <row r="81" spans="4:34">
      <c r="D81" s="1" t="s">
        <v>376</v>
      </c>
      <c r="K81" s="165"/>
      <c r="N81" s="165"/>
      <c r="O81" s="165"/>
      <c r="P81" s="165"/>
      <c r="Q81" s="165"/>
      <c r="AH81" s="166"/>
    </row>
    <row r="82" spans="4:34">
      <c r="D82" s="1" t="s">
        <v>377</v>
      </c>
      <c r="K82" s="165"/>
      <c r="N82" s="165"/>
      <c r="O82" s="165"/>
      <c r="P82" s="165"/>
      <c r="Q82" s="165"/>
      <c r="AH82" s="166"/>
    </row>
    <row r="83" spans="4:34" ht="13.5" customHeight="1">
      <c r="D83" s="1" t="s">
        <v>378</v>
      </c>
      <c r="K83" s="165"/>
      <c r="N83" s="165"/>
      <c r="O83" s="165"/>
      <c r="P83" s="165"/>
      <c r="Q83" s="165"/>
      <c r="AH83" s="166"/>
    </row>
    <row r="84" spans="4:34">
      <c r="D84" s="1" t="s">
        <v>379</v>
      </c>
      <c r="K84" s="165"/>
      <c r="N84" s="165"/>
      <c r="O84" s="165"/>
      <c r="P84" s="165"/>
      <c r="Q84" s="165"/>
      <c r="AH84" s="166"/>
    </row>
    <row r="85" spans="4:34">
      <c r="D85" s="3" t="s">
        <v>380</v>
      </c>
      <c r="K85" s="165"/>
      <c r="N85" s="165"/>
      <c r="O85" s="165"/>
      <c r="P85" s="165"/>
      <c r="Q85" s="165"/>
      <c r="AH85" s="166"/>
    </row>
    <row r="86" spans="4:34">
      <c r="K86" s="165"/>
      <c r="N86" s="165"/>
      <c r="O86" s="165"/>
      <c r="P86" s="165"/>
      <c r="Q86" s="165"/>
      <c r="AH86" s="166"/>
    </row>
    <row r="87" spans="4:34">
      <c r="K87" s="165"/>
      <c r="N87" s="165"/>
      <c r="O87" s="165"/>
      <c r="P87" s="165"/>
      <c r="Q87" s="165"/>
      <c r="AH87" s="166"/>
    </row>
    <row r="88" spans="4:34">
      <c r="K88" s="165"/>
      <c r="N88" s="165"/>
      <c r="O88" s="165"/>
      <c r="P88" s="165"/>
      <c r="Q88" s="165"/>
      <c r="AH88" s="166"/>
    </row>
    <row r="89" spans="4:34">
      <c r="K89" s="165"/>
      <c r="N89" s="165"/>
      <c r="O89" s="165"/>
      <c r="P89" s="165"/>
      <c r="Q89" s="165"/>
      <c r="AH89" s="166"/>
    </row>
    <row r="90" spans="4:34">
      <c r="K90" s="165"/>
      <c r="N90" s="165"/>
      <c r="O90" s="165"/>
      <c r="P90" s="165"/>
      <c r="Q90" s="165"/>
      <c r="AH90" s="166"/>
    </row>
    <row r="91" spans="4:34">
      <c r="K91" s="165"/>
      <c r="N91" s="165"/>
      <c r="O91" s="165"/>
      <c r="P91" s="165"/>
      <c r="Q91" s="165"/>
      <c r="AH91" s="166"/>
    </row>
    <row r="92" spans="4:34">
      <c r="K92" s="165"/>
      <c r="N92" s="165"/>
      <c r="O92" s="165"/>
      <c r="P92" s="165"/>
      <c r="Q92" s="165"/>
      <c r="AH92" s="166"/>
    </row>
    <row r="93" spans="4:34">
      <c r="K93" s="165"/>
      <c r="N93" s="165"/>
      <c r="O93" s="165"/>
      <c r="P93" s="165"/>
      <c r="Q93" s="165"/>
      <c r="AH93" s="166"/>
    </row>
    <row r="94" spans="4:34">
      <c r="K94" s="165"/>
      <c r="N94" s="165"/>
      <c r="O94" s="165"/>
      <c r="P94" s="165"/>
      <c r="Q94" s="165"/>
      <c r="AH94" s="166"/>
    </row>
    <row r="95" spans="4:34">
      <c r="K95" s="165"/>
      <c r="N95" s="165"/>
      <c r="O95" s="165"/>
      <c r="P95" s="165"/>
      <c r="Q95" s="165"/>
      <c r="AH95" s="166"/>
    </row>
    <row r="96" spans="4:34">
      <c r="K96" s="165"/>
      <c r="N96" s="165"/>
      <c r="O96" s="165"/>
      <c r="P96" s="165"/>
      <c r="Q96" s="165"/>
      <c r="AH96" s="166"/>
    </row>
    <row r="97" spans="11:34">
      <c r="K97" s="165"/>
      <c r="N97" s="165"/>
      <c r="O97" s="165"/>
      <c r="P97" s="165"/>
      <c r="Q97" s="165"/>
      <c r="AH97" s="166"/>
    </row>
    <row r="98" spans="11:34">
      <c r="K98" s="165"/>
      <c r="N98" s="165"/>
      <c r="O98" s="165"/>
      <c r="P98" s="165"/>
      <c r="Q98" s="165"/>
      <c r="AH98" s="166"/>
    </row>
    <row r="99" spans="11:34">
      <c r="K99" s="165"/>
      <c r="N99" s="165"/>
      <c r="O99" s="165"/>
      <c r="P99" s="165"/>
      <c r="Q99" s="165"/>
      <c r="AH99" s="166"/>
    </row>
    <row r="100" spans="11:34">
      <c r="K100" s="165"/>
      <c r="N100" s="165"/>
      <c r="O100" s="165"/>
      <c r="P100" s="165"/>
      <c r="Q100" s="165"/>
      <c r="AH100" s="166"/>
    </row>
    <row r="101" spans="11:34">
      <c r="K101" s="165"/>
      <c r="N101" s="165"/>
      <c r="O101" s="165"/>
      <c r="P101" s="165"/>
      <c r="Q101" s="165"/>
      <c r="AH101" s="166"/>
    </row>
    <row r="102" spans="11:34">
      <c r="K102" s="165"/>
      <c r="N102" s="165"/>
      <c r="O102" s="165"/>
      <c r="P102" s="165"/>
      <c r="Q102" s="165"/>
      <c r="AH102" s="166"/>
    </row>
    <row r="103" spans="11:34">
      <c r="K103" s="165"/>
      <c r="N103" s="165"/>
      <c r="O103" s="165"/>
      <c r="P103" s="165"/>
      <c r="Q103" s="165"/>
      <c r="AH103" s="166"/>
    </row>
    <row r="104" spans="11:34">
      <c r="K104" s="165"/>
      <c r="AH104" s="166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dataValidations count="3">
    <dataValidation type="list" allowBlank="1" showInputMessage="1" showErrorMessage="1" sqref="F37" xr:uid="{14F22BD6-4EE7-452B-BD06-E1C08D5502AB}">
      <formula1>"0,1"</formula1>
    </dataValidation>
    <dataValidation type="list" allowBlank="1" showInputMessage="1" showErrorMessage="1" sqref="E7:E30" xr:uid="{3D28A749-AF57-4D0C-8E1A-E3F1E63248E5}">
      <formula1>"Y,N"</formula1>
    </dataValidation>
    <dataValidation type="list" allowBlank="1" showInputMessage="1" showErrorMessage="1" sqref="F34" xr:uid="{7F0B2A45-FBC8-47A3-9352-BD6C68802154}">
      <formula1>"ZCL"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4" t="s">
        <v>242</v>
      </c>
      <c r="I1" s="1" t="s">
        <v>332</v>
      </c>
    </row>
    <row r="2" spans="1:32">
      <c r="A2" s="3"/>
      <c r="C2" s="4"/>
      <c r="D2" s="4"/>
      <c r="E2" s="46"/>
      <c r="F2" s="46"/>
      <c r="G2" s="46"/>
      <c r="H2" s="46"/>
      <c r="I2" s="131" t="s">
        <v>339</v>
      </c>
      <c r="J2" s="131"/>
      <c r="K2" s="132">
        <v>365</v>
      </c>
      <c r="L2" s="132">
        <v>365</v>
      </c>
      <c r="M2" s="132">
        <v>365</v>
      </c>
      <c r="N2" s="132">
        <v>365</v>
      </c>
      <c r="O2" s="132">
        <v>365</v>
      </c>
      <c r="P2" s="132">
        <v>365</v>
      </c>
      <c r="Q2" s="139">
        <v>366</v>
      </c>
      <c r="R2" s="132">
        <v>365</v>
      </c>
      <c r="S2" s="132">
        <v>365</v>
      </c>
      <c r="T2" s="132">
        <v>365</v>
      </c>
      <c r="U2" s="132">
        <v>365</v>
      </c>
      <c r="V2" s="132">
        <v>365</v>
      </c>
      <c r="X2" s="3"/>
      <c r="Y2" s="3"/>
      <c r="Z2" s="33" t="s">
        <v>6</v>
      </c>
      <c r="AA2" s="54"/>
      <c r="AB2" s="55"/>
      <c r="AC2" s="3"/>
      <c r="AD2" s="33" t="s">
        <v>69</v>
      </c>
      <c r="AE2" s="54"/>
      <c r="AF2" s="55"/>
    </row>
    <row r="3" spans="1:32">
      <c r="B3" s="3" t="s">
        <v>217</v>
      </c>
      <c r="C3" s="4"/>
      <c r="I3" s="3" t="s">
        <v>232</v>
      </c>
      <c r="J3" s="9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74</v>
      </c>
      <c r="AA3" s="5"/>
      <c r="AB3" s="17" t="s">
        <v>88</v>
      </c>
      <c r="AC3" s="46"/>
      <c r="AD3" s="20"/>
      <c r="AE3" s="20"/>
      <c r="AF3" s="20"/>
    </row>
    <row r="4" spans="1:32">
      <c r="B4" s="57" t="s">
        <v>222</v>
      </c>
      <c r="C4" s="60"/>
      <c r="E4" s="57" t="s">
        <v>216</v>
      </c>
      <c r="F4" s="57"/>
      <c r="G4" s="57"/>
      <c r="H4" s="57"/>
      <c r="I4" s="57"/>
      <c r="J4" s="70" t="e">
        <f>C5</f>
        <v>#REF!</v>
      </c>
      <c r="K4" s="71" t="e">
        <f xml:space="preserve"> IF(#REF!="", "",#REF!)</f>
        <v>#REF!</v>
      </c>
      <c r="L4" s="71" t="e">
        <f xml:space="preserve"> IF(#REF!="", "",#REF!)</f>
        <v>#REF!</v>
      </c>
      <c r="M4" s="71" t="e">
        <f xml:space="preserve"> IF(#REF!="", "",#REF!)</f>
        <v>#REF!</v>
      </c>
      <c r="N4" s="71" t="e">
        <f xml:space="preserve"> IF(#REF!="", "",#REF!)</f>
        <v>#REF!</v>
      </c>
      <c r="O4" s="71" t="e">
        <f xml:space="preserve"> IF(#REF!="", "",#REF!)</f>
        <v>#REF!</v>
      </c>
      <c r="P4" s="71" t="e">
        <f xml:space="preserve"> IF(#REF!="", "",#REF!)</f>
        <v>#REF!</v>
      </c>
      <c r="Q4" s="71" t="e">
        <f xml:space="preserve"> IF(#REF!="", "",#REF!)</f>
        <v>#REF!</v>
      </c>
      <c r="R4" s="71" t="e">
        <f xml:space="preserve"> IF(#REF!="", "",#REF!)</f>
        <v>#REF!</v>
      </c>
      <c r="S4" s="71" t="e">
        <f xml:space="preserve"> IF(#REF!="", "",#REF!)</f>
        <v>#REF!</v>
      </c>
      <c r="T4" s="71" t="e">
        <f xml:space="preserve"> IF(#REF!="", "",#REF!)</f>
        <v>#REF!</v>
      </c>
      <c r="U4" s="71" t="e">
        <f xml:space="preserve"> IF(#REF!="", "",#REF!)</f>
        <v>#REF!</v>
      </c>
      <c r="V4" s="71" t="e">
        <f xml:space="preserve"> IF(#REF!="", "",#REF!)</f>
        <v>#REF!</v>
      </c>
      <c r="Z4" s="5" t="s">
        <v>75</v>
      </c>
      <c r="AA4" s="5"/>
      <c r="AB4" s="17" t="s">
        <v>90</v>
      </c>
      <c r="AC4" s="4"/>
      <c r="AD4" s="17"/>
      <c r="AE4" s="17"/>
      <c r="AF4" s="17"/>
    </row>
    <row r="5" spans="1:32">
      <c r="B5" s="3" t="s">
        <v>218</v>
      </c>
      <c r="C5" s="58" t="e">
        <f>MID(Trade!#REF!,1,4) &amp;"-" &amp; MID(Trade!#REF!,5,2) &amp;"-" &amp; MID(Trade!#REF!,7,2)</f>
        <v>#REF!</v>
      </c>
      <c r="E5" s="68" t="s">
        <v>228</v>
      </c>
      <c r="F5" s="68" t="s">
        <v>223</v>
      </c>
      <c r="G5" s="68" t="s">
        <v>224</v>
      </c>
      <c r="H5" s="68" t="s">
        <v>394</v>
      </c>
      <c r="I5" s="63"/>
      <c r="J5" s="135" t="e">
        <f>J4-J3</f>
        <v>#REF!</v>
      </c>
      <c r="K5" s="63" t="e">
        <f>IF(K4&lt;&gt;"", K4-$J4, "")</f>
        <v>#REF!</v>
      </c>
      <c r="L5" s="63" t="e">
        <f t="shared" ref="L5:V5" si="0">IF(L4&lt;&gt;"", L4-$J4, "")</f>
        <v>#REF!</v>
      </c>
      <c r="M5" s="63" t="e">
        <f t="shared" si="0"/>
        <v>#REF!</v>
      </c>
      <c r="N5" s="63" t="e">
        <f t="shared" si="0"/>
        <v>#REF!</v>
      </c>
      <c r="O5" s="63" t="e">
        <f t="shared" si="0"/>
        <v>#REF!</v>
      </c>
      <c r="P5" s="63" t="e">
        <f t="shared" si="0"/>
        <v>#REF!</v>
      </c>
      <c r="Q5" s="63" t="e">
        <f t="shared" si="0"/>
        <v>#REF!</v>
      </c>
      <c r="R5" s="63" t="e">
        <f t="shared" si="0"/>
        <v>#REF!</v>
      </c>
      <c r="S5" s="63" t="e">
        <f t="shared" si="0"/>
        <v>#REF!</v>
      </c>
      <c r="T5" s="63" t="e">
        <f t="shared" si="0"/>
        <v>#REF!</v>
      </c>
      <c r="U5" s="63" t="e">
        <f t="shared" si="0"/>
        <v>#REF!</v>
      </c>
      <c r="V5" s="63" t="e">
        <f t="shared" si="0"/>
        <v>#REF!</v>
      </c>
      <c r="Z5" s="5" t="s">
        <v>77</v>
      </c>
      <c r="AA5" s="5"/>
      <c r="AB5" s="17" t="s">
        <v>92</v>
      </c>
      <c r="AC5" s="4"/>
      <c r="AD5" s="17"/>
      <c r="AE5" s="17"/>
      <c r="AF5" s="17"/>
    </row>
    <row r="6" spans="1:32">
      <c r="B6" s="3" t="s">
        <v>219</v>
      </c>
      <c r="C6" s="59" t="e">
        <f>Trade!#REF!</f>
        <v>#REF!</v>
      </c>
      <c r="F6" s="3" t="s">
        <v>386</v>
      </c>
      <c r="G6" s="3" t="s">
        <v>225</v>
      </c>
      <c r="H6" s="3" t="s">
        <v>227</v>
      </c>
      <c r="J6" s="136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78</v>
      </c>
      <c r="AA6" s="5"/>
      <c r="AB6" s="17" t="s">
        <v>94</v>
      </c>
      <c r="AC6" s="4"/>
      <c r="AD6" s="17"/>
      <c r="AE6" s="17"/>
      <c r="AF6" s="17"/>
    </row>
    <row r="7" spans="1:32">
      <c r="B7" s="3" t="s">
        <v>28</v>
      </c>
      <c r="C7" s="59" t="e">
        <f>Trade!#REF!</f>
        <v>#REF!</v>
      </c>
      <c r="F7" s="3" t="s">
        <v>230</v>
      </c>
      <c r="G7" s="3" t="s">
        <v>231</v>
      </c>
      <c r="H7" s="3" t="s">
        <v>338</v>
      </c>
      <c r="J7" s="138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220</v>
      </c>
      <c r="C8" s="4">
        <v>6</v>
      </c>
      <c r="F8" s="3" t="s">
        <v>385</v>
      </c>
      <c r="G8" s="3" t="s">
        <v>233</v>
      </c>
      <c r="H8" s="3" t="s">
        <v>234</v>
      </c>
      <c r="J8" s="136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10</v>
      </c>
      <c r="Y8" s="12"/>
      <c r="Z8" s="13" t="s">
        <v>11</v>
      </c>
      <c r="AA8" s="13" t="s">
        <v>331</v>
      </c>
      <c r="AB8" s="13" t="s">
        <v>12</v>
      </c>
      <c r="AD8" s="13" t="s">
        <v>11</v>
      </c>
      <c r="AE8" s="13" t="s">
        <v>331</v>
      </c>
      <c r="AF8" s="13" t="s">
        <v>12</v>
      </c>
    </row>
    <row r="9" spans="1:32">
      <c r="B9" s="3" t="s">
        <v>221</v>
      </c>
      <c r="C9" s="62" t="e">
        <f>Trade!#REF!</f>
        <v>#REF!</v>
      </c>
      <c r="E9" s="69"/>
      <c r="F9" s="69" t="s">
        <v>235</v>
      </c>
      <c r="G9" s="69" t="s">
        <v>236</v>
      </c>
      <c r="H9" s="69" t="s">
        <v>237</v>
      </c>
      <c r="I9" s="64"/>
      <c r="J9" s="137" t="e">
        <f>SUM(K9:V9)</f>
        <v>#REF!</v>
      </c>
      <c r="K9" s="72" t="e">
        <f>$C6*$C9*K8</f>
        <v>#REF!</v>
      </c>
      <c r="L9" s="72" t="e">
        <f t="shared" ref="L9:U9" si="4">$C6*$C9*L8</f>
        <v>#REF!</v>
      </c>
      <c r="M9" s="72" t="e">
        <f t="shared" si="4"/>
        <v>#REF!</v>
      </c>
      <c r="N9" s="72" t="e">
        <f t="shared" si="4"/>
        <v>#REF!</v>
      </c>
      <c r="O9" s="72" t="e">
        <f t="shared" si="4"/>
        <v>#REF!</v>
      </c>
      <c r="P9" s="72" t="e">
        <f t="shared" si="4"/>
        <v>#REF!</v>
      </c>
      <c r="Q9" s="72" t="e">
        <f t="shared" si="4"/>
        <v>#REF!</v>
      </c>
      <c r="R9" s="72" t="e">
        <f t="shared" si="4"/>
        <v>#REF!</v>
      </c>
      <c r="S9" s="72" t="e">
        <f t="shared" si="4"/>
        <v>#REF!</v>
      </c>
      <c r="T9" s="72" t="e">
        <f t="shared" si="4"/>
        <v>#REF!</v>
      </c>
      <c r="U9" s="72" t="e">
        <f t="shared" si="4"/>
        <v>#REF!</v>
      </c>
      <c r="V9" s="72" t="e">
        <f>$C6*$C9*V8+C6</f>
        <v>#REF!</v>
      </c>
      <c r="X9" s="18">
        <v>1</v>
      </c>
      <c r="Y9" s="2"/>
      <c r="Z9" s="31">
        <v>90</v>
      </c>
      <c r="AA9" s="31" t="e">
        <f>EDATE($J$4, Z9/30)-$J$4</f>
        <v>#REF!</v>
      </c>
      <c r="AB9" s="32">
        <v>3.3700000000000001E-2</v>
      </c>
      <c r="AD9" s="31">
        <v>180</v>
      </c>
      <c r="AE9" s="31" t="e">
        <f>EDATE($J$4, AD9/30)-$J$4</f>
        <v>#REF!</v>
      </c>
      <c r="AF9" s="32">
        <v>0</v>
      </c>
    </row>
    <row r="10" spans="1:32">
      <c r="B10" s="3" t="s">
        <v>229</v>
      </c>
      <c r="C10" s="61" t="e">
        <f>Trade!#REF!</f>
        <v>#REF!</v>
      </c>
      <c r="E10" s="68" t="s">
        <v>238</v>
      </c>
      <c r="F10" s="68" t="s">
        <v>239</v>
      </c>
      <c r="G10" s="68" t="s">
        <v>240</v>
      </c>
      <c r="H10" s="68" t="s">
        <v>241</v>
      </c>
      <c r="I10" s="63"/>
      <c r="J10" s="65"/>
      <c r="K10" s="63" t="e" cm="1">
        <f t="array" ref="K10">lin_int(K5,$AA$9:$AB$18)+lin_int(K5,$AE$9:$AF$13)</f>
        <v>#VALUE!</v>
      </c>
      <c r="L10" s="63" t="e" cm="1">
        <f t="array" ref="L10">lin_int(L5,$AA$9:$AB$18)+lin_int(L5,$AE$9:$AF$13)</f>
        <v>#VALUE!</v>
      </c>
      <c r="M10" s="63" t="e" cm="1">
        <f t="array" ref="M10">lin_int(M5,$AA$9:$AB$18)+lin_int(M5,$AE$9:$AF$13)</f>
        <v>#VALUE!</v>
      </c>
      <c r="N10" s="63" t="e" cm="1">
        <f t="array" ref="N10">lin_int(N5,$AA$9:$AB$18)+lin_int(N5,$AE$9:$AF$13)</f>
        <v>#VALUE!</v>
      </c>
      <c r="O10" s="63" t="e" cm="1">
        <f t="array" ref="O10">lin_int(O5,$AA$9:$AB$18)+lin_int(O5,$AE$9:$AF$13)</f>
        <v>#VALUE!</v>
      </c>
      <c r="P10" s="63" t="e" cm="1">
        <f t="array" ref="P10">lin_int(P5,$AA$9:$AB$18)+lin_int(P5,$AE$9:$AF$13)</f>
        <v>#VALUE!</v>
      </c>
      <c r="Q10" s="63" t="e" cm="1">
        <f t="array" ref="Q10">lin_int(Q5,$AA$9:$AB$18)+lin_int(Q5,$AE$9:$AF$13)</f>
        <v>#VALUE!</v>
      </c>
      <c r="R10" s="63" t="e" cm="1">
        <f t="array" ref="R10">lin_int(R5,$AA$9:$AB$18)+lin_int(R5,$AE$9:$AF$13)</f>
        <v>#VALUE!</v>
      </c>
      <c r="S10" s="63" t="e" cm="1">
        <f t="array" ref="S10">lin_int(S5,$AA$9:$AB$18)+lin_int(S5,$AE$9:$AF$13)</f>
        <v>#VALUE!</v>
      </c>
      <c r="T10" s="63" t="e" cm="1">
        <f t="array" ref="T10">lin_int(T5,$AA$9:$AB$18)+lin_int(T5,$AE$9:$AF$13)</f>
        <v>#VALUE!</v>
      </c>
      <c r="U10" s="63" t="e" cm="1">
        <f t="array" ref="U10">lin_int(U5,$AA$9:$AB$18)+lin_int(U5,$AE$9:$AF$13)</f>
        <v>#VALUE!</v>
      </c>
      <c r="V10" s="63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#REF!</v>
      </c>
      <c r="AB10" s="32">
        <v>3.1699999999999999E-2</v>
      </c>
      <c r="AD10" s="31">
        <v>360</v>
      </c>
      <c r="AE10" s="31" t="e">
        <f>EDATE($J$4, AD10/30)-$J$4</f>
        <v>#REF!</v>
      </c>
      <c r="AF10" s="32">
        <v>0</v>
      </c>
    </row>
    <row r="11" spans="1:32">
      <c r="B11" s="3" t="s">
        <v>74</v>
      </c>
      <c r="C11" s="4" t="str">
        <f>Trade!L8</f>
        <v>CONT</v>
      </c>
      <c r="E11" s="69"/>
      <c r="F11" s="69" t="s">
        <v>243</v>
      </c>
      <c r="G11" s="69" t="s">
        <v>244</v>
      </c>
      <c r="H11" s="69" t="s">
        <v>245</v>
      </c>
      <c r="I11" s="64"/>
      <c r="J11" s="161">
        <v>1.3889799999999999E-3</v>
      </c>
      <c r="K11" s="73">
        <f>J11</f>
        <v>1.3889799999999999E-3</v>
      </c>
      <c r="L11" s="73">
        <f>K11</f>
        <v>1.3889799999999999E-3</v>
      </c>
      <c r="M11" s="73">
        <f t="shared" ref="M11:V11" si="6">L11</f>
        <v>1.3889799999999999E-3</v>
      </c>
      <c r="N11" s="73">
        <f t="shared" si="6"/>
        <v>1.3889799999999999E-3</v>
      </c>
      <c r="O11" s="73">
        <f t="shared" si="6"/>
        <v>1.3889799999999999E-3</v>
      </c>
      <c r="P11" s="73">
        <f t="shared" si="6"/>
        <v>1.3889799999999999E-3</v>
      </c>
      <c r="Q11" s="73">
        <f t="shared" si="6"/>
        <v>1.3889799999999999E-3</v>
      </c>
      <c r="R11" s="73">
        <f t="shared" si="6"/>
        <v>1.3889799999999999E-3</v>
      </c>
      <c r="S11" s="73">
        <f t="shared" si="6"/>
        <v>1.3889799999999999E-3</v>
      </c>
      <c r="T11" s="73">
        <f t="shared" si="6"/>
        <v>1.3889799999999999E-3</v>
      </c>
      <c r="U11" s="73">
        <f t="shared" si="6"/>
        <v>1.3889799999999999E-3</v>
      </c>
      <c r="V11" s="73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#REF!</v>
      </c>
      <c r="AB11" s="32">
        <v>2.8500000000000001E-2</v>
      </c>
      <c r="AD11" s="31">
        <v>1080</v>
      </c>
      <c r="AE11" s="31" t="e">
        <f>EDATE($J$4, AD11/30)-$J$4</f>
        <v>#REF!</v>
      </c>
      <c r="AF11" s="32">
        <v>0</v>
      </c>
    </row>
    <row r="12" spans="1:32">
      <c r="B12" s="3" t="s">
        <v>261</v>
      </c>
      <c r="C12" s="4">
        <f>12/C8</f>
        <v>2</v>
      </c>
      <c r="E12" s="68" t="s">
        <v>2</v>
      </c>
      <c r="F12" s="68" t="s">
        <v>239</v>
      </c>
      <c r="G12" s="68" t="s">
        <v>249</v>
      </c>
      <c r="H12" s="68" t="s">
        <v>250</v>
      </c>
      <c r="I12" s="63"/>
      <c r="J12" s="65"/>
      <c r="K12" s="63" t="e">
        <f>K10+K11</f>
        <v>#VALUE!</v>
      </c>
      <c r="L12" s="63" t="e">
        <f t="shared" ref="L12:V12" si="7">L10+L11</f>
        <v>#VALUE!</v>
      </c>
      <c r="M12" s="63" t="e">
        <f t="shared" si="7"/>
        <v>#VALUE!</v>
      </c>
      <c r="N12" s="63" t="e">
        <f t="shared" si="7"/>
        <v>#VALUE!</v>
      </c>
      <c r="O12" s="63" t="e">
        <f t="shared" si="7"/>
        <v>#VALUE!</v>
      </c>
      <c r="P12" s="63" t="e">
        <f t="shared" si="7"/>
        <v>#VALUE!</v>
      </c>
      <c r="Q12" s="63" t="e">
        <f t="shared" si="7"/>
        <v>#VALUE!</v>
      </c>
      <c r="R12" s="63" t="e">
        <f t="shared" si="7"/>
        <v>#VALUE!</v>
      </c>
      <c r="S12" s="63" t="e">
        <f t="shared" si="7"/>
        <v>#VALUE!</v>
      </c>
      <c r="T12" s="63" t="e">
        <f t="shared" si="7"/>
        <v>#VALUE!</v>
      </c>
      <c r="U12" s="63" t="e">
        <f t="shared" si="7"/>
        <v>#VALUE!</v>
      </c>
      <c r="V12" s="63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#REF!</v>
      </c>
      <c r="AB12" s="32">
        <v>2.7199999999999998E-2</v>
      </c>
      <c r="AD12" s="31">
        <v>1800</v>
      </c>
      <c r="AE12" s="31" t="e">
        <f>EDATE($J$4, AD12/30)-$J$4</f>
        <v>#REF!</v>
      </c>
      <c r="AF12" s="32">
        <v>5.0000000000000001E-4</v>
      </c>
    </row>
    <row r="13" spans="1:32">
      <c r="F13" s="3" t="s">
        <v>246</v>
      </c>
      <c r="G13" s="3" t="s">
        <v>251</v>
      </c>
      <c r="H13" s="3" t="s">
        <v>340</v>
      </c>
      <c r="I13" s="3"/>
      <c r="J13" s="133" t="s">
        <v>247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#REF!</v>
      </c>
      <c r="AB13" s="32">
        <v>2.69E-2</v>
      </c>
      <c r="AD13" s="31">
        <v>3600</v>
      </c>
      <c r="AE13" s="31" t="e">
        <f>EDATE($J$4, AD13/30)-$J$4</f>
        <v>#REF!</v>
      </c>
      <c r="AF13" s="32">
        <v>1E-3</v>
      </c>
    </row>
    <row r="14" spans="1:32">
      <c r="F14" s="3" t="s">
        <v>2</v>
      </c>
      <c r="G14" s="3" t="s">
        <v>252</v>
      </c>
      <c r="H14" s="3" t="s">
        <v>253</v>
      </c>
      <c r="I14" s="128"/>
      <c r="J14" s="74" t="e">
        <f>SUM(K14:V14)</f>
        <v>#REF!</v>
      </c>
      <c r="K14" s="75" t="e">
        <f t="shared" ref="K14:V14" si="9">K9*K13</f>
        <v>#REF!</v>
      </c>
      <c r="L14" s="75" t="e">
        <f t="shared" si="9"/>
        <v>#REF!</v>
      </c>
      <c r="M14" s="75" t="e">
        <f t="shared" si="9"/>
        <v>#REF!</v>
      </c>
      <c r="N14" s="75" t="e">
        <f t="shared" si="9"/>
        <v>#REF!</v>
      </c>
      <c r="O14" s="75" t="e">
        <f t="shared" si="9"/>
        <v>#REF!</v>
      </c>
      <c r="P14" s="75" t="e">
        <f t="shared" si="9"/>
        <v>#REF!</v>
      </c>
      <c r="Q14" s="75" t="e">
        <f t="shared" si="9"/>
        <v>#REF!</v>
      </c>
      <c r="R14" s="75" t="e">
        <f t="shared" si="9"/>
        <v>#REF!</v>
      </c>
      <c r="S14" s="75" t="e">
        <f t="shared" si="9"/>
        <v>#REF!</v>
      </c>
      <c r="T14" s="75" t="e">
        <f t="shared" si="9"/>
        <v>#REF!</v>
      </c>
      <c r="U14" s="75" t="e">
        <f t="shared" si="9"/>
        <v>#REF!</v>
      </c>
      <c r="V14" s="75" t="e">
        <f t="shared" si="9"/>
        <v>#REF!</v>
      </c>
      <c r="X14" s="18">
        <v>6</v>
      </c>
      <c r="Y14" s="2"/>
      <c r="Z14" s="31">
        <v>1800</v>
      </c>
      <c r="AA14" s="31" t="e">
        <f t="shared" si="5"/>
        <v>#REF!</v>
      </c>
      <c r="AB14" s="32">
        <v>2.7099999999999999E-2</v>
      </c>
      <c r="AD14" s="31"/>
      <c r="AE14" s="31"/>
      <c r="AF14" s="32"/>
    </row>
    <row r="15" spans="1:32">
      <c r="H15" s="3" t="s">
        <v>248</v>
      </c>
      <c r="J15" s="74" t="e">
        <f>J14-C7</f>
        <v>#REF!</v>
      </c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X15" s="18">
        <v>7</v>
      </c>
      <c r="Y15" s="2"/>
      <c r="Z15" s="31">
        <v>3600</v>
      </c>
      <c r="AA15" s="31" t="e">
        <f t="shared" si="5"/>
        <v>#REF!</v>
      </c>
      <c r="AB15" s="32">
        <v>2.7799999999999998E-2</v>
      </c>
      <c r="AD15" s="31"/>
      <c r="AE15" s="31"/>
      <c r="AF15" s="32"/>
    </row>
    <row r="16" spans="1:32">
      <c r="F16" s="46" t="s">
        <v>384</v>
      </c>
      <c r="G16" s="3" t="s">
        <v>254</v>
      </c>
      <c r="H16" s="3" t="s">
        <v>255</v>
      </c>
      <c r="J16" s="76" t="e">
        <f>K9/K7*J5</f>
        <v>#REF!</v>
      </c>
      <c r="X16" s="18">
        <v>8</v>
      </c>
      <c r="Y16" s="2"/>
      <c r="Z16" s="31">
        <v>5400</v>
      </c>
      <c r="AA16" s="31" t="e">
        <f t="shared" si="5"/>
        <v>#REF!</v>
      </c>
      <c r="AB16" s="32">
        <v>2.7199999999999998E-2</v>
      </c>
      <c r="AD16" s="31"/>
      <c r="AE16" s="31"/>
      <c r="AF16" s="32"/>
    </row>
    <row r="17" spans="2:32">
      <c r="E17" s="69"/>
      <c r="F17" s="69" t="s">
        <v>256</v>
      </c>
      <c r="G17" s="69" t="s">
        <v>257</v>
      </c>
      <c r="H17" s="69" t="s">
        <v>258</v>
      </c>
      <c r="I17" s="64"/>
      <c r="J17" s="77" t="e">
        <f>J14-J16</f>
        <v>#REF!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X17" s="18">
        <v>9</v>
      </c>
      <c r="Y17" s="2"/>
      <c r="Z17" s="31">
        <v>7200</v>
      </c>
      <c r="AA17" s="31" t="e">
        <f t="shared" si="5"/>
        <v>#REF!</v>
      </c>
      <c r="AB17" s="32">
        <v>2.5399999999999999E-2</v>
      </c>
      <c r="AD17" s="31"/>
      <c r="AE17" s="31"/>
      <c r="AF17" s="32"/>
    </row>
    <row r="18" spans="2:32">
      <c r="B18" s="3"/>
      <c r="E18" s="68" t="s">
        <v>259</v>
      </c>
      <c r="F18" s="68" t="s">
        <v>259</v>
      </c>
      <c r="G18" s="68" t="s">
        <v>260</v>
      </c>
      <c r="H18" s="68" t="s">
        <v>266</v>
      </c>
      <c r="I18" s="63"/>
      <c r="J18" s="84">
        <f>K18</f>
        <v>2.9414976380430245E-2</v>
      </c>
      <c r="K18" s="78">
        <v>2.9414976380430245E-2</v>
      </c>
      <c r="L18" s="79">
        <f>K18</f>
        <v>2.9414976380430245E-2</v>
      </c>
      <c r="M18" s="79">
        <f>L18</f>
        <v>2.9414976380430245E-2</v>
      </c>
      <c r="N18" s="79">
        <f t="shared" ref="N18:V18" si="10">M18</f>
        <v>2.9414976380430245E-2</v>
      </c>
      <c r="O18" s="79">
        <f t="shared" si="10"/>
        <v>2.9414976380430245E-2</v>
      </c>
      <c r="P18" s="79">
        <f t="shared" si="10"/>
        <v>2.9414976380430245E-2</v>
      </c>
      <c r="Q18" s="79">
        <f t="shared" si="10"/>
        <v>2.9414976380430245E-2</v>
      </c>
      <c r="R18" s="79">
        <f t="shared" si="10"/>
        <v>2.9414976380430245E-2</v>
      </c>
      <c r="S18" s="79">
        <f t="shared" si="10"/>
        <v>2.9414976380430245E-2</v>
      </c>
      <c r="T18" s="79">
        <f t="shared" si="10"/>
        <v>2.9414976380430245E-2</v>
      </c>
      <c r="U18" s="79">
        <f t="shared" si="10"/>
        <v>2.9414976380430245E-2</v>
      </c>
      <c r="V18" s="79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#REF!</v>
      </c>
      <c r="AB18" s="32">
        <v>2.2200000000000001E-2</v>
      </c>
      <c r="AD18" s="31"/>
      <c r="AE18" s="31"/>
      <c r="AF18" s="32"/>
    </row>
    <row r="19" spans="2:32">
      <c r="B19" s="3"/>
      <c r="F19" s="3" t="s">
        <v>246</v>
      </c>
      <c r="G19" s="3" t="s">
        <v>263</v>
      </c>
      <c r="H19" s="3" t="s">
        <v>262</v>
      </c>
      <c r="J19" s="66"/>
      <c r="K19" s="80" t="e">
        <f t="shared" ref="K19:V19" si="11">1/(1+K18/$C12)^(K6*$C12)</f>
        <v>#REF!</v>
      </c>
      <c r="L19" s="80" t="e">
        <f t="shared" si="11"/>
        <v>#REF!</v>
      </c>
      <c r="M19" s="80" t="e">
        <f t="shared" si="11"/>
        <v>#REF!</v>
      </c>
      <c r="N19" s="80" t="e">
        <f t="shared" si="11"/>
        <v>#REF!</v>
      </c>
      <c r="O19" s="80" t="e">
        <f t="shared" si="11"/>
        <v>#REF!</v>
      </c>
      <c r="P19" s="80" t="e">
        <f t="shared" si="11"/>
        <v>#REF!</v>
      </c>
      <c r="Q19" s="80" t="e">
        <f t="shared" si="11"/>
        <v>#REF!</v>
      </c>
      <c r="R19" s="80" t="e">
        <f t="shared" si="11"/>
        <v>#REF!</v>
      </c>
      <c r="S19" s="80" t="e">
        <f t="shared" si="11"/>
        <v>#REF!</v>
      </c>
      <c r="T19" s="80" t="e">
        <f t="shared" si="11"/>
        <v>#REF!</v>
      </c>
      <c r="U19" s="80" t="e">
        <f t="shared" si="11"/>
        <v>#REF!</v>
      </c>
      <c r="V19" s="80" t="e">
        <f t="shared" si="11"/>
        <v>#REF!</v>
      </c>
    </row>
    <row r="20" spans="2:32">
      <c r="B20" s="3"/>
      <c r="G20" s="3" t="s">
        <v>264</v>
      </c>
      <c r="H20" s="3" t="s">
        <v>265</v>
      </c>
      <c r="J20" s="7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69"/>
      <c r="F21" s="69"/>
      <c r="G21" s="69"/>
      <c r="H21" s="69" t="s">
        <v>248</v>
      </c>
      <c r="I21" s="64"/>
      <c r="J21" s="67" t="e">
        <f>J14-J20</f>
        <v>#REF!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2:32">
      <c r="B22" s="68" t="s">
        <v>226</v>
      </c>
      <c r="C22" s="63" t="s">
        <v>381</v>
      </c>
      <c r="E22" s="68" t="s">
        <v>267</v>
      </c>
      <c r="F22" s="68" t="s">
        <v>2</v>
      </c>
      <c r="G22" s="68" t="s">
        <v>268</v>
      </c>
      <c r="H22" s="68" t="s">
        <v>269</v>
      </c>
      <c r="I22" s="63"/>
      <c r="J22" s="81" t="e">
        <f>SUM(K22:V22)</f>
        <v>#REF!</v>
      </c>
      <c r="K22" s="82" t="e">
        <f t="shared" ref="K22:V22" si="13">K6*K9*K19</f>
        <v>#REF!</v>
      </c>
      <c r="L22" s="82" t="e">
        <f t="shared" si="13"/>
        <v>#REF!</v>
      </c>
      <c r="M22" s="82" t="e">
        <f t="shared" si="13"/>
        <v>#REF!</v>
      </c>
      <c r="N22" s="82" t="e">
        <f t="shared" si="13"/>
        <v>#REF!</v>
      </c>
      <c r="O22" s="82" t="e">
        <f t="shared" si="13"/>
        <v>#REF!</v>
      </c>
      <c r="P22" s="82" t="e">
        <f t="shared" si="13"/>
        <v>#REF!</v>
      </c>
      <c r="Q22" s="82" t="e">
        <f t="shared" si="13"/>
        <v>#REF!</v>
      </c>
      <c r="R22" s="82" t="e">
        <f t="shared" si="13"/>
        <v>#REF!</v>
      </c>
      <c r="S22" s="82" t="e">
        <f t="shared" si="13"/>
        <v>#REF!</v>
      </c>
      <c r="T22" s="82" t="e">
        <f t="shared" si="13"/>
        <v>#REF!</v>
      </c>
      <c r="U22" s="82" t="e">
        <f t="shared" si="13"/>
        <v>#REF!</v>
      </c>
      <c r="V22" s="82" t="e">
        <f t="shared" si="13"/>
        <v>#REF!</v>
      </c>
    </row>
    <row r="23" spans="2:32">
      <c r="B23" s="3" t="s">
        <v>235</v>
      </c>
      <c r="C23" s="1" t="s">
        <v>228</v>
      </c>
      <c r="F23" s="3" t="s">
        <v>270</v>
      </c>
      <c r="G23" s="3" t="s">
        <v>271</v>
      </c>
      <c r="H23" s="3" t="s">
        <v>272</v>
      </c>
      <c r="J23" s="158" t="e">
        <f>J22/J20</f>
        <v>#REF!</v>
      </c>
    </row>
    <row r="24" spans="2:32">
      <c r="B24" s="3" t="s">
        <v>239</v>
      </c>
      <c r="C24" s="1" t="s">
        <v>382</v>
      </c>
      <c r="F24" s="85" t="s">
        <v>246</v>
      </c>
      <c r="G24" s="85" t="s">
        <v>273</v>
      </c>
      <c r="H24" s="85" t="s">
        <v>274</v>
      </c>
      <c r="I24" s="86"/>
      <c r="J24" s="87"/>
      <c r="K24" s="83" t="e">
        <f t="shared" ref="K24:V24" si="14">(1+K18/$C12)^(-K6*$C12-1)</f>
        <v>#REF!</v>
      </c>
      <c r="L24" s="83" t="e">
        <f t="shared" si="14"/>
        <v>#REF!</v>
      </c>
      <c r="M24" s="83" t="e">
        <f t="shared" si="14"/>
        <v>#REF!</v>
      </c>
      <c r="N24" s="83" t="e">
        <f t="shared" si="14"/>
        <v>#REF!</v>
      </c>
      <c r="O24" s="83" t="e">
        <f t="shared" si="14"/>
        <v>#REF!</v>
      </c>
      <c r="P24" s="83" t="e">
        <f t="shared" si="14"/>
        <v>#REF!</v>
      </c>
      <c r="Q24" s="83" t="e">
        <f t="shared" si="14"/>
        <v>#REF!</v>
      </c>
      <c r="R24" s="83" t="e">
        <f t="shared" si="14"/>
        <v>#REF!</v>
      </c>
      <c r="S24" s="83" t="e">
        <f t="shared" si="14"/>
        <v>#REF!</v>
      </c>
      <c r="T24" s="83" t="e">
        <f t="shared" si="14"/>
        <v>#REF!</v>
      </c>
      <c r="U24" s="83" t="e">
        <f t="shared" si="14"/>
        <v>#REF!</v>
      </c>
      <c r="V24" s="83" t="e">
        <f t="shared" si="14"/>
        <v>#REF!</v>
      </c>
    </row>
    <row r="25" spans="2:32">
      <c r="B25" s="3" t="s">
        <v>246</v>
      </c>
      <c r="C25" s="1" t="s">
        <v>383</v>
      </c>
      <c r="F25" s="85" t="s">
        <v>285</v>
      </c>
      <c r="G25" s="85" t="s">
        <v>275</v>
      </c>
      <c r="H25" s="85" t="s">
        <v>276</v>
      </c>
      <c r="I25" s="86"/>
      <c r="J25" s="88" t="e">
        <f>SUM(K25:V25)</f>
        <v>#REF!</v>
      </c>
      <c r="K25" s="75" t="e">
        <f t="shared" ref="K25:V25" si="15">K6*K9*K24</f>
        <v>#REF!</v>
      </c>
      <c r="L25" s="75" t="e">
        <f t="shared" si="15"/>
        <v>#REF!</v>
      </c>
      <c r="M25" s="75" t="e">
        <f t="shared" si="15"/>
        <v>#REF!</v>
      </c>
      <c r="N25" s="75" t="e">
        <f t="shared" si="15"/>
        <v>#REF!</v>
      </c>
      <c r="O25" s="75" t="e">
        <f t="shared" si="15"/>
        <v>#REF!</v>
      </c>
      <c r="P25" s="75" t="e">
        <f t="shared" si="15"/>
        <v>#REF!</v>
      </c>
      <c r="Q25" s="75" t="e">
        <f t="shared" si="15"/>
        <v>#REF!</v>
      </c>
      <c r="R25" s="75" t="e">
        <f t="shared" si="15"/>
        <v>#REF!</v>
      </c>
      <c r="S25" s="75" t="e">
        <f t="shared" si="15"/>
        <v>#REF!</v>
      </c>
      <c r="T25" s="75" t="e">
        <f t="shared" si="15"/>
        <v>#REF!</v>
      </c>
      <c r="U25" s="75" t="e">
        <f t="shared" si="15"/>
        <v>#REF!</v>
      </c>
      <c r="V25" s="75" t="e">
        <f t="shared" si="15"/>
        <v>#REF!</v>
      </c>
    </row>
    <row r="26" spans="2:32">
      <c r="B26" s="64" t="s">
        <v>384</v>
      </c>
      <c r="C26" s="64" t="s">
        <v>387</v>
      </c>
      <c r="E26" s="69"/>
      <c r="F26" s="89" t="s">
        <v>277</v>
      </c>
      <c r="G26" s="89" t="s">
        <v>278</v>
      </c>
      <c r="H26" s="89" t="s">
        <v>279</v>
      </c>
      <c r="I26" s="90"/>
      <c r="J26" s="160" t="e">
        <f>J25/J14</f>
        <v>#REF!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</row>
    <row r="27" spans="2:32">
      <c r="E27" s="68" t="s">
        <v>280</v>
      </c>
      <c r="F27" s="68" t="s">
        <v>2</v>
      </c>
      <c r="G27" s="68" t="s">
        <v>281</v>
      </c>
      <c r="H27" s="68" t="s">
        <v>282</v>
      </c>
      <c r="I27" s="63"/>
      <c r="J27" s="81" t="e">
        <f>SUM(K27:V27)</f>
        <v>#REF!</v>
      </c>
      <c r="K27" s="82" t="e">
        <f t="shared" ref="K27:V27" si="16">K6*K9*K19*(K6+1/$C$12)</f>
        <v>#REF!</v>
      </c>
      <c r="L27" s="82" t="e">
        <f t="shared" si="16"/>
        <v>#REF!</v>
      </c>
      <c r="M27" s="82" t="e">
        <f t="shared" si="16"/>
        <v>#REF!</v>
      </c>
      <c r="N27" s="82" t="e">
        <f t="shared" si="16"/>
        <v>#REF!</v>
      </c>
      <c r="O27" s="82" t="e">
        <f t="shared" si="16"/>
        <v>#REF!</v>
      </c>
      <c r="P27" s="82" t="e">
        <f t="shared" si="16"/>
        <v>#REF!</v>
      </c>
      <c r="Q27" s="82" t="e">
        <f t="shared" si="16"/>
        <v>#REF!</v>
      </c>
      <c r="R27" s="82" t="e">
        <f t="shared" si="16"/>
        <v>#REF!</v>
      </c>
      <c r="S27" s="82" t="e">
        <f t="shared" si="16"/>
        <v>#REF!</v>
      </c>
      <c r="T27" s="82" t="e">
        <f t="shared" si="16"/>
        <v>#REF!</v>
      </c>
      <c r="U27" s="82" t="e">
        <f t="shared" si="16"/>
        <v>#REF!</v>
      </c>
      <c r="V27" s="82" t="e">
        <f t="shared" si="16"/>
        <v>#REF!</v>
      </c>
    </row>
    <row r="28" spans="2:32">
      <c r="F28" s="3" t="s">
        <v>283</v>
      </c>
      <c r="G28" s="3" t="s">
        <v>284</v>
      </c>
      <c r="H28" s="3" t="s">
        <v>288</v>
      </c>
      <c r="J28" s="159" t="e">
        <f>J27/((1+J18/$C$12)^2*J14)</f>
        <v>#REF!</v>
      </c>
    </row>
    <row r="29" spans="2:32">
      <c r="E29" s="69"/>
      <c r="F29" s="89" t="s">
        <v>285</v>
      </c>
      <c r="G29" s="89" t="s">
        <v>286</v>
      </c>
      <c r="H29" s="89" t="s">
        <v>287</v>
      </c>
      <c r="I29" s="90"/>
      <c r="J29" s="91" t="e">
        <f>J28*J20</f>
        <v>#REF!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</row>
    <row r="30" spans="2:32">
      <c r="E30" s="68" t="s">
        <v>289</v>
      </c>
      <c r="F30" s="68" t="s">
        <v>239</v>
      </c>
      <c r="G30" s="68" t="s">
        <v>290</v>
      </c>
      <c r="H30" s="68" t="s">
        <v>291</v>
      </c>
      <c r="I30" s="63"/>
      <c r="J30" s="65"/>
      <c r="K30" s="63" t="e">
        <f t="shared" ref="K30:V30" si="17">K12+0.0001</f>
        <v>#VALUE!</v>
      </c>
      <c r="L30" s="63" t="e">
        <f t="shared" si="17"/>
        <v>#VALUE!</v>
      </c>
      <c r="M30" s="63" t="e">
        <f t="shared" si="17"/>
        <v>#VALUE!</v>
      </c>
      <c r="N30" s="63" t="e">
        <f t="shared" si="17"/>
        <v>#VALUE!</v>
      </c>
      <c r="O30" s="63" t="e">
        <f t="shared" si="17"/>
        <v>#VALUE!</v>
      </c>
      <c r="P30" s="63" t="e">
        <f t="shared" si="17"/>
        <v>#VALUE!</v>
      </c>
      <c r="Q30" s="63" t="e">
        <f t="shared" si="17"/>
        <v>#VALUE!</v>
      </c>
      <c r="R30" s="63" t="e">
        <f t="shared" si="17"/>
        <v>#VALUE!</v>
      </c>
      <c r="S30" s="63" t="e">
        <f t="shared" si="17"/>
        <v>#VALUE!</v>
      </c>
      <c r="T30" s="63" t="e">
        <f t="shared" si="17"/>
        <v>#VALUE!</v>
      </c>
      <c r="U30" s="63" t="e">
        <f t="shared" si="17"/>
        <v>#VALUE!</v>
      </c>
      <c r="V30" s="63" t="e">
        <f t="shared" si="17"/>
        <v>#VALUE!</v>
      </c>
    </row>
    <row r="31" spans="2:32">
      <c r="F31" s="3" t="s">
        <v>246</v>
      </c>
      <c r="G31" s="3" t="s">
        <v>292</v>
      </c>
      <c r="H31" s="3" t="s">
        <v>293</v>
      </c>
      <c r="J31" s="66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2</v>
      </c>
      <c r="G32" s="3" t="s">
        <v>294</v>
      </c>
      <c r="H32" s="3" t="s">
        <v>295</v>
      </c>
      <c r="J32" s="162" t="e">
        <f>SUM(K32:V32)</f>
        <v>#REF!</v>
      </c>
      <c r="K32" s="8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69"/>
      <c r="F33" s="69" t="s">
        <v>289</v>
      </c>
      <c r="G33" s="69" t="s">
        <v>296</v>
      </c>
      <c r="H33" s="69" t="s">
        <v>297</v>
      </c>
      <c r="I33" s="64"/>
      <c r="J33" s="163" t="e">
        <f>J32-J14</f>
        <v>#REF!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5" spans="2:38">
      <c r="B35" s="92"/>
      <c r="C35" s="92"/>
      <c r="D35" s="92"/>
      <c r="E35" s="57" t="s">
        <v>242</v>
      </c>
      <c r="F35" s="57"/>
      <c r="G35" s="124" t="s">
        <v>330</v>
      </c>
      <c r="H35" s="124" t="s">
        <v>206</v>
      </c>
      <c r="I35" s="124" t="s">
        <v>298</v>
      </c>
      <c r="J35" s="124" t="s">
        <v>301</v>
      </c>
    </row>
    <row r="36" spans="2:38">
      <c r="E36" s="1"/>
      <c r="F36" s="3" t="s">
        <v>302</v>
      </c>
      <c r="G36" s="125"/>
      <c r="H36" s="97">
        <f>I36-J36</f>
        <v>0</v>
      </c>
      <c r="I36" s="149">
        <f>J11</f>
        <v>1.3889799999999999E-3</v>
      </c>
      <c r="J36" s="98">
        <f>K11</f>
        <v>1.3889799999999999E-3</v>
      </c>
    </row>
    <row r="37" spans="2:38">
      <c r="F37" s="3" t="s">
        <v>2</v>
      </c>
      <c r="G37" s="125" t="e">
        <f>H37/I37</f>
        <v>#REF!</v>
      </c>
      <c r="H37" s="95" t="e">
        <f>I37-J37</f>
        <v>#REF!</v>
      </c>
      <c r="I37" s="150" t="e">
        <f>#REF!</f>
        <v>#REF!</v>
      </c>
      <c r="J37" s="99" t="e">
        <f>J14</f>
        <v>#REF!</v>
      </c>
    </row>
    <row r="38" spans="2:38">
      <c r="F38" s="3" t="s">
        <v>299</v>
      </c>
      <c r="G38" s="125" t="e">
        <f>H38/I38</f>
        <v>#REF!</v>
      </c>
      <c r="H38" s="96" t="e">
        <f>I38-J38</f>
        <v>#REF!</v>
      </c>
      <c r="I38" s="157" t="e">
        <f>#REF!</f>
        <v>#REF!</v>
      </c>
      <c r="J38" s="100" t="e">
        <f>J23</f>
        <v>#REF!</v>
      </c>
    </row>
    <row r="39" spans="2:38">
      <c r="F39" s="3" t="s">
        <v>280</v>
      </c>
      <c r="G39" s="125" t="e">
        <f>H39/I39</f>
        <v>#REF!</v>
      </c>
      <c r="H39" s="96" t="e">
        <f>I39-J39</f>
        <v>#REF!</v>
      </c>
      <c r="I39" s="157" t="e">
        <f>#REF!</f>
        <v>#REF!</v>
      </c>
      <c r="J39" s="100" t="e">
        <f>J28</f>
        <v>#REF!</v>
      </c>
      <c r="K39" s="1" t="s">
        <v>300</v>
      </c>
    </row>
    <row r="40" spans="2:38">
      <c r="F40" s="3" t="s">
        <v>289</v>
      </c>
      <c r="G40" s="125" t="e">
        <f>H40/I40</f>
        <v>#REF!</v>
      </c>
      <c r="H40" s="95" t="e">
        <f>I40-J40</f>
        <v>#REF!</v>
      </c>
      <c r="I40" s="150" t="e">
        <f>#REF!</f>
        <v>#REF!</v>
      </c>
      <c r="J40" s="99" t="e">
        <f>J33</f>
        <v>#REF!</v>
      </c>
    </row>
    <row r="41" spans="2:38">
      <c r="G41" s="125"/>
      <c r="I41" s="151"/>
      <c r="J41" s="126"/>
      <c r="K41" s="13" t="s">
        <v>350</v>
      </c>
      <c r="L41" s="13" t="s">
        <v>351</v>
      </c>
      <c r="M41" s="13" t="s">
        <v>352</v>
      </c>
      <c r="X41" s="3" t="s">
        <v>337</v>
      </c>
    </row>
    <row r="42" spans="2:38">
      <c r="C42" s="3"/>
      <c r="F42" s="57" t="s">
        <v>335</v>
      </c>
      <c r="G42" s="140" t="e">
        <f>H42/I42</f>
        <v>#REF!</v>
      </c>
      <c r="H42" s="141" t="e">
        <f>I42-J42</f>
        <v>#REF!</v>
      </c>
      <c r="I42" s="152" t="e">
        <f>IF(K42="GIRR",VLOOKUP(M42,#REF!,2,FALSE),VLOOKUP(M42,#REF!,2,FALSE))</f>
        <v>#REF!</v>
      </c>
      <c r="J42" s="145" t="e">
        <f>(J46-J14)*10000</f>
        <v>#VALUE!</v>
      </c>
      <c r="K42" s="129" t="s">
        <v>333</v>
      </c>
      <c r="L42" s="129">
        <v>90</v>
      </c>
      <c r="M42" s="130">
        <f>L42/360</f>
        <v>0.25</v>
      </c>
      <c r="N42" s="128" t="s">
        <v>336</v>
      </c>
      <c r="Z42" s="3" t="s">
        <v>345</v>
      </c>
      <c r="AD42" s="3" t="s">
        <v>346</v>
      </c>
      <c r="AH42" s="3" t="s">
        <v>348</v>
      </c>
      <c r="AJ42" s="3"/>
      <c r="AK42" s="3" t="s">
        <v>349</v>
      </c>
    </row>
    <row r="43" spans="2:38">
      <c r="F43" s="68" t="s">
        <v>239</v>
      </c>
      <c r="G43" s="68" t="s">
        <v>240</v>
      </c>
      <c r="H43" s="68" t="s">
        <v>241</v>
      </c>
      <c r="I43" s="153"/>
      <c r="J43" s="68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3" t="e" cm="1">
        <f t="array" ref="N43">lin_int(N5,$AA$44:$AB$53)+lin_int(N5,$AE$44:$AF$48)</f>
        <v>#VALUE!</v>
      </c>
      <c r="O43" s="63" t="e" cm="1">
        <f t="array" ref="O43">lin_int(O5,$AA$44:$AB$53)+lin_int(O5,$AE$44:$AF$48)</f>
        <v>#VALUE!</v>
      </c>
      <c r="P43" s="63" t="e" cm="1">
        <f t="array" ref="P43">lin_int(P5,$AA$44:$AB$53)+lin_int(P5,$AE$44:$AF$48)</f>
        <v>#VALUE!</v>
      </c>
      <c r="Q43" s="63" t="e" cm="1">
        <f t="array" ref="Q43">lin_int(Q5,$AA$44:$AB$53)+lin_int(Q5,$AE$44:$AF$48)</f>
        <v>#VALUE!</v>
      </c>
      <c r="R43" s="63" t="e" cm="1">
        <f t="array" ref="R43">lin_int(R5,$AA$44:$AB$53)+lin_int(R5,$AE$44:$AF$48)</f>
        <v>#VALUE!</v>
      </c>
      <c r="S43" s="63" t="e" cm="1">
        <f t="array" ref="S43">lin_int(S5,$AA$44:$AB$53)+lin_int(S5,$AE$44:$AF$48)</f>
        <v>#VALUE!</v>
      </c>
      <c r="T43" s="63" t="e" cm="1">
        <f t="array" ref="T43">lin_int(T5,$AA$44:$AB$53)+lin_int(T5,$AE$44:$AF$48)</f>
        <v>#VALUE!</v>
      </c>
      <c r="U43" s="63" t="e" cm="1">
        <f t="array" ref="U43">lin_int(U5,$AA$44:$AB$53)+lin_int(U5,$AE$44:$AF$48)</f>
        <v>#VALUE!</v>
      </c>
      <c r="V43" s="63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331</v>
      </c>
      <c r="AB43" s="13" t="s">
        <v>12</v>
      </c>
      <c r="AD43" s="13" t="s">
        <v>11</v>
      </c>
      <c r="AE43" s="13" t="s">
        <v>331</v>
      </c>
      <c r="AF43" s="13" t="s">
        <v>12</v>
      </c>
      <c r="AH43" s="14" t="s">
        <v>331</v>
      </c>
      <c r="AI43" s="14" t="s">
        <v>2</v>
      </c>
      <c r="AJ43" s="2"/>
      <c r="AK43" s="14" t="s">
        <v>331</v>
      </c>
      <c r="AL43" s="14" t="s">
        <v>2</v>
      </c>
    </row>
    <row r="44" spans="2:38">
      <c r="F44" s="3" t="s">
        <v>239</v>
      </c>
      <c r="G44" s="3" t="s">
        <v>249</v>
      </c>
      <c r="H44" s="3" t="s">
        <v>250</v>
      </c>
      <c r="I44" s="151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#REF!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#REF!</v>
      </c>
      <c r="AF44" s="32">
        <f>AF9+IF(AND($K$42="CSR",$L$42=AD44), 0.0001, 0)</f>
        <v>0</v>
      </c>
      <c r="AH44" s="31" t="e">
        <f>AA44</f>
        <v>#REF!</v>
      </c>
      <c r="AI44" s="32">
        <f t="shared" ref="AI44:AI53" si="23">AB9+IF($K$49="GIRR",$L$49,0)*$M$49</f>
        <v>3.3700000000000001E-2</v>
      </c>
      <c r="AK44" s="31" t="e">
        <f>AE44</f>
        <v>#REF!</v>
      </c>
      <c r="AL44" s="32" t="e">
        <f>AF9+IF($K$49="CSR",$L$49,0)*$M$49</f>
        <v>#REF!</v>
      </c>
    </row>
    <row r="45" spans="2:38">
      <c r="F45" s="3" t="s">
        <v>246</v>
      </c>
      <c r="G45" s="3" t="s">
        <v>251</v>
      </c>
      <c r="H45" s="3" t="s">
        <v>340</v>
      </c>
      <c r="I45" s="151"/>
      <c r="J45" s="134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#REF!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#REF!</v>
      </c>
      <c r="AF45" s="32">
        <f>AF10+IF(AND($K$42="CSR",$L$42=AD45), 0.0001, 0)</f>
        <v>0</v>
      </c>
      <c r="AH45" s="31" t="e">
        <f t="shared" ref="AH45:AH53" si="26">AA45</f>
        <v>#REF!</v>
      </c>
      <c r="AI45" s="32">
        <f t="shared" si="23"/>
        <v>3.1699999999999999E-2</v>
      </c>
      <c r="AK45" s="31" t="e">
        <f>AE45</f>
        <v>#REF!</v>
      </c>
      <c r="AL45" s="32" t="e">
        <f>AF10+IF($K$49="CSR",$L$49,0)*$M$49</f>
        <v>#REF!</v>
      </c>
    </row>
    <row r="46" spans="2:38">
      <c r="F46" s="69" t="s">
        <v>2</v>
      </c>
      <c r="G46" s="69" t="s">
        <v>252</v>
      </c>
      <c r="H46" s="69" t="s">
        <v>253</v>
      </c>
      <c r="I46" s="154"/>
      <c r="J46" s="127" t="e">
        <f>SUM(K46:V46)</f>
        <v>#VALUE!</v>
      </c>
      <c r="K46" s="72" t="e">
        <f t="shared" ref="K46:V46" si="27">K45*K9</f>
        <v>#VALUE!</v>
      </c>
      <c r="L46" s="72" t="e">
        <f t="shared" si="27"/>
        <v>#VALUE!</v>
      </c>
      <c r="M46" s="72" t="e">
        <f t="shared" si="27"/>
        <v>#VALUE!</v>
      </c>
      <c r="N46" s="72" t="e">
        <f t="shared" si="27"/>
        <v>#VALUE!</v>
      </c>
      <c r="O46" s="72" t="e">
        <f t="shared" si="27"/>
        <v>#VALUE!</v>
      </c>
      <c r="P46" s="72" t="e">
        <f t="shared" si="27"/>
        <v>#VALUE!</v>
      </c>
      <c r="Q46" s="72" t="e">
        <f t="shared" si="27"/>
        <v>#VALUE!</v>
      </c>
      <c r="R46" s="72" t="e">
        <f t="shared" si="27"/>
        <v>#VALUE!</v>
      </c>
      <c r="S46" s="72" t="e">
        <f t="shared" si="27"/>
        <v>#VALUE!</v>
      </c>
      <c r="T46" s="72" t="e">
        <f t="shared" si="27"/>
        <v>#VALUE!</v>
      </c>
      <c r="U46" s="72" t="e">
        <f t="shared" si="27"/>
        <v>#VALUE!</v>
      </c>
      <c r="V46" s="72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#REF!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#REF!</v>
      </c>
      <c r="AF46" s="32">
        <f>AF11+IF(AND($K$42="CSR",$L$42=AD46), 0.0001, 0)</f>
        <v>0</v>
      </c>
      <c r="AH46" s="31" t="e">
        <f t="shared" si="26"/>
        <v>#REF!</v>
      </c>
      <c r="AI46" s="32">
        <f t="shared" si="23"/>
        <v>2.8500000000000001E-2</v>
      </c>
      <c r="AK46" s="31" t="e">
        <f>AE46</f>
        <v>#REF!</v>
      </c>
      <c r="AL46" s="32" t="e">
        <f>AF11+IF($K$49="CSR",$L$49,0)*$M$49</f>
        <v>#REF!</v>
      </c>
    </row>
    <row r="47" spans="2:38">
      <c r="I47" s="155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#REF!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#REF!</v>
      </c>
      <c r="AF47" s="32">
        <f>AF12+IF(AND($K$42="CSR",$L$42=AD47), 0.0001, 0)</f>
        <v>5.0000000000000001E-4</v>
      </c>
      <c r="AH47" s="31" t="e">
        <f t="shared" si="26"/>
        <v>#REF!</v>
      </c>
      <c r="AI47" s="32">
        <f t="shared" si="23"/>
        <v>2.7199999999999998E-2</v>
      </c>
      <c r="AK47" s="31" t="e">
        <f>AE47</f>
        <v>#REF!</v>
      </c>
      <c r="AL47" s="32" t="e">
        <f>AF12+IF($K$49="CSR",$L$49,0)*$M$49</f>
        <v>#REF!</v>
      </c>
    </row>
    <row r="48" spans="2:38">
      <c r="I48" s="151"/>
      <c r="K48" s="13" t="s">
        <v>350</v>
      </c>
      <c r="L48" s="13" t="s">
        <v>353</v>
      </c>
      <c r="M48" s="13" t="s">
        <v>354</v>
      </c>
      <c r="X48" s="18">
        <v>5</v>
      </c>
      <c r="Y48" s="2"/>
      <c r="Z48" s="31">
        <f t="shared" si="21"/>
        <v>1080</v>
      </c>
      <c r="AA48" s="31" t="e">
        <f t="shared" si="21"/>
        <v>#REF!</v>
      </c>
      <c r="AB48" s="32">
        <f t="shared" si="25"/>
        <v>2.69E-2</v>
      </c>
      <c r="AD48" s="31">
        <f t="shared" si="22"/>
        <v>3600</v>
      </c>
      <c r="AE48" s="31" t="e">
        <f t="shared" si="22"/>
        <v>#REF!</v>
      </c>
      <c r="AF48" s="32">
        <f>AF13+IF(AND($K$42="CSR",$L$42=AD48), 0.0001, 0)</f>
        <v>1E-3</v>
      </c>
      <c r="AH48" s="31" t="e">
        <f t="shared" si="26"/>
        <v>#REF!</v>
      </c>
      <c r="AI48" s="32">
        <f t="shared" si="23"/>
        <v>2.69E-2</v>
      </c>
      <c r="AK48" s="31" t="e">
        <f>AE48</f>
        <v>#REF!</v>
      </c>
      <c r="AL48" s="32" t="e">
        <f>AF13+IF($K$49="CSR",$L$49,0)*$M$49</f>
        <v>#REF!</v>
      </c>
    </row>
    <row r="49" spans="6:35">
      <c r="F49" s="143" t="s">
        <v>344</v>
      </c>
      <c r="G49" s="140" t="e">
        <f>H49/I49</f>
        <v>#REF!</v>
      </c>
      <c r="H49" s="141" t="e">
        <f>I49-J49</f>
        <v>#REF!</v>
      </c>
      <c r="I49" s="156" t="e">
        <f>IF(K49="GIRR", IF(M49=1,#REF!,#REF!), IF(M49=1,#REF!,#REF!))</f>
        <v>#REF!</v>
      </c>
      <c r="J49" s="144" t="e">
        <f>J53-J14</f>
        <v>#VALUE!</v>
      </c>
      <c r="K49" s="129" t="s">
        <v>334</v>
      </c>
      <c r="L49" s="129" t="e">
        <f xml:space="preserve"> IF(K49="GIRR",#REF!,#REF!)</f>
        <v>#REF!</v>
      </c>
      <c r="M49" s="142">
        <v>-1</v>
      </c>
      <c r="N49" s="128" t="s">
        <v>347</v>
      </c>
      <c r="X49" s="18">
        <v>6</v>
      </c>
      <c r="Y49" s="2"/>
      <c r="Z49" s="31">
        <f t="shared" si="21"/>
        <v>1800</v>
      </c>
      <c r="AA49" s="31" t="e">
        <f t="shared" si="21"/>
        <v>#REF!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#REF!</v>
      </c>
      <c r="AI49" s="32">
        <f t="shared" si="23"/>
        <v>2.7099999999999999E-2</v>
      </c>
    </row>
    <row r="50" spans="6:35">
      <c r="F50" s="68" t="s">
        <v>239</v>
      </c>
      <c r="G50" s="68" t="s">
        <v>240</v>
      </c>
      <c r="H50" s="68" t="s">
        <v>241</v>
      </c>
      <c r="I50" s="153"/>
      <c r="J50" s="68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3" t="e" cm="1">
        <f t="array" ref="N50">lin_int(N5,$AH$44:$AI$53)+lin_int(N5,$AK$44:$AL$48)</f>
        <v>#VALUE!</v>
      </c>
      <c r="O50" s="63" t="e" cm="1">
        <f t="array" ref="O50">lin_int(O5,$AH$44:$AI$53)+lin_int(O5,$AK$44:$AL$48)</f>
        <v>#VALUE!</v>
      </c>
      <c r="P50" s="63" t="e" cm="1">
        <f t="array" ref="P50">lin_int(P5,$AH$44:$AI$53)+lin_int(P5,$AK$44:$AL$48)</f>
        <v>#VALUE!</v>
      </c>
      <c r="Q50" s="63" t="e" cm="1">
        <f t="array" ref="Q50">lin_int(Q5,$AH$44:$AI$53)+lin_int(Q5,$AK$44:$AL$48)</f>
        <v>#VALUE!</v>
      </c>
      <c r="R50" s="63" t="e" cm="1">
        <f t="array" ref="R50">lin_int(R5,$AH$44:$AI$53)+lin_int(R5,$AK$44:$AL$48)</f>
        <v>#VALUE!</v>
      </c>
      <c r="S50" s="63" t="e" cm="1">
        <f t="array" ref="S50">lin_int(S5,$AH$44:$AI$53)+lin_int(S5,$AK$44:$AL$48)</f>
        <v>#VALUE!</v>
      </c>
      <c r="T50" s="63" t="e" cm="1">
        <f t="array" ref="T50">lin_int(T5,$AH$44:$AI$53)+lin_int(T5,$AK$44:$AL$48)</f>
        <v>#VALUE!</v>
      </c>
      <c r="U50" s="63" t="e" cm="1">
        <f t="array" ref="U50">lin_int(U5,$AH$44:$AI$53)+lin_int(U5,$AK$44:$AL$48)</f>
        <v>#VALUE!</v>
      </c>
      <c r="V50" s="63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#REF!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#REF!</v>
      </c>
      <c r="AI50" s="32">
        <f t="shared" si="23"/>
        <v>2.7799999999999998E-2</v>
      </c>
    </row>
    <row r="51" spans="6:35">
      <c r="F51" s="3" t="s">
        <v>239</v>
      </c>
      <c r="G51" s="3" t="s">
        <v>249</v>
      </c>
      <c r="H51" s="3" t="s">
        <v>250</v>
      </c>
      <c r="I51" s="151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#REF!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#REF!</v>
      </c>
      <c r="AI51" s="32">
        <f t="shared" si="23"/>
        <v>2.7199999999999998E-2</v>
      </c>
    </row>
    <row r="52" spans="6:35">
      <c r="F52" s="3" t="s">
        <v>246</v>
      </c>
      <c r="G52" s="3" t="s">
        <v>251</v>
      </c>
      <c r="H52" s="3" t="s">
        <v>340</v>
      </c>
      <c r="I52" s="151"/>
      <c r="J52" s="134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#REF!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#REF!</v>
      </c>
      <c r="AI52" s="32">
        <f t="shared" si="23"/>
        <v>2.5399999999999999E-2</v>
      </c>
    </row>
    <row r="53" spans="6:35">
      <c r="F53" s="69" t="s">
        <v>2</v>
      </c>
      <c r="G53" s="69" t="s">
        <v>252</v>
      </c>
      <c r="H53" s="69" t="s">
        <v>253</v>
      </c>
      <c r="I53" s="154"/>
      <c r="J53" s="127" t="e">
        <f>SUM(K53:V53)</f>
        <v>#VALUE!</v>
      </c>
      <c r="K53" s="72" t="e">
        <f t="shared" ref="K53:V53" si="30">K52*K9</f>
        <v>#VALUE!</v>
      </c>
      <c r="L53" s="72" t="e">
        <f t="shared" si="30"/>
        <v>#VALUE!</v>
      </c>
      <c r="M53" s="72" t="e">
        <f t="shared" si="30"/>
        <v>#VALUE!</v>
      </c>
      <c r="N53" s="72" t="e">
        <f t="shared" si="30"/>
        <v>#VALUE!</v>
      </c>
      <c r="O53" s="72" t="e">
        <f t="shared" si="30"/>
        <v>#VALUE!</v>
      </c>
      <c r="P53" s="72" t="e">
        <f t="shared" si="30"/>
        <v>#VALUE!</v>
      </c>
      <c r="Q53" s="72" t="e">
        <f t="shared" si="30"/>
        <v>#VALUE!</v>
      </c>
      <c r="R53" s="72" t="e">
        <f t="shared" si="30"/>
        <v>#VALUE!</v>
      </c>
      <c r="S53" s="72" t="e">
        <f t="shared" si="30"/>
        <v>#VALUE!</v>
      </c>
      <c r="T53" s="72" t="e">
        <f t="shared" si="30"/>
        <v>#VALUE!</v>
      </c>
      <c r="U53" s="72" t="e">
        <f t="shared" si="30"/>
        <v>#VALUE!</v>
      </c>
      <c r="V53" s="72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#REF!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#REF!</v>
      </c>
      <c r="AI53" s="32">
        <f t="shared" si="23"/>
        <v>2.2200000000000001E-2</v>
      </c>
    </row>
  </sheetData>
  <phoneticPr fontId="1" type="noConversion"/>
  <conditionalFormatting sqref="AB3">
    <cfRule type="expression" dxfId="37" priority="4">
      <formula>$K3="GROUP"</formula>
    </cfRule>
  </conditionalFormatting>
  <conditionalFormatting sqref="AB4">
    <cfRule type="expression" dxfId="36" priority="3">
      <formula>$K4="GROUP"</formula>
    </cfRule>
  </conditionalFormatting>
  <conditionalFormatting sqref="AB5">
    <cfRule type="expression" dxfId="35" priority="2">
      <formula>$K5="GROUP"</formula>
    </cfRule>
  </conditionalFormatting>
  <conditionalFormatting sqref="AB6">
    <cfRule type="expression" dxfId="34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2" customWidth="1"/>
    <col min="2" max="2" width="3.6640625" style="102" customWidth="1"/>
    <col min="3" max="7" width="8.6640625" style="102"/>
    <col min="8" max="8" width="18.33203125" style="102" bestFit="1" customWidth="1"/>
    <col min="9" max="256" width="8.6640625" style="102"/>
    <col min="257" max="257" width="6.6640625" style="102" customWidth="1"/>
    <col min="258" max="263" width="8.6640625" style="102"/>
    <col min="264" max="264" width="18.33203125" style="102" bestFit="1" customWidth="1"/>
    <col min="265" max="512" width="8.6640625" style="102"/>
    <col min="513" max="513" width="6.6640625" style="102" customWidth="1"/>
    <col min="514" max="519" width="8.6640625" style="102"/>
    <col min="520" max="520" width="18.33203125" style="102" bestFit="1" customWidth="1"/>
    <col min="521" max="768" width="8.6640625" style="102"/>
    <col min="769" max="769" width="6.6640625" style="102" customWidth="1"/>
    <col min="770" max="775" width="8.6640625" style="102"/>
    <col min="776" max="776" width="18.33203125" style="102" bestFit="1" customWidth="1"/>
    <col min="777" max="1024" width="8.6640625" style="102"/>
    <col min="1025" max="1025" width="6.6640625" style="102" customWidth="1"/>
    <col min="1026" max="1031" width="8.6640625" style="102"/>
    <col min="1032" max="1032" width="18.33203125" style="102" bestFit="1" customWidth="1"/>
    <col min="1033" max="1280" width="8.6640625" style="102"/>
    <col min="1281" max="1281" width="6.6640625" style="102" customWidth="1"/>
    <col min="1282" max="1287" width="8.6640625" style="102"/>
    <col min="1288" max="1288" width="18.33203125" style="102" bestFit="1" customWidth="1"/>
    <col min="1289" max="1536" width="8.6640625" style="102"/>
    <col min="1537" max="1537" width="6.6640625" style="102" customWidth="1"/>
    <col min="1538" max="1543" width="8.6640625" style="102"/>
    <col min="1544" max="1544" width="18.33203125" style="102" bestFit="1" customWidth="1"/>
    <col min="1545" max="1792" width="8.6640625" style="102"/>
    <col min="1793" max="1793" width="6.6640625" style="102" customWidth="1"/>
    <col min="1794" max="1799" width="8.6640625" style="102"/>
    <col min="1800" max="1800" width="18.33203125" style="102" bestFit="1" customWidth="1"/>
    <col min="1801" max="2048" width="8.6640625" style="102"/>
    <col min="2049" max="2049" width="6.6640625" style="102" customWidth="1"/>
    <col min="2050" max="2055" width="8.6640625" style="102"/>
    <col min="2056" max="2056" width="18.33203125" style="102" bestFit="1" customWidth="1"/>
    <col min="2057" max="2304" width="8.6640625" style="102"/>
    <col min="2305" max="2305" width="6.6640625" style="102" customWidth="1"/>
    <col min="2306" max="2311" width="8.6640625" style="102"/>
    <col min="2312" max="2312" width="18.33203125" style="102" bestFit="1" customWidth="1"/>
    <col min="2313" max="2560" width="8.6640625" style="102"/>
    <col min="2561" max="2561" width="6.6640625" style="102" customWidth="1"/>
    <col min="2562" max="2567" width="8.6640625" style="102"/>
    <col min="2568" max="2568" width="18.33203125" style="102" bestFit="1" customWidth="1"/>
    <col min="2569" max="2816" width="8.6640625" style="102"/>
    <col min="2817" max="2817" width="6.6640625" style="102" customWidth="1"/>
    <col min="2818" max="2823" width="8.6640625" style="102"/>
    <col min="2824" max="2824" width="18.33203125" style="102" bestFit="1" customWidth="1"/>
    <col min="2825" max="3072" width="8.6640625" style="102"/>
    <col min="3073" max="3073" width="6.6640625" style="102" customWidth="1"/>
    <col min="3074" max="3079" width="8.6640625" style="102"/>
    <col min="3080" max="3080" width="18.33203125" style="102" bestFit="1" customWidth="1"/>
    <col min="3081" max="3328" width="8.6640625" style="102"/>
    <col min="3329" max="3329" width="6.6640625" style="102" customWidth="1"/>
    <col min="3330" max="3335" width="8.6640625" style="102"/>
    <col min="3336" max="3336" width="18.33203125" style="102" bestFit="1" customWidth="1"/>
    <col min="3337" max="3584" width="8.6640625" style="102"/>
    <col min="3585" max="3585" width="6.6640625" style="102" customWidth="1"/>
    <col min="3586" max="3591" width="8.6640625" style="102"/>
    <col min="3592" max="3592" width="18.33203125" style="102" bestFit="1" customWidth="1"/>
    <col min="3593" max="3840" width="8.6640625" style="102"/>
    <col min="3841" max="3841" width="6.6640625" style="102" customWidth="1"/>
    <col min="3842" max="3847" width="8.6640625" style="102"/>
    <col min="3848" max="3848" width="18.33203125" style="102" bestFit="1" customWidth="1"/>
    <col min="3849" max="4096" width="8.6640625" style="102"/>
    <col min="4097" max="4097" width="6.6640625" style="102" customWidth="1"/>
    <col min="4098" max="4103" width="8.6640625" style="102"/>
    <col min="4104" max="4104" width="18.33203125" style="102" bestFit="1" customWidth="1"/>
    <col min="4105" max="4352" width="8.6640625" style="102"/>
    <col min="4353" max="4353" width="6.6640625" style="102" customWidth="1"/>
    <col min="4354" max="4359" width="8.6640625" style="102"/>
    <col min="4360" max="4360" width="18.33203125" style="102" bestFit="1" customWidth="1"/>
    <col min="4361" max="4608" width="8.6640625" style="102"/>
    <col min="4609" max="4609" width="6.6640625" style="102" customWidth="1"/>
    <col min="4610" max="4615" width="8.6640625" style="102"/>
    <col min="4616" max="4616" width="18.33203125" style="102" bestFit="1" customWidth="1"/>
    <col min="4617" max="4864" width="8.6640625" style="102"/>
    <col min="4865" max="4865" width="6.6640625" style="102" customWidth="1"/>
    <col min="4866" max="4871" width="8.6640625" style="102"/>
    <col min="4872" max="4872" width="18.33203125" style="102" bestFit="1" customWidth="1"/>
    <col min="4873" max="5120" width="8.6640625" style="102"/>
    <col min="5121" max="5121" width="6.6640625" style="102" customWidth="1"/>
    <col min="5122" max="5127" width="8.6640625" style="102"/>
    <col min="5128" max="5128" width="18.33203125" style="102" bestFit="1" customWidth="1"/>
    <col min="5129" max="5376" width="8.6640625" style="102"/>
    <col min="5377" max="5377" width="6.6640625" style="102" customWidth="1"/>
    <col min="5378" max="5383" width="8.6640625" style="102"/>
    <col min="5384" max="5384" width="18.33203125" style="102" bestFit="1" customWidth="1"/>
    <col min="5385" max="5632" width="8.6640625" style="102"/>
    <col min="5633" max="5633" width="6.6640625" style="102" customWidth="1"/>
    <col min="5634" max="5639" width="8.6640625" style="102"/>
    <col min="5640" max="5640" width="18.33203125" style="102" bestFit="1" customWidth="1"/>
    <col min="5641" max="5888" width="8.6640625" style="102"/>
    <col min="5889" max="5889" width="6.6640625" style="102" customWidth="1"/>
    <col min="5890" max="5895" width="8.6640625" style="102"/>
    <col min="5896" max="5896" width="18.33203125" style="102" bestFit="1" customWidth="1"/>
    <col min="5897" max="6144" width="8.6640625" style="102"/>
    <col min="6145" max="6145" width="6.6640625" style="102" customWidth="1"/>
    <col min="6146" max="6151" width="8.6640625" style="102"/>
    <col min="6152" max="6152" width="18.33203125" style="102" bestFit="1" customWidth="1"/>
    <col min="6153" max="6400" width="8.6640625" style="102"/>
    <col min="6401" max="6401" width="6.6640625" style="102" customWidth="1"/>
    <col min="6402" max="6407" width="8.6640625" style="102"/>
    <col min="6408" max="6408" width="18.33203125" style="102" bestFit="1" customWidth="1"/>
    <col min="6409" max="6656" width="8.6640625" style="102"/>
    <col min="6657" max="6657" width="6.6640625" style="102" customWidth="1"/>
    <col min="6658" max="6663" width="8.6640625" style="102"/>
    <col min="6664" max="6664" width="18.33203125" style="102" bestFit="1" customWidth="1"/>
    <col min="6665" max="6912" width="8.6640625" style="102"/>
    <col min="6913" max="6913" width="6.6640625" style="102" customWidth="1"/>
    <col min="6914" max="6919" width="8.6640625" style="102"/>
    <col min="6920" max="6920" width="18.33203125" style="102" bestFit="1" customWidth="1"/>
    <col min="6921" max="7168" width="8.6640625" style="102"/>
    <col min="7169" max="7169" width="6.6640625" style="102" customWidth="1"/>
    <col min="7170" max="7175" width="8.6640625" style="102"/>
    <col min="7176" max="7176" width="18.33203125" style="102" bestFit="1" customWidth="1"/>
    <col min="7177" max="7424" width="8.6640625" style="102"/>
    <col min="7425" max="7425" width="6.6640625" style="102" customWidth="1"/>
    <col min="7426" max="7431" width="8.6640625" style="102"/>
    <col min="7432" max="7432" width="18.33203125" style="102" bestFit="1" customWidth="1"/>
    <col min="7433" max="7680" width="8.6640625" style="102"/>
    <col min="7681" max="7681" width="6.6640625" style="102" customWidth="1"/>
    <col min="7682" max="7687" width="8.6640625" style="102"/>
    <col min="7688" max="7688" width="18.33203125" style="102" bestFit="1" customWidth="1"/>
    <col min="7689" max="7936" width="8.6640625" style="102"/>
    <col min="7937" max="7937" width="6.6640625" style="102" customWidth="1"/>
    <col min="7938" max="7943" width="8.6640625" style="102"/>
    <col min="7944" max="7944" width="18.33203125" style="102" bestFit="1" customWidth="1"/>
    <col min="7945" max="8192" width="8.6640625" style="102"/>
    <col min="8193" max="8193" width="6.6640625" style="102" customWidth="1"/>
    <col min="8194" max="8199" width="8.6640625" style="102"/>
    <col min="8200" max="8200" width="18.33203125" style="102" bestFit="1" customWidth="1"/>
    <col min="8201" max="8448" width="8.6640625" style="102"/>
    <col min="8449" max="8449" width="6.6640625" style="102" customWidth="1"/>
    <col min="8450" max="8455" width="8.6640625" style="102"/>
    <col min="8456" max="8456" width="18.33203125" style="102" bestFit="1" customWidth="1"/>
    <col min="8457" max="8704" width="8.6640625" style="102"/>
    <col min="8705" max="8705" width="6.6640625" style="102" customWidth="1"/>
    <col min="8706" max="8711" width="8.6640625" style="102"/>
    <col min="8712" max="8712" width="18.33203125" style="102" bestFit="1" customWidth="1"/>
    <col min="8713" max="8960" width="8.6640625" style="102"/>
    <col min="8961" max="8961" width="6.6640625" style="102" customWidth="1"/>
    <col min="8962" max="8967" width="8.6640625" style="102"/>
    <col min="8968" max="8968" width="18.33203125" style="102" bestFit="1" customWidth="1"/>
    <col min="8969" max="9216" width="8.6640625" style="102"/>
    <col min="9217" max="9217" width="6.6640625" style="102" customWidth="1"/>
    <col min="9218" max="9223" width="8.6640625" style="102"/>
    <col min="9224" max="9224" width="18.33203125" style="102" bestFit="1" customWidth="1"/>
    <col min="9225" max="9472" width="8.6640625" style="102"/>
    <col min="9473" max="9473" width="6.6640625" style="102" customWidth="1"/>
    <col min="9474" max="9479" width="8.6640625" style="102"/>
    <col min="9480" max="9480" width="18.33203125" style="102" bestFit="1" customWidth="1"/>
    <col min="9481" max="9728" width="8.6640625" style="102"/>
    <col min="9729" max="9729" width="6.6640625" style="102" customWidth="1"/>
    <col min="9730" max="9735" width="8.6640625" style="102"/>
    <col min="9736" max="9736" width="18.33203125" style="102" bestFit="1" customWidth="1"/>
    <col min="9737" max="9984" width="8.6640625" style="102"/>
    <col min="9985" max="9985" width="6.6640625" style="102" customWidth="1"/>
    <col min="9986" max="9991" width="8.6640625" style="102"/>
    <col min="9992" max="9992" width="18.33203125" style="102" bestFit="1" customWidth="1"/>
    <col min="9993" max="10240" width="8.6640625" style="102"/>
    <col min="10241" max="10241" width="6.6640625" style="102" customWidth="1"/>
    <col min="10242" max="10247" width="8.6640625" style="102"/>
    <col min="10248" max="10248" width="18.33203125" style="102" bestFit="1" customWidth="1"/>
    <col min="10249" max="10496" width="8.6640625" style="102"/>
    <col min="10497" max="10497" width="6.6640625" style="102" customWidth="1"/>
    <col min="10498" max="10503" width="8.6640625" style="102"/>
    <col min="10504" max="10504" width="18.33203125" style="102" bestFit="1" customWidth="1"/>
    <col min="10505" max="10752" width="8.6640625" style="102"/>
    <col min="10753" max="10753" width="6.6640625" style="102" customWidth="1"/>
    <col min="10754" max="10759" width="8.6640625" style="102"/>
    <col min="10760" max="10760" width="18.33203125" style="102" bestFit="1" customWidth="1"/>
    <col min="10761" max="11008" width="8.6640625" style="102"/>
    <col min="11009" max="11009" width="6.6640625" style="102" customWidth="1"/>
    <col min="11010" max="11015" width="8.6640625" style="102"/>
    <col min="11016" max="11016" width="18.33203125" style="102" bestFit="1" customWidth="1"/>
    <col min="11017" max="11264" width="8.6640625" style="102"/>
    <col min="11265" max="11265" width="6.6640625" style="102" customWidth="1"/>
    <col min="11266" max="11271" width="8.6640625" style="102"/>
    <col min="11272" max="11272" width="18.33203125" style="102" bestFit="1" customWidth="1"/>
    <col min="11273" max="11520" width="8.6640625" style="102"/>
    <col min="11521" max="11521" width="6.6640625" style="102" customWidth="1"/>
    <col min="11522" max="11527" width="8.6640625" style="102"/>
    <col min="11528" max="11528" width="18.33203125" style="102" bestFit="1" customWidth="1"/>
    <col min="11529" max="11776" width="8.6640625" style="102"/>
    <col min="11777" max="11777" width="6.6640625" style="102" customWidth="1"/>
    <col min="11778" max="11783" width="8.6640625" style="102"/>
    <col min="11784" max="11784" width="18.33203125" style="102" bestFit="1" customWidth="1"/>
    <col min="11785" max="12032" width="8.6640625" style="102"/>
    <col min="12033" max="12033" width="6.6640625" style="102" customWidth="1"/>
    <col min="12034" max="12039" width="8.6640625" style="102"/>
    <col min="12040" max="12040" width="18.33203125" style="102" bestFit="1" customWidth="1"/>
    <col min="12041" max="12288" width="8.6640625" style="102"/>
    <col min="12289" max="12289" width="6.6640625" style="102" customWidth="1"/>
    <col min="12290" max="12295" width="8.6640625" style="102"/>
    <col min="12296" max="12296" width="18.33203125" style="102" bestFit="1" customWidth="1"/>
    <col min="12297" max="12544" width="8.6640625" style="102"/>
    <col min="12545" max="12545" width="6.6640625" style="102" customWidth="1"/>
    <col min="12546" max="12551" width="8.6640625" style="102"/>
    <col min="12552" max="12552" width="18.33203125" style="102" bestFit="1" customWidth="1"/>
    <col min="12553" max="12800" width="8.6640625" style="102"/>
    <col min="12801" max="12801" width="6.6640625" style="102" customWidth="1"/>
    <col min="12802" max="12807" width="8.6640625" style="102"/>
    <col min="12808" max="12808" width="18.33203125" style="102" bestFit="1" customWidth="1"/>
    <col min="12809" max="13056" width="8.6640625" style="102"/>
    <col min="13057" max="13057" width="6.6640625" style="102" customWidth="1"/>
    <col min="13058" max="13063" width="8.6640625" style="102"/>
    <col min="13064" max="13064" width="18.33203125" style="102" bestFit="1" customWidth="1"/>
    <col min="13065" max="13312" width="8.6640625" style="102"/>
    <col min="13313" max="13313" width="6.6640625" style="102" customWidth="1"/>
    <col min="13314" max="13319" width="8.6640625" style="102"/>
    <col min="13320" max="13320" width="18.33203125" style="102" bestFit="1" customWidth="1"/>
    <col min="13321" max="13568" width="8.6640625" style="102"/>
    <col min="13569" max="13569" width="6.6640625" style="102" customWidth="1"/>
    <col min="13570" max="13575" width="8.6640625" style="102"/>
    <col min="13576" max="13576" width="18.33203125" style="102" bestFit="1" customWidth="1"/>
    <col min="13577" max="13824" width="8.6640625" style="102"/>
    <col min="13825" max="13825" width="6.6640625" style="102" customWidth="1"/>
    <col min="13826" max="13831" width="8.6640625" style="102"/>
    <col min="13832" max="13832" width="18.33203125" style="102" bestFit="1" customWidth="1"/>
    <col min="13833" max="14080" width="8.6640625" style="102"/>
    <col min="14081" max="14081" width="6.6640625" style="102" customWidth="1"/>
    <col min="14082" max="14087" width="8.6640625" style="102"/>
    <col min="14088" max="14088" width="18.33203125" style="102" bestFit="1" customWidth="1"/>
    <col min="14089" max="14336" width="8.6640625" style="102"/>
    <col min="14337" max="14337" width="6.6640625" style="102" customWidth="1"/>
    <col min="14338" max="14343" width="8.6640625" style="102"/>
    <col min="14344" max="14344" width="18.33203125" style="102" bestFit="1" customWidth="1"/>
    <col min="14345" max="14592" width="8.6640625" style="102"/>
    <col min="14593" max="14593" width="6.6640625" style="102" customWidth="1"/>
    <col min="14594" max="14599" width="8.6640625" style="102"/>
    <col min="14600" max="14600" width="18.33203125" style="102" bestFit="1" customWidth="1"/>
    <col min="14601" max="14848" width="8.6640625" style="102"/>
    <col min="14849" max="14849" width="6.6640625" style="102" customWidth="1"/>
    <col min="14850" max="14855" width="8.6640625" style="102"/>
    <col min="14856" max="14856" width="18.33203125" style="102" bestFit="1" customWidth="1"/>
    <col min="14857" max="15104" width="8.6640625" style="102"/>
    <col min="15105" max="15105" width="6.6640625" style="102" customWidth="1"/>
    <col min="15106" max="15111" width="8.6640625" style="102"/>
    <col min="15112" max="15112" width="18.33203125" style="102" bestFit="1" customWidth="1"/>
    <col min="15113" max="15360" width="8.6640625" style="102"/>
    <col min="15361" max="15361" width="6.6640625" style="102" customWidth="1"/>
    <col min="15362" max="15367" width="8.6640625" style="102"/>
    <col min="15368" max="15368" width="18.33203125" style="102" bestFit="1" customWidth="1"/>
    <col min="15369" max="15616" width="8.6640625" style="102"/>
    <col min="15617" max="15617" width="6.6640625" style="102" customWidth="1"/>
    <col min="15618" max="15623" width="8.6640625" style="102"/>
    <col min="15624" max="15624" width="18.33203125" style="102" bestFit="1" customWidth="1"/>
    <col min="15625" max="15872" width="8.6640625" style="102"/>
    <col min="15873" max="15873" width="6.6640625" style="102" customWidth="1"/>
    <col min="15874" max="15879" width="8.6640625" style="102"/>
    <col min="15880" max="15880" width="18.33203125" style="102" bestFit="1" customWidth="1"/>
    <col min="15881" max="16128" width="8.6640625" style="102"/>
    <col min="16129" max="16129" width="6.6640625" style="102" customWidth="1"/>
    <col min="16130" max="16135" width="8.6640625" style="102"/>
    <col min="16136" max="16136" width="18.33203125" style="102" bestFit="1" customWidth="1"/>
    <col min="16137" max="16384" width="8.6640625" style="102"/>
  </cols>
  <sheetData>
    <row r="1" spans="2:13">
      <c r="B1" s="101"/>
      <c r="C1" s="101"/>
      <c r="D1" s="101"/>
      <c r="E1" s="101"/>
      <c r="F1" s="101"/>
      <c r="G1" s="101"/>
      <c r="H1" s="101"/>
      <c r="I1" s="101"/>
      <c r="J1" s="101"/>
    </row>
    <row r="2" spans="2:13" ht="21">
      <c r="B2" s="167" t="s">
        <v>329</v>
      </c>
      <c r="C2" s="101"/>
      <c r="D2" s="101"/>
      <c r="E2" s="101"/>
      <c r="F2" s="101"/>
      <c r="G2" s="101"/>
      <c r="H2" s="101"/>
      <c r="I2" s="101"/>
      <c r="J2" s="101"/>
    </row>
    <row r="3" spans="2:13" ht="21">
      <c r="B3" s="103"/>
      <c r="C3" s="101"/>
      <c r="D3" s="101"/>
      <c r="E3" s="101"/>
      <c r="F3" s="101"/>
      <c r="G3" s="101"/>
      <c r="H3" s="101"/>
      <c r="I3" s="101"/>
      <c r="J3" s="101"/>
    </row>
    <row r="4" spans="2:13" s="105" customFormat="1" ht="19.5">
      <c r="B4" s="104" t="s">
        <v>388</v>
      </c>
    </row>
    <row r="5" spans="2:13" ht="81.95" customHeight="1">
      <c r="B5" s="101"/>
      <c r="C5" s="217" t="s">
        <v>389</v>
      </c>
      <c r="D5" s="217"/>
      <c r="E5" s="217"/>
      <c r="F5" s="217"/>
      <c r="G5" s="217"/>
      <c r="H5" s="217"/>
      <c r="I5" s="217"/>
      <c r="J5" s="217"/>
      <c r="K5" s="217"/>
      <c r="L5" s="217"/>
      <c r="M5" s="169"/>
    </row>
    <row r="6" spans="2:13" ht="15.75">
      <c r="B6" s="106"/>
      <c r="C6" s="170" t="s">
        <v>390</v>
      </c>
      <c r="D6" s="170" t="s">
        <v>391</v>
      </c>
      <c r="E6" s="106"/>
      <c r="F6" s="106"/>
      <c r="G6" s="106"/>
      <c r="H6" s="101"/>
      <c r="I6" s="101"/>
      <c r="J6" s="101"/>
    </row>
    <row r="7" spans="2:13" ht="15.75">
      <c r="B7" s="106"/>
      <c r="C7" s="168"/>
      <c r="D7" s="170" t="s">
        <v>392</v>
      </c>
      <c r="E7" s="106"/>
      <c r="F7" s="106"/>
      <c r="G7" s="106"/>
      <c r="H7" s="101"/>
      <c r="I7" s="101"/>
      <c r="J7" s="101"/>
    </row>
    <row r="8" spans="2:13" ht="15.75">
      <c r="B8" s="106"/>
      <c r="C8" s="168"/>
      <c r="D8" s="170" t="s">
        <v>393</v>
      </c>
      <c r="E8" s="106"/>
      <c r="F8" s="106"/>
      <c r="G8" s="106"/>
      <c r="H8" s="101"/>
      <c r="I8" s="101"/>
      <c r="J8" s="101"/>
    </row>
    <row r="9" spans="2:13">
      <c r="B9" s="101"/>
      <c r="C9" s="101"/>
      <c r="D9" s="101"/>
      <c r="E9" s="101"/>
      <c r="F9" s="101"/>
      <c r="G9" s="101"/>
      <c r="H9" s="101"/>
      <c r="I9" s="101"/>
      <c r="J9" s="101"/>
    </row>
    <row r="10" spans="2:13" s="105" customFormat="1" ht="19.5">
      <c r="B10" s="104" t="s">
        <v>303</v>
      </c>
    </row>
    <row r="11" spans="2:13" s="105" customFormat="1" ht="19.5">
      <c r="B11" s="104"/>
    </row>
    <row r="12" spans="2:13" ht="15.75">
      <c r="B12" s="106" t="s">
        <v>304</v>
      </c>
      <c r="C12" s="106"/>
      <c r="D12" s="106"/>
      <c r="E12" s="106"/>
      <c r="F12" s="106"/>
      <c r="G12" s="106"/>
      <c r="H12" s="106"/>
      <c r="I12" s="106"/>
      <c r="J12" s="101"/>
    </row>
    <row r="13" spans="2:13" ht="15.75">
      <c r="B13" s="106" t="s">
        <v>305</v>
      </c>
      <c r="C13" s="106"/>
      <c r="D13" s="106"/>
      <c r="E13" s="106"/>
      <c r="F13" s="106"/>
      <c r="G13" s="106"/>
      <c r="H13" s="106"/>
      <c r="I13" s="106"/>
      <c r="J13" s="101"/>
    </row>
    <row r="14" spans="2:13" ht="15.75">
      <c r="B14" s="106" t="s">
        <v>306</v>
      </c>
      <c r="C14" s="106"/>
      <c r="D14" s="106"/>
      <c r="E14" s="106"/>
      <c r="F14" s="106"/>
      <c r="G14" s="106"/>
      <c r="H14" s="106"/>
      <c r="I14" s="106"/>
      <c r="J14" s="101"/>
    </row>
    <row r="15" spans="2:13" ht="15.75">
      <c r="B15" s="106" t="s">
        <v>307</v>
      </c>
      <c r="C15" s="106"/>
      <c r="D15" s="106"/>
      <c r="E15" s="106"/>
      <c r="F15" s="106"/>
      <c r="G15" s="106"/>
      <c r="H15" s="106"/>
      <c r="I15" s="106"/>
      <c r="J15" s="101"/>
    </row>
    <row r="16" spans="2:13" ht="15.75">
      <c r="B16" s="106" t="s">
        <v>308</v>
      </c>
      <c r="C16" s="106"/>
      <c r="D16" s="106"/>
      <c r="E16" s="106"/>
      <c r="F16" s="106"/>
      <c r="G16" s="106"/>
      <c r="H16" s="106"/>
      <c r="I16" s="106"/>
      <c r="J16" s="101"/>
    </row>
    <row r="17" spans="2:10" ht="15.75">
      <c r="B17" s="106" t="s">
        <v>309</v>
      </c>
      <c r="C17" s="106"/>
      <c r="D17" s="106"/>
      <c r="E17" s="106"/>
      <c r="F17" s="106"/>
      <c r="G17" s="106"/>
      <c r="H17" s="106"/>
      <c r="I17" s="106"/>
      <c r="J17" s="101"/>
    </row>
    <row r="18" spans="2:10" ht="15.75">
      <c r="B18" s="106" t="s">
        <v>310</v>
      </c>
      <c r="C18" s="106"/>
      <c r="D18" s="106"/>
      <c r="E18" s="106"/>
      <c r="F18" s="106"/>
      <c r="G18" s="106"/>
      <c r="H18" s="106"/>
      <c r="I18" s="106"/>
      <c r="J18" s="101"/>
    </row>
    <row r="19" spans="2:10">
      <c r="B19" s="101"/>
      <c r="C19" s="101"/>
      <c r="D19" s="101"/>
      <c r="E19" s="101"/>
      <c r="F19" s="101"/>
      <c r="G19" s="101"/>
      <c r="H19" s="101"/>
      <c r="I19" s="101"/>
      <c r="J19" s="101"/>
    </row>
    <row r="20" spans="2:10">
      <c r="B20" s="101"/>
      <c r="C20" s="101"/>
      <c r="D20" s="101"/>
      <c r="E20" s="101"/>
      <c r="F20" s="101"/>
      <c r="G20" s="101"/>
      <c r="H20" s="101"/>
      <c r="I20" s="101"/>
      <c r="J20" s="101"/>
    </row>
    <row r="21" spans="2:10">
      <c r="B21" s="101"/>
      <c r="C21" s="101"/>
      <c r="D21" s="101"/>
      <c r="E21" s="101"/>
      <c r="F21" s="101"/>
      <c r="G21" s="101"/>
      <c r="H21" s="101"/>
      <c r="I21" s="101"/>
      <c r="J21" s="101"/>
    </row>
    <row r="22" spans="2:10">
      <c r="B22" s="101"/>
      <c r="C22" s="101"/>
      <c r="D22" s="101"/>
      <c r="E22" s="101"/>
      <c r="F22" s="101"/>
      <c r="G22" s="101"/>
      <c r="H22" s="101"/>
      <c r="I22" s="101"/>
      <c r="J22" s="101"/>
    </row>
    <row r="23" spans="2:10">
      <c r="B23" s="101"/>
      <c r="C23" s="101"/>
      <c r="D23" s="101"/>
      <c r="E23" s="101"/>
      <c r="F23" s="101"/>
      <c r="G23" s="101"/>
      <c r="H23" s="101"/>
      <c r="I23" s="101"/>
      <c r="J23" s="101"/>
    </row>
    <row r="24" spans="2:10">
      <c r="B24" s="101"/>
      <c r="C24" s="101"/>
      <c r="D24" s="101"/>
      <c r="E24" s="101"/>
      <c r="F24" s="101"/>
      <c r="G24" s="101"/>
      <c r="H24" s="101"/>
      <c r="I24" s="101"/>
      <c r="J24" s="101"/>
    </row>
    <row r="25" spans="2:10">
      <c r="B25" s="101"/>
      <c r="C25" s="101"/>
      <c r="D25" s="101"/>
      <c r="E25" s="101"/>
      <c r="F25" s="101"/>
      <c r="G25" s="101"/>
      <c r="H25" s="101"/>
      <c r="I25" s="101"/>
      <c r="J25" s="101"/>
    </row>
    <row r="26" spans="2:10">
      <c r="B26" s="101"/>
      <c r="C26" s="101"/>
      <c r="D26" s="101"/>
      <c r="E26" s="101"/>
      <c r="F26" s="101"/>
      <c r="G26" s="101"/>
      <c r="H26" s="101"/>
      <c r="I26" s="101"/>
      <c r="J26" s="101"/>
    </row>
    <row r="27" spans="2:10">
      <c r="B27" s="101"/>
      <c r="C27" s="101"/>
      <c r="D27" s="101"/>
      <c r="E27" s="101"/>
      <c r="F27" s="101"/>
      <c r="G27" s="101"/>
      <c r="H27" s="101"/>
      <c r="I27" s="101"/>
      <c r="J27" s="101"/>
    </row>
    <row r="28" spans="2:10">
      <c r="B28" s="101"/>
      <c r="C28" s="101"/>
      <c r="D28" s="101"/>
      <c r="E28" s="101"/>
      <c r="F28" s="101"/>
      <c r="G28" s="101"/>
      <c r="H28" s="101"/>
      <c r="I28" s="101"/>
      <c r="J28" s="101"/>
    </row>
    <row r="29" spans="2:10">
      <c r="B29" s="101"/>
      <c r="C29" s="101"/>
      <c r="D29" s="101"/>
      <c r="E29" s="101"/>
      <c r="F29" s="101"/>
      <c r="G29" s="101"/>
      <c r="H29" s="101"/>
      <c r="I29" s="101"/>
      <c r="J29" s="101"/>
    </row>
    <row r="30" spans="2:10">
      <c r="B30" s="101"/>
      <c r="C30" s="101"/>
      <c r="D30" s="101"/>
      <c r="E30" s="101"/>
      <c r="F30" s="101"/>
      <c r="G30" s="101"/>
      <c r="H30" s="101"/>
      <c r="I30" s="101"/>
      <c r="J30" s="101"/>
    </row>
    <row r="31" spans="2:10">
      <c r="B31" s="101"/>
      <c r="C31" s="101"/>
      <c r="D31" s="101"/>
      <c r="E31" s="101"/>
      <c r="F31" s="101"/>
      <c r="G31" s="101"/>
      <c r="H31" s="101"/>
      <c r="I31" s="101"/>
      <c r="J31" s="101"/>
    </row>
    <row r="32" spans="2:10">
      <c r="B32" s="101"/>
      <c r="C32" s="101"/>
      <c r="D32" s="101"/>
      <c r="E32" s="101"/>
      <c r="F32" s="101"/>
      <c r="G32" s="101"/>
      <c r="H32" s="101"/>
      <c r="I32" s="101"/>
      <c r="J32" s="101"/>
    </row>
    <row r="33" spans="2:10">
      <c r="B33" s="101"/>
      <c r="C33" s="101"/>
      <c r="D33" s="101"/>
      <c r="E33" s="101"/>
      <c r="F33" s="101"/>
      <c r="G33" s="101"/>
      <c r="H33" s="101"/>
      <c r="I33" s="101"/>
      <c r="J33" s="101"/>
    </row>
    <row r="34" spans="2:10">
      <c r="B34" s="101"/>
      <c r="C34" s="101"/>
      <c r="D34" s="101"/>
      <c r="E34" s="101"/>
      <c r="F34" s="101"/>
      <c r="G34" s="101"/>
      <c r="H34" s="101"/>
      <c r="I34" s="101"/>
      <c r="J34" s="101"/>
    </row>
    <row r="35" spans="2:10">
      <c r="B35" s="101"/>
      <c r="C35" s="101"/>
      <c r="D35" s="101"/>
      <c r="E35" s="101"/>
      <c r="F35" s="101"/>
      <c r="G35" s="101"/>
      <c r="H35" s="101"/>
      <c r="I35" s="101"/>
      <c r="J35" s="101"/>
    </row>
    <row r="36" spans="2:10">
      <c r="B36" s="101"/>
      <c r="C36" s="101"/>
      <c r="D36" s="101"/>
      <c r="E36" s="101"/>
      <c r="F36" s="101"/>
      <c r="G36" s="101"/>
      <c r="H36" s="101"/>
      <c r="I36" s="101"/>
      <c r="J36" s="101"/>
    </row>
    <row r="37" spans="2:10">
      <c r="B37" s="101"/>
      <c r="C37" s="101"/>
      <c r="D37" s="101"/>
      <c r="E37" s="101"/>
      <c r="F37" s="101"/>
      <c r="G37" s="101"/>
      <c r="H37" s="101"/>
      <c r="I37" s="101"/>
      <c r="J37" s="101"/>
    </row>
    <row r="38" spans="2:10">
      <c r="B38" s="101"/>
      <c r="C38" s="101"/>
      <c r="D38" s="101"/>
      <c r="E38" s="101"/>
      <c r="F38" s="101"/>
      <c r="G38" s="101"/>
      <c r="H38" s="101"/>
      <c r="I38" s="101"/>
      <c r="J38" s="101"/>
    </row>
    <row r="39" spans="2:10">
      <c r="B39" s="101"/>
      <c r="C39" s="101"/>
      <c r="D39" s="101"/>
      <c r="E39" s="101"/>
      <c r="F39" s="101"/>
      <c r="G39" s="101"/>
      <c r="H39" s="101"/>
      <c r="I39" s="101"/>
      <c r="J39" s="101"/>
    </row>
    <row r="40" spans="2:10">
      <c r="B40" s="101"/>
      <c r="C40" s="101"/>
      <c r="D40" s="101"/>
      <c r="E40" s="101"/>
      <c r="F40" s="101"/>
      <c r="G40" s="101"/>
      <c r="H40" s="101"/>
      <c r="I40" s="101"/>
      <c r="J40" s="101"/>
    </row>
    <row r="41" spans="2:10">
      <c r="B41" s="101"/>
      <c r="C41" s="101"/>
      <c r="D41" s="101"/>
      <c r="E41" s="101"/>
      <c r="F41" s="101"/>
      <c r="G41" s="101"/>
      <c r="H41" s="101"/>
      <c r="I41" s="101"/>
      <c r="J41" s="101"/>
    </row>
    <row r="42" spans="2:10">
      <c r="B42" s="101"/>
      <c r="C42" s="101"/>
      <c r="D42" s="101"/>
      <c r="E42" s="101"/>
      <c r="F42" s="101"/>
      <c r="G42" s="101"/>
      <c r="H42" s="101"/>
      <c r="I42" s="101"/>
      <c r="J42" s="101"/>
    </row>
    <row r="43" spans="2:10" ht="15.75">
      <c r="B43" s="106" t="s">
        <v>311</v>
      </c>
      <c r="C43" s="101"/>
      <c r="D43" s="101"/>
      <c r="E43" s="101"/>
      <c r="F43" s="101"/>
      <c r="G43" s="101"/>
      <c r="H43" s="101"/>
      <c r="I43" s="101"/>
      <c r="J43" s="101"/>
    </row>
    <row r="44" spans="2:10">
      <c r="B44" s="101"/>
      <c r="C44" s="50" t="s">
        <v>312</v>
      </c>
      <c r="D44" s="107">
        <v>36381</v>
      </c>
      <c r="E44" s="50" t="s">
        <v>313</v>
      </c>
      <c r="F44" s="108">
        <v>0.08</v>
      </c>
      <c r="G44" s="109"/>
      <c r="H44" s="110"/>
      <c r="I44" s="101"/>
      <c r="J44" s="101"/>
    </row>
    <row r="45" spans="2:10">
      <c r="B45" s="101"/>
      <c r="C45" s="50" t="s">
        <v>314</v>
      </c>
      <c r="D45" s="107">
        <v>37477</v>
      </c>
      <c r="E45" s="111" t="s">
        <v>315</v>
      </c>
      <c r="F45" s="50" t="s">
        <v>316</v>
      </c>
      <c r="G45" s="109"/>
      <c r="H45" s="110"/>
      <c r="I45" s="101"/>
      <c r="J45" s="101"/>
    </row>
    <row r="46" spans="2:10">
      <c r="B46" s="101"/>
      <c r="C46" s="112"/>
      <c r="D46" s="113"/>
      <c r="E46" s="114"/>
      <c r="F46" s="112"/>
      <c r="G46" s="109"/>
      <c r="H46" s="110"/>
      <c r="I46" s="101"/>
      <c r="J46" s="101"/>
    </row>
    <row r="47" spans="2:10" ht="15.75">
      <c r="B47" s="106" t="s">
        <v>317</v>
      </c>
      <c r="C47" s="101"/>
      <c r="D47" s="101"/>
      <c r="E47" s="101"/>
      <c r="F47" s="101"/>
      <c r="G47" s="101"/>
      <c r="H47" s="101"/>
      <c r="I47" s="101"/>
      <c r="J47" s="101"/>
    </row>
    <row r="48" spans="2:10">
      <c r="B48" s="101"/>
      <c r="C48" s="50" t="s">
        <v>318</v>
      </c>
      <c r="D48" s="107">
        <v>36803</v>
      </c>
      <c r="E48" s="50" t="s">
        <v>319</v>
      </c>
      <c r="F48" s="108">
        <v>0.10299999999999999</v>
      </c>
      <c r="G48" s="50" t="s">
        <v>320</v>
      </c>
      <c r="H48" s="115">
        <v>20000000000</v>
      </c>
      <c r="I48" s="101"/>
      <c r="J48" s="101"/>
    </row>
    <row r="49" spans="2:10">
      <c r="B49" s="101"/>
      <c r="C49" s="50" t="s">
        <v>321</v>
      </c>
      <c r="D49" s="116">
        <v>36</v>
      </c>
      <c r="E49" s="50" t="s">
        <v>322</v>
      </c>
      <c r="F49" s="116">
        <v>92</v>
      </c>
      <c r="G49" s="117" t="s">
        <v>323</v>
      </c>
      <c r="H49" s="118">
        <f>+H48*0.9737</f>
        <v>19474000000</v>
      </c>
      <c r="I49" s="101"/>
      <c r="J49" s="101"/>
    </row>
    <row r="50" spans="2:10">
      <c r="B50" s="101"/>
      <c r="C50" s="112"/>
      <c r="D50" s="119"/>
      <c r="E50" s="112"/>
      <c r="F50" s="119"/>
      <c r="G50" s="119"/>
      <c r="H50" s="119"/>
      <c r="I50" s="119"/>
      <c r="J50" s="101"/>
    </row>
    <row r="51" spans="2:10" ht="15.75">
      <c r="B51" s="106" t="s">
        <v>324</v>
      </c>
      <c r="C51" s="112"/>
      <c r="D51" s="119"/>
      <c r="E51" s="112"/>
      <c r="F51" s="120"/>
      <c r="G51" s="215"/>
      <c r="H51" s="216"/>
      <c r="I51" s="101"/>
      <c r="J51" s="101"/>
    </row>
    <row r="52" spans="2:10">
      <c r="B52" s="101"/>
      <c r="C52" s="112"/>
      <c r="D52" s="119"/>
      <c r="E52" s="112"/>
      <c r="F52" s="120"/>
      <c r="G52" s="121"/>
      <c r="H52" s="112"/>
      <c r="I52" s="101"/>
      <c r="J52" s="101"/>
    </row>
    <row r="53" spans="2:10">
      <c r="B53" s="101"/>
      <c r="C53" s="112"/>
      <c r="D53" s="119"/>
      <c r="E53" s="112"/>
      <c r="F53" s="120"/>
      <c r="G53" s="121"/>
      <c r="H53" s="112"/>
      <c r="I53" s="101"/>
      <c r="J53" s="101"/>
    </row>
    <row r="54" spans="2:10">
      <c r="B54" s="101"/>
      <c r="C54" s="112"/>
      <c r="D54" s="119"/>
      <c r="E54" s="112"/>
      <c r="F54" s="120"/>
      <c r="G54" s="121"/>
      <c r="H54" s="112"/>
      <c r="I54" s="101"/>
      <c r="J54" s="101"/>
    </row>
    <row r="55" spans="2:10">
      <c r="B55" s="101"/>
      <c r="C55" s="112"/>
      <c r="D55" s="119"/>
      <c r="E55" s="112"/>
      <c r="F55" s="120"/>
      <c r="G55" s="121"/>
      <c r="H55" s="112"/>
      <c r="I55" s="101"/>
      <c r="J55" s="101"/>
    </row>
    <row r="56" spans="2:10">
      <c r="B56" s="101"/>
      <c r="C56" s="112"/>
      <c r="D56" s="119"/>
      <c r="E56" s="112"/>
      <c r="F56" s="120"/>
      <c r="G56" s="121"/>
      <c r="H56" s="112"/>
      <c r="I56" s="101"/>
      <c r="J56" s="101"/>
    </row>
    <row r="57" spans="2:10">
      <c r="B57" s="101" t="s">
        <v>325</v>
      </c>
      <c r="C57" s="101"/>
      <c r="D57" s="101"/>
      <c r="E57" s="101"/>
      <c r="F57" s="101"/>
      <c r="G57" s="101"/>
      <c r="H57" s="101"/>
      <c r="I57" s="101"/>
      <c r="J57" s="101"/>
    </row>
    <row r="58" spans="2:10">
      <c r="B58" s="101" t="s">
        <v>326</v>
      </c>
      <c r="C58" s="101"/>
      <c r="D58" s="101"/>
      <c r="E58" s="101"/>
      <c r="F58" s="101"/>
      <c r="G58" s="101"/>
      <c r="H58" s="101"/>
      <c r="I58" s="101"/>
      <c r="J58" s="101"/>
    </row>
    <row r="59" spans="2:10">
      <c r="B59" s="101" t="s">
        <v>327</v>
      </c>
      <c r="C59" s="101"/>
      <c r="D59" s="101"/>
      <c r="E59" s="101"/>
      <c r="F59" s="101"/>
      <c r="G59" s="101"/>
      <c r="H59" s="101"/>
      <c r="I59" s="101"/>
      <c r="J59" s="101"/>
    </row>
    <row r="60" spans="2:10">
      <c r="B60" s="101" t="s">
        <v>328</v>
      </c>
      <c r="C60" s="101"/>
      <c r="D60" s="101"/>
      <c r="E60" s="101"/>
      <c r="F60" s="101"/>
      <c r="G60" s="101"/>
      <c r="H60" s="101"/>
      <c r="I60" s="101"/>
      <c r="J60" s="101"/>
    </row>
    <row r="61" spans="2:10">
      <c r="B61" s="101"/>
      <c r="C61" s="101"/>
      <c r="D61" s="101"/>
      <c r="E61" s="101"/>
      <c r="F61" s="101"/>
      <c r="G61" s="101"/>
      <c r="H61" s="101"/>
      <c r="I61" s="101"/>
      <c r="J61" s="101"/>
    </row>
    <row r="120" spans="2:9">
      <c r="B120" s="122"/>
      <c r="C120" s="122"/>
      <c r="D120" s="122"/>
      <c r="E120" s="122"/>
      <c r="F120" s="122"/>
      <c r="G120" s="122"/>
      <c r="H120" s="122"/>
      <c r="I120" s="122"/>
    </row>
    <row r="121" spans="2:9">
      <c r="B121" s="122"/>
      <c r="C121" s="122"/>
      <c r="D121" s="122"/>
      <c r="E121" s="122"/>
      <c r="F121" s="122"/>
      <c r="G121" s="122"/>
      <c r="H121" s="122"/>
      <c r="I121" s="12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3"/>
    </row>
    <row r="5" spans="2:6" ht="13.5">
      <c r="B5" s="171" t="s">
        <v>82</v>
      </c>
      <c r="C5" s="171" t="s">
        <v>2</v>
      </c>
      <c r="D5" s="172" t="s">
        <v>83</v>
      </c>
      <c r="E5" s="171" t="s">
        <v>395</v>
      </c>
      <c r="F5" s="171" t="s">
        <v>396</v>
      </c>
    </row>
    <row r="6" spans="2:6" ht="13.5">
      <c r="B6" s="173" t="s">
        <v>73</v>
      </c>
      <c r="C6" s="101" t="s">
        <v>567</v>
      </c>
      <c r="D6" s="122">
        <v>0</v>
      </c>
      <c r="E6" s="122" t="s">
        <v>122</v>
      </c>
      <c r="F6" s="122" t="s">
        <v>397</v>
      </c>
    </row>
    <row r="7" spans="2:6" ht="13.5">
      <c r="B7" s="173" t="s">
        <v>73</v>
      </c>
      <c r="C7" s="101" t="s">
        <v>568</v>
      </c>
      <c r="D7" s="122">
        <v>1</v>
      </c>
      <c r="E7" s="122" t="s">
        <v>123</v>
      </c>
      <c r="F7" s="122" t="s">
        <v>399</v>
      </c>
    </row>
    <row r="8" spans="2:6" ht="13.5">
      <c r="B8" s="173" t="s">
        <v>73</v>
      </c>
      <c r="C8" s="101" t="s">
        <v>569</v>
      </c>
      <c r="D8" s="122">
        <v>2</v>
      </c>
      <c r="E8" s="122" t="s">
        <v>124</v>
      </c>
      <c r="F8" s="122" t="s">
        <v>400</v>
      </c>
    </row>
    <row r="9" spans="2:6" ht="13.5">
      <c r="B9" s="173" t="s">
        <v>73</v>
      </c>
      <c r="C9" s="101" t="s">
        <v>570</v>
      </c>
      <c r="D9" s="122">
        <v>3</v>
      </c>
      <c r="E9" s="122" t="s">
        <v>125</v>
      </c>
      <c r="F9" s="122" t="s">
        <v>401</v>
      </c>
    </row>
    <row r="10" spans="2:6" ht="13.5">
      <c r="B10" s="173" t="s">
        <v>73</v>
      </c>
      <c r="C10" s="101" t="s">
        <v>571</v>
      </c>
      <c r="D10" s="122">
        <v>4</v>
      </c>
      <c r="E10" s="122" t="s">
        <v>126</v>
      </c>
      <c r="F10" s="122" t="s">
        <v>402</v>
      </c>
    </row>
    <row r="11" spans="2:6" ht="13.5">
      <c r="B11" s="173" t="s">
        <v>73</v>
      </c>
      <c r="C11" s="101" t="s">
        <v>572</v>
      </c>
      <c r="D11" s="122">
        <v>5</v>
      </c>
      <c r="E11" s="122" t="s">
        <v>127</v>
      </c>
      <c r="F11" s="122" t="s">
        <v>403</v>
      </c>
    </row>
    <row r="12" spans="2:6" ht="13.5">
      <c r="B12" s="173" t="s">
        <v>73</v>
      </c>
      <c r="C12" s="101" t="s">
        <v>573</v>
      </c>
      <c r="D12" s="122">
        <v>6</v>
      </c>
      <c r="E12" s="122" t="s">
        <v>128</v>
      </c>
      <c r="F12" s="122" t="s">
        <v>404</v>
      </c>
    </row>
    <row r="13" spans="2:6" ht="13.5">
      <c r="B13" s="173" t="s">
        <v>73</v>
      </c>
      <c r="C13" s="101" t="s">
        <v>574</v>
      </c>
      <c r="D13" s="122">
        <v>7</v>
      </c>
      <c r="E13" s="122" t="s">
        <v>129</v>
      </c>
      <c r="F13" s="122" t="s">
        <v>405</v>
      </c>
    </row>
    <row r="14" spans="2:6" ht="13.5">
      <c r="B14" s="192" t="s">
        <v>73</v>
      </c>
      <c r="C14" s="123" t="s">
        <v>575</v>
      </c>
      <c r="D14" s="193">
        <v>8</v>
      </c>
      <c r="E14" s="193"/>
      <c r="F14" s="193" t="s">
        <v>634</v>
      </c>
    </row>
    <row r="15" spans="2:6" ht="13.5">
      <c r="B15" s="192" t="s">
        <v>73</v>
      </c>
      <c r="C15" s="123" t="s">
        <v>576</v>
      </c>
      <c r="D15" s="193">
        <v>9</v>
      </c>
      <c r="E15" s="193"/>
      <c r="F15" s="193" t="s">
        <v>635</v>
      </c>
    </row>
    <row r="16" spans="2:6" ht="13.5">
      <c r="B16" s="192" t="s">
        <v>73</v>
      </c>
      <c r="C16" s="123" t="s">
        <v>577</v>
      </c>
      <c r="D16" s="193">
        <v>10</v>
      </c>
      <c r="E16" s="193"/>
      <c r="F16" s="193" t="s">
        <v>636</v>
      </c>
    </row>
    <row r="17" spans="2:6" ht="13.5">
      <c r="B17" s="192" t="s">
        <v>73</v>
      </c>
      <c r="C17" s="123" t="s">
        <v>578</v>
      </c>
      <c r="D17" s="193">
        <v>11</v>
      </c>
      <c r="E17" s="193"/>
      <c r="F17" s="193" t="s">
        <v>637</v>
      </c>
    </row>
    <row r="18" spans="2:6" ht="13.5">
      <c r="B18" s="192" t="s">
        <v>73</v>
      </c>
      <c r="C18" s="123" t="s">
        <v>579</v>
      </c>
      <c r="D18" s="193">
        <v>12</v>
      </c>
      <c r="E18" s="193"/>
      <c r="F18" s="193" t="s">
        <v>638</v>
      </c>
    </row>
    <row r="19" spans="2:6" ht="13.5">
      <c r="B19" s="192" t="s">
        <v>73</v>
      </c>
      <c r="C19" s="123" t="s">
        <v>580</v>
      </c>
      <c r="D19" s="193">
        <v>13</v>
      </c>
      <c r="E19" s="193"/>
      <c r="F19" s="193" t="s">
        <v>639</v>
      </c>
    </row>
    <row r="20" spans="2:6" ht="13.5">
      <c r="B20" s="192" t="s">
        <v>73</v>
      </c>
      <c r="C20" s="123" t="s">
        <v>581</v>
      </c>
      <c r="D20" s="193">
        <v>14</v>
      </c>
      <c r="E20" s="193"/>
      <c r="F20" s="193" t="s">
        <v>640</v>
      </c>
    </row>
    <row r="21" spans="2:6" ht="13.5">
      <c r="B21" s="192" t="s">
        <v>73</v>
      </c>
      <c r="C21" s="123" t="s">
        <v>582</v>
      </c>
      <c r="D21" s="193">
        <v>15</v>
      </c>
      <c r="E21" s="193"/>
      <c r="F21" s="193" t="s">
        <v>641</v>
      </c>
    </row>
    <row r="22" spans="2:6" ht="13.5">
      <c r="B22" s="192" t="s">
        <v>73</v>
      </c>
      <c r="C22" s="123" t="s">
        <v>583</v>
      </c>
      <c r="D22" s="193">
        <v>16</v>
      </c>
      <c r="E22" s="193"/>
      <c r="F22" s="193" t="s">
        <v>642</v>
      </c>
    </row>
    <row r="23" spans="2:6" ht="13.5">
      <c r="B23" s="192" t="s">
        <v>73</v>
      </c>
      <c r="C23" s="123" t="s">
        <v>584</v>
      </c>
      <c r="D23" s="193">
        <v>17</v>
      </c>
      <c r="E23" s="193"/>
      <c r="F23" s="193" t="s">
        <v>643</v>
      </c>
    </row>
    <row r="24" spans="2:6" ht="13.5">
      <c r="B24" s="192" t="s">
        <v>73</v>
      </c>
      <c r="C24" s="123" t="s">
        <v>585</v>
      </c>
      <c r="D24" s="193">
        <v>18</v>
      </c>
      <c r="E24" s="193"/>
      <c r="F24" s="193" t="s">
        <v>644</v>
      </c>
    </row>
    <row r="25" spans="2:6" ht="13.5">
      <c r="B25" s="192" t="s">
        <v>73</v>
      </c>
      <c r="C25" s="123" t="s">
        <v>586</v>
      </c>
      <c r="D25" s="193">
        <v>19</v>
      </c>
      <c r="E25" s="193"/>
      <c r="F25" s="193" t="s">
        <v>645</v>
      </c>
    </row>
    <row r="26" spans="2:6" ht="13.5">
      <c r="B26" s="192" t="s">
        <v>73</v>
      </c>
      <c r="C26" s="123" t="s">
        <v>587</v>
      </c>
      <c r="D26" s="193">
        <v>20</v>
      </c>
      <c r="E26" s="193"/>
      <c r="F26" s="193" t="s">
        <v>646</v>
      </c>
    </row>
    <row r="27" spans="2:6" ht="13.5">
      <c r="B27" s="192" t="s">
        <v>73</v>
      </c>
      <c r="C27" s="123" t="s">
        <v>588</v>
      </c>
      <c r="D27" s="193">
        <v>21</v>
      </c>
      <c r="E27" s="193"/>
      <c r="F27" s="193" t="s">
        <v>647</v>
      </c>
    </row>
    <row r="28" spans="2:6" ht="13.5">
      <c r="B28" s="192" t="s">
        <v>73</v>
      </c>
      <c r="C28" s="123" t="s">
        <v>589</v>
      </c>
      <c r="D28" s="193">
        <v>22</v>
      </c>
      <c r="E28" s="193"/>
      <c r="F28" s="193" t="s">
        <v>648</v>
      </c>
    </row>
    <row r="29" spans="2:6" ht="13.5">
      <c r="B29" s="192" t="s">
        <v>73</v>
      </c>
      <c r="C29" s="123" t="s">
        <v>590</v>
      </c>
      <c r="D29" s="193">
        <v>23</v>
      </c>
      <c r="E29" s="193"/>
      <c r="F29" s="193" t="s">
        <v>649</v>
      </c>
    </row>
    <row r="30" spans="2:6" ht="13.5">
      <c r="B30" s="192" t="s">
        <v>73</v>
      </c>
      <c r="C30" s="123" t="s">
        <v>591</v>
      </c>
      <c r="D30" s="193">
        <v>24</v>
      </c>
      <c r="E30" s="193"/>
      <c r="F30" s="193" t="s">
        <v>650</v>
      </c>
    </row>
    <row r="31" spans="2:6" ht="13.5">
      <c r="B31" s="192" t="s">
        <v>73</v>
      </c>
      <c r="C31" s="123" t="s">
        <v>592</v>
      </c>
      <c r="D31" s="193">
        <v>25</v>
      </c>
      <c r="E31" s="193"/>
      <c r="F31" s="193" t="s">
        <v>651</v>
      </c>
    </row>
    <row r="32" spans="2:6" ht="13.5">
      <c r="B32" s="192" t="s">
        <v>73</v>
      </c>
      <c r="C32" s="123" t="s">
        <v>593</v>
      </c>
      <c r="D32" s="193">
        <v>26</v>
      </c>
      <c r="E32" s="193"/>
      <c r="F32" s="193" t="s">
        <v>652</v>
      </c>
    </row>
    <row r="33" spans="2:6" ht="13.5">
      <c r="B33" s="192" t="s">
        <v>73</v>
      </c>
      <c r="C33" s="123" t="s">
        <v>594</v>
      </c>
      <c r="D33" s="193">
        <v>27</v>
      </c>
      <c r="E33" s="193"/>
      <c r="F33" s="193" t="s">
        <v>653</v>
      </c>
    </row>
    <row r="34" spans="2:6" ht="13.5">
      <c r="B34" s="192" t="s">
        <v>73</v>
      </c>
      <c r="C34" s="123" t="s">
        <v>595</v>
      </c>
      <c r="D34" s="193">
        <v>28</v>
      </c>
      <c r="E34" s="193"/>
      <c r="F34" s="193" t="s">
        <v>654</v>
      </c>
    </row>
    <row r="35" spans="2:6" ht="13.5">
      <c r="B35" s="192" t="s">
        <v>73</v>
      </c>
      <c r="C35" s="123" t="s">
        <v>596</v>
      </c>
      <c r="D35" s="193">
        <v>29</v>
      </c>
      <c r="E35" s="193"/>
      <c r="F35" s="193" t="s">
        <v>655</v>
      </c>
    </row>
    <row r="36" spans="2:6" ht="13.5">
      <c r="B36" s="192" t="s">
        <v>73</v>
      </c>
      <c r="C36" s="123" t="s">
        <v>597</v>
      </c>
      <c r="D36" s="193">
        <v>30</v>
      </c>
      <c r="E36" s="193"/>
      <c r="F36" s="193" t="s">
        <v>656</v>
      </c>
    </row>
    <row r="37" spans="2:6" ht="13.5">
      <c r="B37" s="192" t="s">
        <v>73</v>
      </c>
      <c r="C37" s="123" t="s">
        <v>598</v>
      </c>
      <c r="D37" s="193">
        <v>31</v>
      </c>
      <c r="E37" s="193"/>
      <c r="F37" s="193" t="s">
        <v>657</v>
      </c>
    </row>
    <row r="38" spans="2:6" ht="13.5">
      <c r="B38" s="192" t="s">
        <v>73</v>
      </c>
      <c r="C38" s="123" t="s">
        <v>599</v>
      </c>
      <c r="D38" s="193">
        <v>32</v>
      </c>
      <c r="E38" s="193"/>
      <c r="F38" s="193" t="s">
        <v>658</v>
      </c>
    </row>
    <row r="39" spans="2:6" ht="13.5">
      <c r="B39" s="192" t="s">
        <v>73</v>
      </c>
      <c r="C39" s="123" t="s">
        <v>600</v>
      </c>
      <c r="D39" s="193">
        <v>33</v>
      </c>
      <c r="E39" s="193"/>
      <c r="F39" s="193" t="s">
        <v>659</v>
      </c>
    </row>
    <row r="40" spans="2:6" ht="13.5">
      <c r="B40" s="192" t="s">
        <v>73</v>
      </c>
      <c r="C40" s="123" t="s">
        <v>601</v>
      </c>
      <c r="D40" s="193">
        <v>34</v>
      </c>
      <c r="E40" s="193"/>
      <c r="F40" s="193" t="s">
        <v>660</v>
      </c>
    </row>
    <row r="41" spans="2:6" ht="13.5">
      <c r="B41" s="192" t="s">
        <v>73</v>
      </c>
      <c r="C41" s="123" t="s">
        <v>602</v>
      </c>
      <c r="D41" s="193">
        <v>35</v>
      </c>
      <c r="E41" s="193"/>
      <c r="F41" s="193" t="s">
        <v>661</v>
      </c>
    </row>
    <row r="42" spans="2:6" ht="13.5">
      <c r="B42" s="192" t="s">
        <v>73</v>
      </c>
      <c r="C42" s="123" t="s">
        <v>603</v>
      </c>
      <c r="D42" s="193">
        <v>36</v>
      </c>
      <c r="E42" s="193"/>
      <c r="F42" s="193" t="s">
        <v>662</v>
      </c>
    </row>
    <row r="43" spans="2:6" ht="13.5">
      <c r="B43" s="192" t="s">
        <v>73</v>
      </c>
      <c r="C43" s="123" t="s">
        <v>604</v>
      </c>
      <c r="D43" s="193">
        <v>37</v>
      </c>
      <c r="E43" s="193"/>
      <c r="F43" s="193" t="s">
        <v>663</v>
      </c>
    </row>
    <row r="44" spans="2:6" ht="13.5">
      <c r="B44" s="192" t="s">
        <v>73</v>
      </c>
      <c r="C44" s="123" t="s">
        <v>605</v>
      </c>
      <c r="D44" s="193">
        <v>38</v>
      </c>
      <c r="E44" s="193"/>
      <c r="F44" s="193" t="s">
        <v>664</v>
      </c>
    </row>
    <row r="45" spans="2:6" ht="13.5">
      <c r="B45" s="192" t="s">
        <v>73</v>
      </c>
      <c r="C45" s="123" t="s">
        <v>606</v>
      </c>
      <c r="D45" s="193">
        <v>39</v>
      </c>
      <c r="E45" s="193"/>
      <c r="F45" s="193" t="s">
        <v>665</v>
      </c>
    </row>
    <row r="46" spans="2:6" ht="13.5">
      <c r="B46" s="192" t="s">
        <v>73</v>
      </c>
      <c r="C46" s="123" t="s">
        <v>607</v>
      </c>
      <c r="D46" s="193">
        <v>40</v>
      </c>
      <c r="E46" s="193"/>
      <c r="F46" s="193" t="s">
        <v>666</v>
      </c>
    </row>
    <row r="47" spans="2:6" ht="13.5">
      <c r="B47" s="192" t="s">
        <v>73</v>
      </c>
      <c r="C47" s="123" t="s">
        <v>608</v>
      </c>
      <c r="D47" s="193">
        <v>41</v>
      </c>
      <c r="E47" s="193"/>
      <c r="F47" s="193" t="s">
        <v>667</v>
      </c>
    </row>
    <row r="48" spans="2:6" ht="13.5">
      <c r="B48" s="192" t="s">
        <v>73</v>
      </c>
      <c r="C48" s="123" t="s">
        <v>609</v>
      </c>
      <c r="D48" s="193">
        <v>42</v>
      </c>
      <c r="E48" s="193"/>
      <c r="F48" s="193" t="s">
        <v>668</v>
      </c>
    </row>
    <row r="49" spans="2:6" ht="13.5">
      <c r="B49" s="192" t="s">
        <v>73</v>
      </c>
      <c r="C49" s="123" t="s">
        <v>610</v>
      </c>
      <c r="D49" s="193">
        <v>43</v>
      </c>
      <c r="E49" s="193"/>
      <c r="F49" s="193" t="s">
        <v>669</v>
      </c>
    </row>
    <row r="50" spans="2:6" ht="13.5">
      <c r="B50" s="192" t="s">
        <v>73</v>
      </c>
      <c r="C50" s="123" t="s">
        <v>611</v>
      </c>
      <c r="D50" s="193">
        <v>44</v>
      </c>
      <c r="E50" s="193"/>
      <c r="F50" s="193" t="s">
        <v>670</v>
      </c>
    </row>
    <row r="51" spans="2:6" ht="13.5">
      <c r="B51" s="192" t="s">
        <v>73</v>
      </c>
      <c r="C51" s="123" t="s">
        <v>612</v>
      </c>
      <c r="D51" s="193">
        <v>45</v>
      </c>
      <c r="E51" s="193"/>
      <c r="F51" s="193" t="s">
        <v>671</v>
      </c>
    </row>
    <row r="52" spans="2:6" ht="13.5">
      <c r="B52" s="192" t="s">
        <v>73</v>
      </c>
      <c r="C52" s="123" t="s">
        <v>613</v>
      </c>
      <c r="D52" s="193">
        <v>46</v>
      </c>
      <c r="E52" s="193"/>
      <c r="F52" s="193" t="s">
        <v>672</v>
      </c>
    </row>
    <row r="53" spans="2:6" ht="13.5">
      <c r="B53" s="192" t="s">
        <v>73</v>
      </c>
      <c r="C53" s="123" t="s">
        <v>614</v>
      </c>
      <c r="D53" s="193">
        <v>47</v>
      </c>
      <c r="E53" s="193"/>
      <c r="F53" s="193" t="s">
        <v>673</v>
      </c>
    </row>
    <row r="54" spans="2:6" ht="13.5">
      <c r="B54" s="192" t="s">
        <v>73</v>
      </c>
      <c r="C54" s="123" t="s">
        <v>615</v>
      </c>
      <c r="D54" s="193">
        <v>48</v>
      </c>
      <c r="E54" s="193"/>
      <c r="F54" s="193" t="s">
        <v>674</v>
      </c>
    </row>
    <row r="55" spans="2:6" ht="13.5">
      <c r="B55" s="192" t="s">
        <v>73</v>
      </c>
      <c r="C55" s="123" t="s">
        <v>616</v>
      </c>
      <c r="D55" s="193">
        <v>49</v>
      </c>
      <c r="E55" s="193"/>
      <c r="F55" s="193" t="s">
        <v>675</v>
      </c>
    </row>
    <row r="56" spans="2:6" ht="13.5">
      <c r="B56" s="192" t="s">
        <v>73</v>
      </c>
      <c r="C56" s="123" t="s">
        <v>617</v>
      </c>
      <c r="D56" s="193">
        <v>50</v>
      </c>
      <c r="E56" s="193"/>
      <c r="F56" s="193" t="s">
        <v>676</v>
      </c>
    </row>
    <row r="57" spans="2:6" ht="13.5">
      <c r="B57" s="192" t="s">
        <v>73</v>
      </c>
      <c r="C57" s="123" t="s">
        <v>618</v>
      </c>
      <c r="D57" s="193">
        <v>51</v>
      </c>
      <c r="E57" s="193"/>
      <c r="F57" s="193" t="s">
        <v>677</v>
      </c>
    </row>
    <row r="58" spans="2:6" ht="13.5">
      <c r="B58" s="192" t="s">
        <v>73</v>
      </c>
      <c r="C58" s="123" t="s">
        <v>619</v>
      </c>
      <c r="D58" s="193">
        <v>52</v>
      </c>
      <c r="E58" s="193"/>
      <c r="F58" s="193" t="s">
        <v>678</v>
      </c>
    </row>
    <row r="59" spans="2:6" ht="13.5">
      <c r="B59" s="192" t="s">
        <v>73</v>
      </c>
      <c r="C59" s="123" t="s">
        <v>620</v>
      </c>
      <c r="D59" s="193">
        <v>53</v>
      </c>
      <c r="E59" s="193"/>
      <c r="F59" s="193" t="s">
        <v>679</v>
      </c>
    </row>
    <row r="60" spans="2:6" ht="13.5">
      <c r="B60" s="192" t="s">
        <v>73</v>
      </c>
      <c r="C60" s="123" t="s">
        <v>621</v>
      </c>
      <c r="D60" s="193">
        <v>54</v>
      </c>
      <c r="E60" s="193"/>
      <c r="F60" s="193" t="s">
        <v>680</v>
      </c>
    </row>
    <row r="61" spans="2:6" ht="13.5">
      <c r="B61" s="192" t="s">
        <v>73</v>
      </c>
      <c r="C61" s="123" t="s">
        <v>622</v>
      </c>
      <c r="D61" s="193">
        <v>55</v>
      </c>
      <c r="E61" s="193"/>
      <c r="F61" s="193" t="s">
        <v>681</v>
      </c>
    </row>
    <row r="62" spans="2:6" ht="13.5">
      <c r="B62" s="192" t="s">
        <v>73</v>
      </c>
      <c r="C62" s="123" t="s">
        <v>623</v>
      </c>
      <c r="D62" s="193">
        <v>56</v>
      </c>
      <c r="E62" s="193"/>
      <c r="F62" s="193" t="s">
        <v>682</v>
      </c>
    </row>
    <row r="63" spans="2:6" ht="13.5">
      <c r="B63" s="192" t="s">
        <v>73</v>
      </c>
      <c r="C63" s="123" t="s">
        <v>624</v>
      </c>
      <c r="D63" s="193">
        <v>57</v>
      </c>
      <c r="E63" s="193"/>
      <c r="F63" s="193" t="s">
        <v>683</v>
      </c>
    </row>
    <row r="64" spans="2:6" ht="13.5">
      <c r="B64" s="192" t="s">
        <v>73</v>
      </c>
      <c r="C64" s="123" t="s">
        <v>625</v>
      </c>
      <c r="D64" s="193">
        <v>58</v>
      </c>
      <c r="E64" s="193"/>
      <c r="F64" s="193" t="s">
        <v>684</v>
      </c>
    </row>
    <row r="65" spans="2:7" ht="13.5">
      <c r="B65" s="192" t="s">
        <v>73</v>
      </c>
      <c r="C65" s="123" t="s">
        <v>626</v>
      </c>
      <c r="D65" s="193">
        <v>59</v>
      </c>
      <c r="E65" s="193"/>
      <c r="F65" s="193" t="s">
        <v>685</v>
      </c>
    </row>
    <row r="66" spans="2:7" ht="13.5">
      <c r="B66" s="192" t="s">
        <v>73</v>
      </c>
      <c r="C66" s="123" t="s">
        <v>627</v>
      </c>
      <c r="D66" s="193">
        <v>60</v>
      </c>
      <c r="E66" s="193"/>
      <c r="F66" s="193" t="s">
        <v>686</v>
      </c>
    </row>
    <row r="67" spans="2:7" ht="13.5">
      <c r="B67" s="192" t="s">
        <v>73</v>
      </c>
      <c r="C67" s="123" t="s">
        <v>628</v>
      </c>
      <c r="D67" s="193">
        <v>61</v>
      </c>
      <c r="E67" s="193"/>
      <c r="F67" s="193" t="s">
        <v>687</v>
      </c>
    </row>
    <row r="68" spans="2:7" ht="13.5">
      <c r="B68" s="192" t="s">
        <v>73</v>
      </c>
      <c r="C68" s="123" t="s">
        <v>629</v>
      </c>
      <c r="D68" s="193">
        <v>62</v>
      </c>
      <c r="E68" s="193"/>
      <c r="F68" s="193" t="s">
        <v>688</v>
      </c>
    </row>
    <row r="69" spans="2:7" ht="13.5">
      <c r="B69" s="192" t="s">
        <v>73</v>
      </c>
      <c r="C69" s="123" t="s">
        <v>630</v>
      </c>
      <c r="D69" s="193">
        <v>63</v>
      </c>
      <c r="E69" s="193"/>
      <c r="F69" s="193" t="s">
        <v>689</v>
      </c>
    </row>
    <row r="70" spans="2:7" ht="13.5">
      <c r="B70" s="192" t="s">
        <v>73</v>
      </c>
      <c r="C70" s="123" t="s">
        <v>631</v>
      </c>
      <c r="D70" s="193">
        <v>64</v>
      </c>
      <c r="E70" s="193"/>
      <c r="F70" s="193" t="s">
        <v>690</v>
      </c>
    </row>
    <row r="71" spans="2:7" ht="13.5">
      <c r="B71" s="192" t="s">
        <v>73</v>
      </c>
      <c r="C71" s="123" t="s">
        <v>632</v>
      </c>
      <c r="D71" s="193">
        <v>65</v>
      </c>
      <c r="E71" s="193"/>
      <c r="F71" s="193" t="s">
        <v>691</v>
      </c>
    </row>
    <row r="72" spans="2:7" ht="13.5">
      <c r="B72" s="192" t="s">
        <v>73</v>
      </c>
      <c r="C72" s="123" t="s">
        <v>633</v>
      </c>
      <c r="D72" s="193">
        <v>66</v>
      </c>
      <c r="E72" s="193"/>
      <c r="F72" s="193" t="s">
        <v>692</v>
      </c>
    </row>
    <row r="73" spans="2:7" ht="13.5">
      <c r="B73" s="101" t="s">
        <v>406</v>
      </c>
      <c r="C73" s="101" t="s">
        <v>407</v>
      </c>
      <c r="D73" s="122">
        <v>0</v>
      </c>
      <c r="E73" s="122" t="s">
        <v>130</v>
      </c>
      <c r="F73" s="122" t="s">
        <v>130</v>
      </c>
      <c r="G73"/>
    </row>
    <row r="74" spans="2:7" ht="13.5">
      <c r="B74" s="101" t="s">
        <v>406</v>
      </c>
      <c r="C74" s="101" t="s">
        <v>408</v>
      </c>
      <c r="D74" s="122">
        <v>1</v>
      </c>
      <c r="E74" s="122" t="s">
        <v>131</v>
      </c>
      <c r="F74" s="122" t="s">
        <v>131</v>
      </c>
      <c r="G74"/>
    </row>
    <row r="75" spans="2:7" ht="13.5">
      <c r="B75" s="101" t="s">
        <v>406</v>
      </c>
      <c r="C75" s="101" t="s">
        <v>409</v>
      </c>
      <c r="D75" s="122">
        <v>2</v>
      </c>
      <c r="E75" s="122" t="s">
        <v>132</v>
      </c>
      <c r="F75" s="122" t="s">
        <v>132</v>
      </c>
      <c r="G75"/>
    </row>
    <row r="76" spans="2:7" ht="13.5">
      <c r="B76" s="101" t="s">
        <v>406</v>
      </c>
      <c r="C76" s="101" t="s">
        <v>410</v>
      </c>
      <c r="D76" s="122">
        <v>3</v>
      </c>
      <c r="E76" s="122" t="s">
        <v>133</v>
      </c>
      <c r="F76" s="122" t="s">
        <v>133</v>
      </c>
      <c r="G76"/>
    </row>
    <row r="77" spans="2:7" ht="13.5">
      <c r="B77" s="101" t="s">
        <v>406</v>
      </c>
      <c r="C77" s="101" t="s">
        <v>411</v>
      </c>
      <c r="D77" s="122">
        <v>4</v>
      </c>
      <c r="E77" s="122" t="s">
        <v>134</v>
      </c>
      <c r="F77" s="122" t="s">
        <v>134</v>
      </c>
      <c r="G77"/>
    </row>
    <row r="78" spans="2:7" ht="13.5">
      <c r="B78" s="101" t="s">
        <v>406</v>
      </c>
      <c r="C78" s="101" t="s">
        <v>412</v>
      </c>
      <c r="D78" s="122">
        <v>5</v>
      </c>
      <c r="E78" s="122" t="s">
        <v>135</v>
      </c>
      <c r="F78" s="122" t="s">
        <v>135</v>
      </c>
      <c r="G78"/>
    </row>
    <row r="79" spans="2:7" ht="13.5">
      <c r="B79" s="101" t="s">
        <v>406</v>
      </c>
      <c r="C79" s="101" t="s">
        <v>413</v>
      </c>
      <c r="D79" s="122">
        <v>6</v>
      </c>
      <c r="E79" s="122" t="s">
        <v>136</v>
      </c>
      <c r="F79" s="122" t="s">
        <v>136</v>
      </c>
      <c r="G79"/>
    </row>
    <row r="80" spans="2:7" ht="13.5">
      <c r="B80" s="101" t="s">
        <v>406</v>
      </c>
      <c r="C80" s="101" t="s">
        <v>414</v>
      </c>
      <c r="D80" s="122">
        <v>7</v>
      </c>
      <c r="E80" s="122" t="s">
        <v>137</v>
      </c>
      <c r="F80" s="122" t="s">
        <v>137</v>
      </c>
      <c r="G80"/>
    </row>
    <row r="81" spans="2:7" ht="13.5">
      <c r="B81" s="101" t="s">
        <v>406</v>
      </c>
      <c r="C81" s="101" t="s">
        <v>415</v>
      </c>
      <c r="D81" s="122">
        <v>8</v>
      </c>
      <c r="E81" s="122" t="s">
        <v>138</v>
      </c>
      <c r="F81" s="122" t="s">
        <v>138</v>
      </c>
      <c r="G81"/>
    </row>
    <row r="82" spans="2:7" ht="13.5">
      <c r="B82" s="101" t="s">
        <v>406</v>
      </c>
      <c r="C82" s="101" t="s">
        <v>416</v>
      </c>
      <c r="D82" s="122">
        <v>9</v>
      </c>
      <c r="E82" s="122" t="s">
        <v>139</v>
      </c>
      <c r="F82" s="122" t="s">
        <v>139</v>
      </c>
      <c r="G82"/>
    </row>
    <row r="83" spans="2:7" ht="13.5">
      <c r="B83" s="101" t="s">
        <v>406</v>
      </c>
      <c r="C83" s="101" t="s">
        <v>417</v>
      </c>
      <c r="D83" s="122">
        <v>10</v>
      </c>
      <c r="E83" s="122" t="s">
        <v>140</v>
      </c>
      <c r="F83" s="122" t="s">
        <v>140</v>
      </c>
      <c r="G83"/>
    </row>
    <row r="84" spans="2:7" ht="13.5">
      <c r="B84" s="101" t="s">
        <v>406</v>
      </c>
      <c r="C84" s="101" t="s">
        <v>418</v>
      </c>
      <c r="D84" s="122">
        <v>11</v>
      </c>
      <c r="E84" s="122" t="s">
        <v>141</v>
      </c>
      <c r="F84" s="122" t="s">
        <v>141</v>
      </c>
      <c r="G84"/>
    </row>
    <row r="85" spans="2:7" ht="13.5">
      <c r="B85" s="101" t="s">
        <v>406</v>
      </c>
      <c r="C85" s="101" t="s">
        <v>419</v>
      </c>
      <c r="D85" s="122">
        <v>12</v>
      </c>
      <c r="E85" s="122" t="s">
        <v>142</v>
      </c>
      <c r="F85" s="122" t="s">
        <v>142</v>
      </c>
      <c r="G85"/>
    </row>
    <row r="86" spans="2:7" ht="13.5">
      <c r="B86" s="101" t="s">
        <v>406</v>
      </c>
      <c r="C86" s="101" t="s">
        <v>420</v>
      </c>
      <c r="D86" s="122">
        <v>13</v>
      </c>
      <c r="E86" s="122" t="s">
        <v>143</v>
      </c>
      <c r="F86" s="122" t="s">
        <v>143</v>
      </c>
      <c r="G86"/>
    </row>
    <row r="87" spans="2:7" ht="13.5">
      <c r="B87" s="101" t="s">
        <v>406</v>
      </c>
      <c r="C87" s="101" t="s">
        <v>421</v>
      </c>
      <c r="D87" s="122">
        <v>14</v>
      </c>
      <c r="E87" s="122" t="s">
        <v>144</v>
      </c>
      <c r="F87" s="122" t="s">
        <v>144</v>
      </c>
      <c r="G87"/>
    </row>
    <row r="88" spans="2:7" ht="13.5">
      <c r="B88" s="101" t="s">
        <v>406</v>
      </c>
      <c r="C88" s="101" t="s">
        <v>422</v>
      </c>
      <c r="D88" s="122">
        <v>15</v>
      </c>
      <c r="E88" s="122" t="s">
        <v>145</v>
      </c>
      <c r="F88" s="122" t="s">
        <v>145</v>
      </c>
      <c r="G88"/>
    </row>
    <row r="89" spans="2:7" ht="13.5">
      <c r="B89" s="101" t="s">
        <v>406</v>
      </c>
      <c r="C89" s="101" t="s">
        <v>423</v>
      </c>
      <c r="D89" s="122">
        <v>16</v>
      </c>
      <c r="E89" s="122" t="s">
        <v>146</v>
      </c>
      <c r="F89" s="122" t="s">
        <v>146</v>
      </c>
      <c r="G89"/>
    </row>
    <row r="90" spans="2:7" ht="13.5">
      <c r="B90" s="101" t="s">
        <v>406</v>
      </c>
      <c r="C90" s="101" t="s">
        <v>424</v>
      </c>
      <c r="D90" s="122">
        <v>17</v>
      </c>
      <c r="E90" s="122" t="s">
        <v>147</v>
      </c>
      <c r="F90" s="122" t="s">
        <v>147</v>
      </c>
      <c r="G90"/>
    </row>
    <row r="91" spans="2:7" ht="13.5">
      <c r="B91" s="101" t="s">
        <v>406</v>
      </c>
      <c r="C91" s="101" t="s">
        <v>425</v>
      </c>
      <c r="D91" s="122">
        <v>18</v>
      </c>
      <c r="E91" s="122" t="s">
        <v>148</v>
      </c>
      <c r="F91" s="122" t="s">
        <v>148</v>
      </c>
      <c r="G91"/>
    </row>
    <row r="92" spans="2:7" ht="13.5">
      <c r="B92" s="122" t="s">
        <v>89</v>
      </c>
      <c r="C92" s="101" t="s">
        <v>426</v>
      </c>
      <c r="D92" s="122">
        <v>0</v>
      </c>
      <c r="E92" s="122" t="s">
        <v>76</v>
      </c>
      <c r="F92" s="122" t="s">
        <v>427</v>
      </c>
      <c r="G92"/>
    </row>
    <row r="93" spans="2:7" ht="13.5">
      <c r="B93" s="122" t="s">
        <v>91</v>
      </c>
      <c r="C93" s="101" t="s">
        <v>428</v>
      </c>
      <c r="D93" s="122">
        <v>0</v>
      </c>
      <c r="E93" s="122" t="s">
        <v>149</v>
      </c>
      <c r="F93" s="122" t="s">
        <v>429</v>
      </c>
      <c r="G93"/>
    </row>
    <row r="94" spans="2:7" ht="13.5">
      <c r="B94" s="122" t="s">
        <v>91</v>
      </c>
      <c r="C94" s="101" t="s">
        <v>415</v>
      </c>
      <c r="D94" s="122">
        <v>1</v>
      </c>
      <c r="E94" s="122" t="s">
        <v>150</v>
      </c>
      <c r="F94" s="122" t="s">
        <v>430</v>
      </c>
      <c r="G94"/>
    </row>
    <row r="95" spans="2:7" ht="13.5">
      <c r="B95" s="122" t="s">
        <v>91</v>
      </c>
      <c r="C95" s="101" t="s">
        <v>431</v>
      </c>
      <c r="D95" s="122">
        <v>2</v>
      </c>
      <c r="E95" s="122" t="s">
        <v>151</v>
      </c>
      <c r="F95" s="122" t="s">
        <v>432</v>
      </c>
      <c r="G95"/>
    </row>
    <row r="96" spans="2:7" ht="13.5">
      <c r="B96" s="122" t="s">
        <v>91</v>
      </c>
      <c r="C96" s="101" t="s">
        <v>433</v>
      </c>
      <c r="D96" s="122">
        <v>3</v>
      </c>
      <c r="E96" s="122" t="s">
        <v>152</v>
      </c>
      <c r="F96" s="122" t="s">
        <v>434</v>
      </c>
      <c r="G96"/>
    </row>
    <row r="97" spans="2:7" ht="13.5">
      <c r="B97" s="122" t="s">
        <v>91</v>
      </c>
      <c r="C97" s="101" t="s">
        <v>435</v>
      </c>
      <c r="D97" s="122">
        <v>4</v>
      </c>
      <c r="E97" s="122" t="s">
        <v>153</v>
      </c>
      <c r="F97" s="122" t="s">
        <v>436</v>
      </c>
      <c r="G97"/>
    </row>
    <row r="98" spans="2:7" ht="13.5">
      <c r="B98" s="122" t="s">
        <v>93</v>
      </c>
      <c r="C98" s="101" t="s">
        <v>437</v>
      </c>
      <c r="D98" s="122">
        <v>0</v>
      </c>
      <c r="E98" s="122" t="s">
        <v>154</v>
      </c>
      <c r="F98" s="122" t="s">
        <v>438</v>
      </c>
      <c r="G98"/>
    </row>
    <row r="99" spans="2:7" ht="13.5">
      <c r="B99" s="122" t="s">
        <v>93</v>
      </c>
      <c r="C99" s="101" t="s">
        <v>439</v>
      </c>
      <c r="D99" s="122">
        <v>1</v>
      </c>
      <c r="E99" s="122" t="s">
        <v>155</v>
      </c>
      <c r="F99" s="122" t="s">
        <v>440</v>
      </c>
      <c r="G99"/>
    </row>
    <row r="100" spans="2:7" ht="13.5">
      <c r="B100" s="122" t="s">
        <v>93</v>
      </c>
      <c r="C100" s="101" t="s">
        <v>693</v>
      </c>
      <c r="D100" s="122">
        <v>2</v>
      </c>
      <c r="E100" s="122" t="s">
        <v>156</v>
      </c>
      <c r="F100" s="122" t="s">
        <v>441</v>
      </c>
      <c r="G100"/>
    </row>
    <row r="101" spans="2:7" ht="13.5">
      <c r="B101" s="122" t="s">
        <v>93</v>
      </c>
      <c r="C101" s="101" t="s">
        <v>442</v>
      </c>
      <c r="D101" s="122">
        <v>3</v>
      </c>
      <c r="E101" s="122" t="s">
        <v>157</v>
      </c>
      <c r="F101" s="122" t="s">
        <v>443</v>
      </c>
      <c r="G101"/>
    </row>
    <row r="102" spans="2:7" ht="13.5">
      <c r="B102" s="122" t="s">
        <v>93</v>
      </c>
      <c r="C102" s="101" t="s">
        <v>444</v>
      </c>
      <c r="D102" s="122">
        <v>4</v>
      </c>
      <c r="E102" s="122" t="s">
        <v>158</v>
      </c>
      <c r="F102" s="122" t="s">
        <v>445</v>
      </c>
      <c r="G102"/>
    </row>
    <row r="103" spans="2:7" ht="13.5">
      <c r="B103" s="122" t="s">
        <v>93</v>
      </c>
      <c r="C103" s="101" t="s">
        <v>446</v>
      </c>
      <c r="D103" s="122">
        <v>5</v>
      </c>
      <c r="E103" s="122" t="s">
        <v>159</v>
      </c>
      <c r="F103" s="122" t="s">
        <v>447</v>
      </c>
      <c r="G103"/>
    </row>
    <row r="104" spans="2:7" ht="13.5">
      <c r="B104" s="122" t="s">
        <v>93</v>
      </c>
      <c r="C104" s="101" t="s">
        <v>448</v>
      </c>
      <c r="D104" s="122">
        <v>6</v>
      </c>
      <c r="E104" s="122" t="s">
        <v>160</v>
      </c>
      <c r="F104" s="122" t="s">
        <v>449</v>
      </c>
      <c r="G104"/>
    </row>
    <row r="105" spans="2:7" ht="13.5">
      <c r="B105" s="122" t="s">
        <v>93</v>
      </c>
      <c r="C105" s="101" t="s">
        <v>450</v>
      </c>
      <c r="D105" s="122">
        <v>7</v>
      </c>
      <c r="E105" s="122" t="s">
        <v>161</v>
      </c>
      <c r="F105" s="122" t="s">
        <v>451</v>
      </c>
      <c r="G105"/>
    </row>
    <row r="106" spans="2:7" ht="13.5">
      <c r="B106" s="122" t="s">
        <v>93</v>
      </c>
      <c r="C106" s="101" t="s">
        <v>452</v>
      </c>
      <c r="D106" s="122">
        <v>8</v>
      </c>
      <c r="E106" s="122" t="s">
        <v>162</v>
      </c>
      <c r="F106" s="122" t="s">
        <v>453</v>
      </c>
      <c r="G106"/>
    </row>
    <row r="107" spans="2:7" ht="13.5">
      <c r="B107" s="122" t="s">
        <v>93</v>
      </c>
      <c r="C107" s="101" t="s">
        <v>454</v>
      </c>
      <c r="D107" s="122">
        <v>9</v>
      </c>
      <c r="E107" s="122" t="s">
        <v>163</v>
      </c>
      <c r="F107" s="122" t="s">
        <v>455</v>
      </c>
      <c r="G107"/>
    </row>
    <row r="108" spans="2:7" ht="13.5">
      <c r="B108" s="122" t="s">
        <v>93</v>
      </c>
      <c r="C108" s="101" t="s">
        <v>456</v>
      </c>
      <c r="D108" s="122">
        <v>10</v>
      </c>
      <c r="E108" s="122" t="s">
        <v>164</v>
      </c>
      <c r="F108" s="122" t="s">
        <v>457</v>
      </c>
      <c r="G108"/>
    </row>
    <row r="109" spans="2:7" ht="13.5">
      <c r="B109" s="122" t="s">
        <v>93</v>
      </c>
      <c r="C109" s="101" t="s">
        <v>458</v>
      </c>
      <c r="D109" s="122">
        <v>11</v>
      </c>
      <c r="E109" s="122" t="s">
        <v>165</v>
      </c>
      <c r="F109" s="122" t="s">
        <v>694</v>
      </c>
      <c r="G109"/>
    </row>
    <row r="110" spans="2:7" ht="13.5">
      <c r="B110" s="122" t="s">
        <v>72</v>
      </c>
      <c r="C110" s="101" t="s">
        <v>459</v>
      </c>
      <c r="D110" s="122">
        <v>0</v>
      </c>
      <c r="E110" s="122" t="s">
        <v>166</v>
      </c>
      <c r="F110" s="122" t="s">
        <v>166</v>
      </c>
      <c r="G110"/>
    </row>
    <row r="111" spans="2:7" ht="13.5">
      <c r="B111" s="122" t="s">
        <v>72</v>
      </c>
      <c r="C111" s="101" t="s">
        <v>460</v>
      </c>
      <c r="D111" s="122">
        <v>1</v>
      </c>
      <c r="E111" s="122" t="s">
        <v>167</v>
      </c>
      <c r="F111" s="122" t="s">
        <v>167</v>
      </c>
      <c r="G111"/>
    </row>
    <row r="112" spans="2:7" ht="13.5">
      <c r="B112" s="122" t="s">
        <v>72</v>
      </c>
      <c r="C112" s="101" t="s">
        <v>461</v>
      </c>
      <c r="D112" s="122">
        <v>2</v>
      </c>
      <c r="E112" s="122" t="s">
        <v>168</v>
      </c>
      <c r="F112" s="122" t="s">
        <v>168</v>
      </c>
      <c r="G112"/>
    </row>
    <row r="113" spans="2:7" ht="13.5">
      <c r="B113" s="122" t="s">
        <v>72</v>
      </c>
      <c r="C113" s="101" t="s">
        <v>462</v>
      </c>
      <c r="D113" s="122">
        <v>3</v>
      </c>
      <c r="E113" s="122" t="s">
        <v>169</v>
      </c>
      <c r="F113" s="122" t="s">
        <v>169</v>
      </c>
      <c r="G113"/>
    </row>
    <row r="114" spans="2:7" ht="13.5">
      <c r="B114" s="122" t="s">
        <v>72</v>
      </c>
      <c r="C114" s="101" t="s">
        <v>463</v>
      </c>
      <c r="D114" s="122">
        <v>4</v>
      </c>
      <c r="E114" s="122" t="s">
        <v>170</v>
      </c>
      <c r="F114" s="122" t="s">
        <v>170</v>
      </c>
      <c r="G114"/>
    </row>
    <row r="115" spans="2:7" ht="13.5">
      <c r="B115" s="122" t="s">
        <v>72</v>
      </c>
      <c r="C115" s="101" t="s">
        <v>464</v>
      </c>
      <c r="D115" s="122">
        <v>5</v>
      </c>
      <c r="E115" s="122" t="s">
        <v>171</v>
      </c>
      <c r="F115" s="122" t="s">
        <v>171</v>
      </c>
      <c r="G115"/>
    </row>
    <row r="116" spans="2:7" ht="13.5">
      <c r="B116" s="122" t="s">
        <v>72</v>
      </c>
      <c r="C116" s="101" t="s">
        <v>465</v>
      </c>
      <c r="D116" s="122">
        <v>6</v>
      </c>
      <c r="E116" s="122" t="s">
        <v>172</v>
      </c>
      <c r="F116" s="122" t="s">
        <v>171</v>
      </c>
      <c r="G116"/>
    </row>
    <row r="117" spans="2:7" ht="13.5">
      <c r="B117" s="122" t="s">
        <v>59</v>
      </c>
      <c r="C117" s="101" t="s">
        <v>466</v>
      </c>
      <c r="D117" s="122">
        <v>0</v>
      </c>
      <c r="E117" s="101" t="s">
        <v>466</v>
      </c>
      <c r="F117" s="122" t="s">
        <v>467</v>
      </c>
      <c r="G117"/>
    </row>
    <row r="118" spans="2:7" ht="13.5">
      <c r="B118" s="122" t="s">
        <v>59</v>
      </c>
      <c r="C118" s="101" t="s">
        <v>468</v>
      </c>
      <c r="D118" s="122">
        <v>1</v>
      </c>
      <c r="E118" s="101" t="s">
        <v>468</v>
      </c>
      <c r="F118" s="122" t="s">
        <v>469</v>
      </c>
      <c r="G118"/>
    </row>
    <row r="119" spans="2:7" ht="13.5">
      <c r="B119" s="122" t="s">
        <v>59</v>
      </c>
      <c r="C119" s="101" t="s">
        <v>470</v>
      </c>
      <c r="D119" s="122">
        <v>2</v>
      </c>
      <c r="E119" s="101" t="s">
        <v>470</v>
      </c>
      <c r="F119" s="122" t="s">
        <v>471</v>
      </c>
      <c r="G119"/>
    </row>
    <row r="120" spans="2:7" ht="13.5">
      <c r="B120" s="122" t="s">
        <v>59</v>
      </c>
      <c r="C120" s="101" t="s">
        <v>472</v>
      </c>
      <c r="D120" s="122">
        <v>3</v>
      </c>
      <c r="E120" s="101" t="s">
        <v>472</v>
      </c>
      <c r="F120" s="122" t="s">
        <v>473</v>
      </c>
      <c r="G120"/>
    </row>
    <row r="121" spans="2:7" ht="13.5">
      <c r="B121" s="122" t="s">
        <v>59</v>
      </c>
      <c r="C121" s="101" t="s">
        <v>474</v>
      </c>
      <c r="D121" s="122">
        <v>4</v>
      </c>
      <c r="E121" s="101" t="s">
        <v>474</v>
      </c>
      <c r="F121" s="122" t="s">
        <v>475</v>
      </c>
      <c r="G121"/>
    </row>
    <row r="122" spans="2:7" ht="13.5">
      <c r="B122" s="122" t="s">
        <v>109</v>
      </c>
      <c r="C122" s="174" t="s">
        <v>476</v>
      </c>
      <c r="D122" s="122">
        <v>0</v>
      </c>
      <c r="E122" s="174" t="b">
        <v>0</v>
      </c>
      <c r="F122" s="174" t="s">
        <v>477</v>
      </c>
      <c r="G122"/>
    </row>
    <row r="123" spans="2:7" ht="13.5">
      <c r="B123" s="122" t="s">
        <v>109</v>
      </c>
      <c r="C123" s="174" t="s">
        <v>478</v>
      </c>
      <c r="D123" s="122">
        <v>1</v>
      </c>
      <c r="E123" s="174" t="b">
        <v>1</v>
      </c>
      <c r="F123" s="174" t="s">
        <v>479</v>
      </c>
      <c r="G123"/>
    </row>
    <row r="124" spans="2:7" ht="13.5">
      <c r="B124" s="122" t="s">
        <v>110</v>
      </c>
      <c r="C124" s="101" t="s">
        <v>480</v>
      </c>
      <c r="D124" s="122">
        <v>0</v>
      </c>
      <c r="E124" s="122" t="s">
        <v>173</v>
      </c>
      <c r="F124" s="122" t="s">
        <v>481</v>
      </c>
      <c r="G124"/>
    </row>
    <row r="125" spans="2:7" ht="13.5">
      <c r="B125" s="122" t="s">
        <v>110</v>
      </c>
      <c r="C125" s="101" t="s">
        <v>482</v>
      </c>
      <c r="D125" s="122">
        <v>1</v>
      </c>
      <c r="E125" s="122" t="s">
        <v>174</v>
      </c>
      <c r="F125" s="122" t="s">
        <v>483</v>
      </c>
      <c r="G125"/>
    </row>
    <row r="126" spans="2:7" ht="13.5">
      <c r="B126" s="122" t="s">
        <v>111</v>
      </c>
      <c r="C126" s="101" t="s">
        <v>415</v>
      </c>
      <c r="D126" s="122">
        <v>0</v>
      </c>
      <c r="E126" s="122" t="s">
        <v>150</v>
      </c>
      <c r="F126" s="122" t="s">
        <v>430</v>
      </c>
      <c r="G126"/>
    </row>
    <row r="127" spans="2:7" ht="13.5">
      <c r="B127" s="122" t="s">
        <v>111</v>
      </c>
      <c r="C127" s="101" t="s">
        <v>431</v>
      </c>
      <c r="D127" s="122">
        <v>1</v>
      </c>
      <c r="E127" s="122" t="s">
        <v>175</v>
      </c>
      <c r="F127" s="122" t="s">
        <v>432</v>
      </c>
      <c r="G127"/>
    </row>
    <row r="128" spans="2:7" ht="13.5">
      <c r="B128" s="122" t="s">
        <v>112</v>
      </c>
      <c r="C128" s="101" t="s">
        <v>461</v>
      </c>
      <c r="D128" s="122">
        <v>0</v>
      </c>
      <c r="E128" s="122" t="s">
        <v>176</v>
      </c>
      <c r="F128" s="122" t="s">
        <v>484</v>
      </c>
      <c r="G128"/>
    </row>
    <row r="129" spans="2:7" ht="13.5">
      <c r="B129" s="122" t="s">
        <v>112</v>
      </c>
      <c r="C129" s="101" t="s">
        <v>485</v>
      </c>
      <c r="D129" s="122">
        <v>1</v>
      </c>
      <c r="E129" s="122" t="s">
        <v>177</v>
      </c>
      <c r="F129" s="122" t="s">
        <v>486</v>
      </c>
      <c r="G129"/>
    </row>
    <row r="130" spans="2:7" ht="13.5">
      <c r="B130" s="122" t="s">
        <v>113</v>
      </c>
      <c r="C130" s="101" t="s">
        <v>398</v>
      </c>
      <c r="D130" s="122">
        <v>0</v>
      </c>
      <c r="E130" s="101" t="s">
        <v>487</v>
      </c>
      <c r="F130" s="122" t="s">
        <v>488</v>
      </c>
      <c r="G130"/>
    </row>
    <row r="131" spans="2:7" ht="13.5">
      <c r="B131" s="122" t="s">
        <v>113</v>
      </c>
      <c r="C131" s="101" t="s">
        <v>489</v>
      </c>
      <c r="D131" s="122">
        <v>1</v>
      </c>
      <c r="E131" s="122" t="s">
        <v>178</v>
      </c>
      <c r="F131" s="122" t="s">
        <v>490</v>
      </c>
      <c r="G131"/>
    </row>
    <row r="132" spans="2:7" ht="13.5">
      <c r="B132" s="122" t="s">
        <v>114</v>
      </c>
      <c r="C132" s="122" t="s">
        <v>179</v>
      </c>
      <c r="D132" s="122">
        <v>0</v>
      </c>
      <c r="E132" s="101" t="s">
        <v>11</v>
      </c>
      <c r="F132" s="122" t="s">
        <v>491</v>
      </c>
    </row>
    <row r="133" spans="2:7" ht="13.5">
      <c r="B133" s="122" t="s">
        <v>114</v>
      </c>
      <c r="C133" s="122" t="s">
        <v>180</v>
      </c>
      <c r="D133" s="122">
        <v>1</v>
      </c>
      <c r="E133" s="101" t="s">
        <v>492</v>
      </c>
      <c r="F133" s="122" t="s">
        <v>443</v>
      </c>
    </row>
    <row r="134" spans="2:7" ht="13.5">
      <c r="B134" s="122" t="s">
        <v>114</v>
      </c>
      <c r="C134" s="122" t="s">
        <v>181</v>
      </c>
      <c r="D134" s="122">
        <v>2</v>
      </c>
      <c r="E134" s="101" t="s">
        <v>493</v>
      </c>
      <c r="F134" s="122" t="s">
        <v>438</v>
      </c>
    </row>
    <row r="135" spans="2:7" ht="13.5">
      <c r="B135" s="122" t="s">
        <v>115</v>
      </c>
      <c r="C135" s="175" t="s">
        <v>494</v>
      </c>
      <c r="D135" s="122">
        <v>0</v>
      </c>
      <c r="E135" s="101" t="s">
        <v>495</v>
      </c>
      <c r="F135" s="122" t="s">
        <v>182</v>
      </c>
    </row>
    <row r="136" spans="2:7" ht="13.5">
      <c r="B136" s="122" t="s">
        <v>115</v>
      </c>
      <c r="C136" s="175" t="s">
        <v>496</v>
      </c>
      <c r="D136" s="122">
        <v>1</v>
      </c>
      <c r="E136" s="122" t="s">
        <v>183</v>
      </c>
      <c r="F136" s="122" t="s">
        <v>183</v>
      </c>
    </row>
    <row r="137" spans="2:7" ht="13.5">
      <c r="B137" s="122" t="s">
        <v>115</v>
      </c>
      <c r="C137" s="175" t="s">
        <v>497</v>
      </c>
      <c r="D137" s="122">
        <v>2</v>
      </c>
      <c r="E137" s="122" t="s">
        <v>184</v>
      </c>
      <c r="F137" s="122" t="s">
        <v>184</v>
      </c>
    </row>
    <row r="138" spans="2:7" ht="13.5">
      <c r="B138" s="122" t="s">
        <v>115</v>
      </c>
      <c r="C138" s="175" t="s">
        <v>498</v>
      </c>
      <c r="D138" s="122">
        <v>3</v>
      </c>
      <c r="E138" s="122" t="s">
        <v>185</v>
      </c>
      <c r="F138" s="122" t="s">
        <v>185</v>
      </c>
    </row>
    <row r="139" spans="2:7" ht="13.5">
      <c r="B139" s="122" t="s">
        <v>115</v>
      </c>
      <c r="C139" s="175" t="s">
        <v>499</v>
      </c>
      <c r="D139" s="122">
        <v>4</v>
      </c>
      <c r="E139" s="122" t="s">
        <v>186</v>
      </c>
      <c r="F139" s="122" t="s">
        <v>186</v>
      </c>
    </row>
    <row r="140" spans="2:7" ht="13.5">
      <c r="B140" s="122" t="s">
        <v>115</v>
      </c>
      <c r="C140" s="175" t="s">
        <v>500</v>
      </c>
      <c r="D140" s="122">
        <v>5</v>
      </c>
      <c r="E140" s="122" t="s">
        <v>187</v>
      </c>
      <c r="F140" s="122" t="s">
        <v>187</v>
      </c>
    </row>
    <row r="141" spans="2:7" ht="13.5">
      <c r="B141" s="122" t="s">
        <v>115</v>
      </c>
      <c r="C141" s="175" t="s">
        <v>501</v>
      </c>
      <c r="D141" s="122">
        <v>6</v>
      </c>
      <c r="E141" s="122" t="s">
        <v>188</v>
      </c>
      <c r="F141" s="122" t="s">
        <v>188</v>
      </c>
    </row>
    <row r="142" spans="2:7" ht="13.5">
      <c r="B142" s="122" t="s">
        <v>116</v>
      </c>
      <c r="C142" s="101" t="s">
        <v>502</v>
      </c>
      <c r="D142" s="122">
        <v>0</v>
      </c>
      <c r="E142" s="122" t="s">
        <v>189</v>
      </c>
      <c r="F142" s="122" t="s">
        <v>189</v>
      </c>
    </row>
    <row r="143" spans="2:7" ht="13.5">
      <c r="B143" s="122" t="s">
        <v>116</v>
      </c>
      <c r="C143" s="101" t="s">
        <v>461</v>
      </c>
      <c r="D143" s="122">
        <v>1</v>
      </c>
      <c r="E143" s="122" t="s">
        <v>190</v>
      </c>
      <c r="F143" s="122" t="s">
        <v>190</v>
      </c>
    </row>
    <row r="144" spans="2:7" ht="13.5">
      <c r="B144" s="122" t="s">
        <v>117</v>
      </c>
      <c r="C144" s="101" t="s">
        <v>503</v>
      </c>
      <c r="D144" s="122">
        <v>0</v>
      </c>
      <c r="E144" s="122" t="s">
        <v>191</v>
      </c>
      <c r="F144" s="122" t="s">
        <v>504</v>
      </c>
    </row>
    <row r="145" spans="2:6" ht="13.5">
      <c r="B145" s="122" t="s">
        <v>117</v>
      </c>
      <c r="C145" s="101" t="s">
        <v>505</v>
      </c>
      <c r="D145" s="122">
        <v>1</v>
      </c>
      <c r="E145" s="122" t="s">
        <v>192</v>
      </c>
      <c r="F145" s="122" t="s">
        <v>506</v>
      </c>
    </row>
    <row r="146" spans="2:6" ht="13.5">
      <c r="B146" s="122" t="s">
        <v>118</v>
      </c>
      <c r="C146" s="101" t="s">
        <v>507</v>
      </c>
      <c r="D146" s="122">
        <v>0</v>
      </c>
      <c r="E146" s="122" t="s">
        <v>193</v>
      </c>
      <c r="F146" s="122" t="s">
        <v>508</v>
      </c>
    </row>
    <row r="147" spans="2:6" ht="13.5">
      <c r="B147" s="122" t="s">
        <v>118</v>
      </c>
      <c r="C147" s="101" t="s">
        <v>509</v>
      </c>
      <c r="D147" s="122">
        <v>1</v>
      </c>
      <c r="E147" s="122" t="s">
        <v>194</v>
      </c>
      <c r="F147" s="122" t="s">
        <v>510</v>
      </c>
    </row>
    <row r="148" spans="2:6" ht="13.5">
      <c r="B148" s="122" t="s">
        <v>119</v>
      </c>
      <c r="C148" s="101" t="s">
        <v>511</v>
      </c>
      <c r="D148" s="122">
        <v>0</v>
      </c>
      <c r="E148" s="122" t="s">
        <v>195</v>
      </c>
      <c r="F148" s="122" t="s">
        <v>512</v>
      </c>
    </row>
    <row r="149" spans="2:6" ht="13.5">
      <c r="B149" s="122" t="s">
        <v>119</v>
      </c>
      <c r="C149" s="101" t="s">
        <v>513</v>
      </c>
      <c r="D149" s="122">
        <v>1</v>
      </c>
      <c r="E149" s="122" t="s">
        <v>196</v>
      </c>
      <c r="F149" s="122" t="s">
        <v>514</v>
      </c>
    </row>
    <row r="150" spans="2:6" ht="13.5">
      <c r="B150" s="122" t="s">
        <v>120</v>
      </c>
      <c r="C150" s="101" t="s">
        <v>515</v>
      </c>
      <c r="D150" s="122">
        <v>0</v>
      </c>
      <c r="E150" s="122" t="s">
        <v>197</v>
      </c>
      <c r="F150" s="122" t="s">
        <v>197</v>
      </c>
    </row>
    <row r="151" spans="2:6" ht="13.5">
      <c r="B151" s="122" t="s">
        <v>120</v>
      </c>
      <c r="C151" s="101" t="s">
        <v>516</v>
      </c>
      <c r="D151" s="122">
        <v>1</v>
      </c>
      <c r="E151" s="122" t="s">
        <v>198</v>
      </c>
      <c r="F151" s="122" t="s">
        <v>198</v>
      </c>
    </row>
    <row r="152" spans="2:6" ht="13.5">
      <c r="B152" s="122" t="s">
        <v>120</v>
      </c>
      <c r="C152" s="101" t="s">
        <v>517</v>
      </c>
      <c r="D152" s="122">
        <v>2</v>
      </c>
      <c r="E152" s="122" t="s">
        <v>199</v>
      </c>
      <c r="F152" s="122" t="s">
        <v>199</v>
      </c>
    </row>
    <row r="153" spans="2:6" ht="13.5">
      <c r="B153" s="122" t="s">
        <v>120</v>
      </c>
      <c r="C153" s="101" t="s">
        <v>518</v>
      </c>
      <c r="D153" s="122">
        <v>3</v>
      </c>
      <c r="E153" s="122" t="s">
        <v>200</v>
      </c>
      <c r="F153" s="122" t="s">
        <v>200</v>
      </c>
    </row>
    <row r="154" spans="2:6" ht="13.5">
      <c r="B154" s="122" t="s">
        <v>120</v>
      </c>
      <c r="C154" s="101" t="s">
        <v>519</v>
      </c>
      <c r="D154" s="122">
        <v>4</v>
      </c>
      <c r="E154" s="122" t="s">
        <v>201</v>
      </c>
      <c r="F154" s="122" t="s">
        <v>201</v>
      </c>
    </row>
    <row r="155" spans="2:6" ht="13.5">
      <c r="B155" s="122" t="s">
        <v>121</v>
      </c>
      <c r="C155" s="101" t="s">
        <v>520</v>
      </c>
      <c r="D155" s="122">
        <v>0</v>
      </c>
      <c r="E155" s="122" t="s">
        <v>202</v>
      </c>
      <c r="F155" s="122" t="s">
        <v>202</v>
      </c>
    </row>
    <row r="156" spans="2:6" ht="13.5">
      <c r="B156" s="122" t="s">
        <v>121</v>
      </c>
      <c r="C156" s="101" t="s">
        <v>521</v>
      </c>
      <c r="D156" s="122">
        <v>1</v>
      </c>
      <c r="E156" s="122" t="s">
        <v>203</v>
      </c>
      <c r="F156" s="122" t="s">
        <v>203</v>
      </c>
    </row>
    <row r="157" spans="2:6" ht="13.5">
      <c r="B157" s="122" t="s">
        <v>121</v>
      </c>
      <c r="C157" s="101" t="s">
        <v>522</v>
      </c>
      <c r="D157" s="122">
        <v>2</v>
      </c>
      <c r="E157" s="122" t="s">
        <v>204</v>
      </c>
      <c r="F157" s="122" t="s">
        <v>204</v>
      </c>
    </row>
    <row r="158" spans="2:6" ht="13.5">
      <c r="B158" s="122" t="s">
        <v>121</v>
      </c>
      <c r="C158" s="101" t="s">
        <v>523</v>
      </c>
      <c r="D158" s="122">
        <v>3</v>
      </c>
      <c r="E158" s="122" t="s">
        <v>205</v>
      </c>
      <c r="F158" s="122" t="s">
        <v>205</v>
      </c>
    </row>
    <row r="159" spans="2:6" ht="13.5">
      <c r="B159" s="122" t="s">
        <v>121</v>
      </c>
      <c r="C159" s="101" t="s">
        <v>524</v>
      </c>
      <c r="D159" s="122">
        <v>4</v>
      </c>
      <c r="E159" s="122" t="s">
        <v>206</v>
      </c>
      <c r="F159" s="122" t="s">
        <v>206</v>
      </c>
    </row>
    <row r="160" spans="2:6" ht="13.5">
      <c r="B160" s="122" t="s">
        <v>121</v>
      </c>
      <c r="C160" s="101" t="s">
        <v>525</v>
      </c>
      <c r="D160" s="122">
        <v>5</v>
      </c>
      <c r="E160" s="122" t="s">
        <v>207</v>
      </c>
      <c r="F160" s="122" t="s">
        <v>207</v>
      </c>
    </row>
    <row r="161" spans="2:6" ht="13.5">
      <c r="B161" s="122" t="s">
        <v>121</v>
      </c>
      <c r="C161" s="101" t="s">
        <v>526</v>
      </c>
      <c r="D161" s="122">
        <v>6</v>
      </c>
      <c r="E161" s="122" t="s">
        <v>208</v>
      </c>
      <c r="F161" s="122" t="s">
        <v>208</v>
      </c>
    </row>
    <row r="162" spans="2:6" ht="13.5">
      <c r="B162" s="122" t="s">
        <v>71</v>
      </c>
      <c r="C162" s="101" t="s">
        <v>527</v>
      </c>
      <c r="D162" s="122">
        <v>0</v>
      </c>
      <c r="E162" s="122" t="s">
        <v>95</v>
      </c>
      <c r="F162" s="122" t="s">
        <v>528</v>
      </c>
    </row>
    <row r="163" spans="2:6" ht="13.5">
      <c r="B163" s="122" t="s">
        <v>71</v>
      </c>
      <c r="C163" s="101" t="s">
        <v>529</v>
      </c>
      <c r="D163" s="122">
        <v>0</v>
      </c>
      <c r="E163" s="122" t="s">
        <v>96</v>
      </c>
      <c r="F163" s="122" t="s">
        <v>530</v>
      </c>
    </row>
    <row r="164" spans="2:6" ht="13.5">
      <c r="B164" s="122" t="s">
        <v>71</v>
      </c>
      <c r="C164" s="101" t="s">
        <v>531</v>
      </c>
      <c r="D164" s="122">
        <v>1</v>
      </c>
      <c r="E164" s="122" t="s">
        <v>97</v>
      </c>
      <c r="F164" s="122" t="s">
        <v>532</v>
      </c>
    </row>
    <row r="165" spans="2:6" ht="13.5">
      <c r="B165" s="122" t="s">
        <v>71</v>
      </c>
      <c r="C165" s="101" t="s">
        <v>533</v>
      </c>
      <c r="D165" s="122">
        <v>2</v>
      </c>
      <c r="E165" s="122" t="s">
        <v>98</v>
      </c>
      <c r="F165" s="122" t="s">
        <v>534</v>
      </c>
    </row>
    <row r="166" spans="2:6" ht="13.5">
      <c r="B166" s="122" t="s">
        <v>71</v>
      </c>
      <c r="C166" s="101" t="s">
        <v>535</v>
      </c>
      <c r="D166" s="122">
        <v>3</v>
      </c>
      <c r="E166" s="122" t="s">
        <v>99</v>
      </c>
      <c r="F166" s="122" t="s">
        <v>536</v>
      </c>
    </row>
    <row r="167" spans="2:6" ht="13.5">
      <c r="B167" s="122" t="s">
        <v>71</v>
      </c>
      <c r="C167" s="101" t="s">
        <v>537</v>
      </c>
      <c r="D167" s="122">
        <v>4</v>
      </c>
      <c r="E167" s="122" t="s">
        <v>100</v>
      </c>
      <c r="F167" s="122" t="s">
        <v>538</v>
      </c>
    </row>
    <row r="168" spans="2:6" ht="13.5">
      <c r="B168" s="122" t="s">
        <v>71</v>
      </c>
      <c r="C168" s="101" t="s">
        <v>539</v>
      </c>
      <c r="D168" s="122">
        <v>5</v>
      </c>
      <c r="E168" s="122" t="s">
        <v>101</v>
      </c>
      <c r="F168" s="122" t="s">
        <v>540</v>
      </c>
    </row>
    <row r="169" spans="2:6" ht="13.5">
      <c r="B169" s="122" t="s">
        <v>71</v>
      </c>
      <c r="C169" s="101" t="s">
        <v>541</v>
      </c>
      <c r="D169" s="122">
        <v>6</v>
      </c>
      <c r="E169" s="122" t="s">
        <v>102</v>
      </c>
      <c r="F169" s="122" t="s">
        <v>542</v>
      </c>
    </row>
    <row r="170" spans="2:6" ht="13.5">
      <c r="B170" s="122" t="s">
        <v>71</v>
      </c>
      <c r="C170" s="101" t="s">
        <v>543</v>
      </c>
      <c r="D170" s="122">
        <v>7</v>
      </c>
      <c r="E170" s="122" t="s">
        <v>103</v>
      </c>
      <c r="F170" s="122" t="s">
        <v>544</v>
      </c>
    </row>
    <row r="171" spans="2:6" ht="13.5">
      <c r="B171" s="174" t="s">
        <v>104</v>
      </c>
      <c r="C171" s="101" t="s">
        <v>465</v>
      </c>
      <c r="D171" s="176">
        <v>0</v>
      </c>
      <c r="E171" s="173" t="s">
        <v>170</v>
      </c>
      <c r="F171" s="122" t="s">
        <v>545</v>
      </c>
    </row>
    <row r="172" spans="2:6" ht="13.5">
      <c r="B172" s="174" t="s">
        <v>104</v>
      </c>
      <c r="C172" s="101" t="s">
        <v>695</v>
      </c>
      <c r="D172" s="176">
        <v>1</v>
      </c>
      <c r="E172" s="173" t="s">
        <v>277</v>
      </c>
      <c r="F172" s="122" t="s">
        <v>546</v>
      </c>
    </row>
  </sheetData>
  <dataConsolidate/>
  <phoneticPr fontId="1" type="noConversion"/>
  <conditionalFormatting sqref="B122:B123 E132:E135">
    <cfRule type="expression" dxfId="33" priority="29">
      <formula>$K122="GROUP"</formula>
    </cfRule>
  </conditionalFormatting>
  <conditionalFormatting sqref="B124:B125">
    <cfRule type="expression" dxfId="32" priority="28">
      <formula>$K124="GROUP"</formula>
    </cfRule>
  </conditionalFormatting>
  <conditionalFormatting sqref="B126:B127">
    <cfRule type="expression" dxfId="31" priority="27">
      <formula>$K126="GROUP"</formula>
    </cfRule>
  </conditionalFormatting>
  <conditionalFormatting sqref="B128:B129">
    <cfRule type="expression" dxfId="30" priority="26">
      <formula>$K128="GROUP"</formula>
    </cfRule>
  </conditionalFormatting>
  <conditionalFormatting sqref="B130:B131">
    <cfRule type="expression" dxfId="29" priority="25">
      <formula>$K130="GROUP"</formula>
    </cfRule>
  </conditionalFormatting>
  <conditionalFormatting sqref="B132:B134">
    <cfRule type="expression" dxfId="28" priority="24">
      <formula>$K132="GROUP"</formula>
    </cfRule>
  </conditionalFormatting>
  <conditionalFormatting sqref="C6:C72">
    <cfRule type="expression" dxfId="27" priority="23">
      <formula>$K6="GROUP"</formula>
    </cfRule>
  </conditionalFormatting>
  <conditionalFormatting sqref="B73:B91">
    <cfRule type="expression" dxfId="26" priority="22">
      <formula>$K73="GROUP"</formula>
    </cfRule>
  </conditionalFormatting>
  <conditionalFormatting sqref="C73:C80">
    <cfRule type="expression" dxfId="25" priority="21">
      <formula>$K73="GROUP"</formula>
    </cfRule>
  </conditionalFormatting>
  <conditionalFormatting sqref="C92">
    <cfRule type="expression" dxfId="24" priority="20">
      <formula>$K92="GROUP"</formula>
    </cfRule>
  </conditionalFormatting>
  <conditionalFormatting sqref="C93:C97">
    <cfRule type="expression" dxfId="23" priority="19">
      <formula>$K93="GROUP"</formula>
    </cfRule>
  </conditionalFormatting>
  <conditionalFormatting sqref="C98:C105">
    <cfRule type="expression" dxfId="22" priority="18">
      <formula>$K98="GROUP"</formula>
    </cfRule>
  </conditionalFormatting>
  <conditionalFormatting sqref="C110:C116">
    <cfRule type="expression" dxfId="21" priority="17">
      <formula>$K110="GROUP"</formula>
    </cfRule>
  </conditionalFormatting>
  <conditionalFormatting sqref="C117:C121">
    <cfRule type="expression" dxfId="20" priority="16">
      <formula>$K117="GROUP"</formula>
    </cfRule>
  </conditionalFormatting>
  <conditionalFormatting sqref="C124:C125">
    <cfRule type="expression" dxfId="19" priority="15">
      <formula>$K124="GROUP"</formula>
    </cfRule>
  </conditionalFormatting>
  <conditionalFormatting sqref="C126:C127">
    <cfRule type="expression" dxfId="18" priority="14">
      <formula>$K126="GROUP"</formula>
    </cfRule>
  </conditionalFormatting>
  <conditionalFormatting sqref="C128:C129">
    <cfRule type="expression" dxfId="17" priority="13">
      <formula>$K128="GROUP"</formula>
    </cfRule>
  </conditionalFormatting>
  <conditionalFormatting sqref="C130:C131">
    <cfRule type="expression" dxfId="16" priority="12">
      <formula>$K130="GROUP"</formula>
    </cfRule>
  </conditionalFormatting>
  <conditionalFormatting sqref="C142:C143">
    <cfRule type="expression" dxfId="15" priority="11">
      <formula>$K142="GROUP"</formula>
    </cfRule>
  </conditionalFormatting>
  <conditionalFormatting sqref="C144:C145">
    <cfRule type="expression" dxfId="14" priority="10">
      <formula>$K144="GROUP"</formula>
    </cfRule>
  </conditionalFormatting>
  <conditionalFormatting sqref="C146:C147">
    <cfRule type="expression" dxfId="13" priority="9">
      <formula>$K146="GROUP"</formula>
    </cfRule>
  </conditionalFormatting>
  <conditionalFormatting sqref="C148:C149">
    <cfRule type="expression" dxfId="12" priority="8">
      <formula>$K148="GROUP"</formula>
    </cfRule>
  </conditionalFormatting>
  <conditionalFormatting sqref="C150:C154">
    <cfRule type="expression" dxfId="11" priority="7">
      <formula>$K150="GROUP"</formula>
    </cfRule>
  </conditionalFormatting>
  <conditionalFormatting sqref="C155:C161">
    <cfRule type="expression" dxfId="10" priority="6">
      <formula>$K155="GROUP"</formula>
    </cfRule>
  </conditionalFormatting>
  <conditionalFormatting sqref="C162:C170">
    <cfRule type="expression" dxfId="9" priority="5">
      <formula>$K162="GROUP"</formula>
    </cfRule>
  </conditionalFormatting>
  <conditionalFormatting sqref="C171:C172">
    <cfRule type="expression" dxfId="8" priority="4">
      <formula>$K171="GROUP"</formula>
    </cfRule>
  </conditionalFormatting>
  <conditionalFormatting sqref="E117:E121">
    <cfRule type="expression" dxfId="7" priority="3">
      <formula>$K117="GROUP"</formula>
    </cfRule>
  </conditionalFormatting>
  <conditionalFormatting sqref="C135:C141">
    <cfRule type="expression" dxfId="6" priority="1">
      <formula>$K135="GROUP"</formula>
    </cfRule>
  </conditionalFormatting>
  <conditionalFormatting sqref="C135:C141">
    <cfRule type="expression" dxfId="5" priority="2">
      <formula>$K135="GROUP"</formula>
    </cfRule>
  </conditionalFormatting>
  <conditionalFormatting sqref="E130">
    <cfRule type="expression" dxfId="4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Result_001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2025-08-20T05:26:14Z</dcterms:modified>
</cp:coreProperties>
</file>