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1F0796AC-AC01-4D1E-9E91-5448CE275804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9" i="21" l="1"/>
  <c r="M39" i="21"/>
  <c r="N39" i="21"/>
  <c r="O39" i="21"/>
  <c r="P39" i="21"/>
  <c r="Q39" i="21"/>
  <c r="R39" i="21"/>
  <c r="S39" i="21"/>
  <c r="T39" i="21"/>
  <c r="U39" i="21"/>
  <c r="V39" i="21"/>
  <c r="W39" i="21"/>
  <c r="X39" i="21"/>
  <c r="Y39" i="21"/>
  <c r="Z39" i="21"/>
  <c r="AA39" i="21"/>
  <c r="AB39" i="21"/>
  <c r="AC39" i="21"/>
  <c r="AD39" i="21"/>
  <c r="K39" i="21"/>
  <c r="L33" i="21"/>
  <c r="M33" i="21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K33" i="21"/>
  <c r="L64" i="23"/>
  <c r="M64" i="23"/>
  <c r="N64" i="23"/>
  <c r="O64" i="23"/>
  <c r="P64" i="23"/>
  <c r="Q64" i="23"/>
  <c r="R64" i="23"/>
  <c r="S64" i="23"/>
  <c r="T64" i="23"/>
  <c r="U64" i="23"/>
  <c r="V64" i="23"/>
  <c r="W64" i="23"/>
  <c r="X64" i="23"/>
  <c r="L54" i="23"/>
  <c r="M54" i="23"/>
  <c r="N54" i="23"/>
  <c r="O54" i="23"/>
  <c r="P54" i="23"/>
  <c r="Q54" i="23"/>
  <c r="R54" i="23"/>
  <c r="S54" i="23"/>
  <c r="T54" i="23"/>
  <c r="U54" i="23"/>
  <c r="V54" i="23"/>
  <c r="W54" i="23"/>
  <c r="X54" i="23"/>
  <c r="L44" i="23"/>
  <c r="M44" i="23"/>
  <c r="N44" i="23"/>
  <c r="O44" i="23"/>
  <c r="P44" i="23"/>
  <c r="Q44" i="23"/>
  <c r="Y64" i="23"/>
  <c r="K64" i="23"/>
  <c r="Y54" i="23"/>
  <c r="K54" i="23"/>
  <c r="R44" i="23"/>
  <c r="S44" i="23"/>
  <c r="T44" i="23"/>
  <c r="U44" i="23"/>
  <c r="V44" i="23"/>
  <c r="W44" i="23"/>
  <c r="X44" i="23"/>
  <c r="Y44" i="23"/>
  <c r="K44" i="23"/>
  <c r="P5" i="23" l="1"/>
  <c r="Q7" i="23" s="1"/>
  <c r="I42" i="22"/>
  <c r="M42" i="22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C5" i="22"/>
  <c r="J4" i="22" s="1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P10" i="22" a="1"/>
  <c r="L10" i="22" a="1"/>
  <c r="M10" i="22" a="1"/>
  <c r="U10" i="22" a="1"/>
  <c r="V10" i="22" a="1"/>
  <c r="K10" i="22" a="1"/>
  <c r="R10" i="22" a="1"/>
  <c r="S10" i="22" a="1"/>
  <c r="T10" i="22" a="1"/>
  <c r="O10" i="22" a="1"/>
  <c r="Q10" i="22" a="1"/>
  <c r="N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T13" i="22" s="1"/>
  <c r="T14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R43" i="22" a="1"/>
  <c r="V43" i="22" a="1"/>
  <c r="N43" i="22" a="1"/>
  <c r="U43" i="22" a="1"/>
  <c r="Q43" i="22" a="1"/>
  <c r="P43" i="22" a="1"/>
  <c r="S43" i="22" a="1"/>
  <c r="O43" i="22" a="1"/>
  <c r="L43" i="22" a="1"/>
  <c r="T43" i="22" a="1"/>
  <c r="M43" i="22" a="1"/>
  <c r="K43" i="22" a="1"/>
  <c r="U13" i="22" l="1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L50" i="22" a="1"/>
  <c r="M50" i="22" a="1"/>
  <c r="K50" i="22" a="1"/>
  <c r="R50" i="22" a="1"/>
  <c r="P50" i="22" a="1"/>
  <c r="V50" i="22" a="1"/>
  <c r="U50" i="22" a="1"/>
  <c r="T50" i="22" a="1"/>
  <c r="O50" i="22" a="1"/>
  <c r="S50" i="22" a="1"/>
  <c r="Q50" i="22" a="1"/>
  <c r="N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C5" i="23" l="1"/>
  <c r="J14" i="22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<sst xmlns="http://schemas.openxmlformats.org/spreadsheetml/2006/main" count="1092" uniqueCount="667">
  <si>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</si>
  <si>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</si>
  <si>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</si>
  <si>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</si>
  <si>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</si>
  <si>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</si>
  <si>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</si>
  <si>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</si>
  <si>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</si>
  <si>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</si>
  <si>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</si>
  <si>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</si>
  <si>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</si>
  <si>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</si>
  <si>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</si>
  <si>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</si>
  <si>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</si>
  <si>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</si>
  <si>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</si>
  <si>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</si>
  <si>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</si>
  <si>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</si>
  <si>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</si>
  <si>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</si>
  <si>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</si>
  <si>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</si>
  <si>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</si>
  <si>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</si>
  <si>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</si>
  <si>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</si>
  <si>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</si>
  <si>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</si>
  <si>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</si>
  <si>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</si>
  <si>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</si>
  <si>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</si>
  <si>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</si>
  <si>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</si>
  <si>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</si>
  <si>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</si>
  <si>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</si>
  <si>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</si>
  <si>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</si>
  <si>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</si>
  <si>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</si>
  <si>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</si>
  <si>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</si>
  <si>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</si>
  <si>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</si>
  <si>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</si>
  <si>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</si>
  <si>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</si>
  <si>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</si>
  <si>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</si>
  <si>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</si>
  <si>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</si>
  <si>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</si>
  <si>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</si>
  <si>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</si>
  <si>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</si>
  <si>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</si>
  <si>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</si>
  <si>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</si>
  <si>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</si>
  <si>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</si>
  <si>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</si>
  <si>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</si>
  <si>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</si>
  <si>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</si>
  <si>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</si>
  <si>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</si>
  <si>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</si>
  <si>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COUP_SCH_ID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</si>
  <si>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</si>
  <si>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</si>
  <si>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</si>
  <si>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</si>
  <si>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</si>
  <si>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</si>
  <si>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</si>
  <si>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</si>
  <si>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</si>
  <si>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</si>
  <si>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</si>
  <si>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</si>
  <si>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</si>
  <si>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</si>
  <si>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</si>
  <si>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</si>
  <si>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</si>
  <si>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</si>
  <si>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</si>
  <si>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</si>
  <si>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</si>
  <si>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</si>
  <si>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</si>
  <si>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</si>
  <si>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</si>
  <si>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</si>
  <si>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</si>
  <si>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</si>
  <si>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</si>
  <si>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</si>
  <si>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</si>
  <si>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</si>
  <si>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</si>
  <si>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</si>
  <si>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</si>
  <si>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</si>
  <si>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</si>
  <si>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</si>
  <si>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</si>
  <si>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</si>
  <si>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</si>
  <si>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</si>
  <si>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</si>
  <si>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</si>
  <si>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</si>
  <si>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</si>
  <si>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</si>
  <si>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</si>
  <si>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</si>
  <si>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</si>
  <si>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</si>
  <si>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</si>
  <si>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</si>
  <si>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</si>
  <si>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</si>
  <si>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</si>
  <si>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</si>
  <si>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</si>
  <si>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</si>
  <si>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</si>
  <si>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</si>
  <si>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</si>
  <si>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</si>
  <si>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</si>
  <si>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</si>
  <si>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</si>
  <si>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</si>
  <si>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</si>
  <si>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</si>
  <si>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</si>
  <si>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</si>
  <si>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</si>
  <si>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</si>
  <si>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</si>
  <si>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</si>
  <si>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</si>
  <si>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</si>
  <si>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</si>
  <si>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</si>
  <si>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</si>
  <si>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</si>
  <si>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</si>
  <si>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</si>
  <si>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</si>
  <si>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</si>
  <si>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</si>
  <si>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</si>
  <si>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</si>
  <si>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</si>
  <si>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</si>
  <si>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</si>
  <si>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</si>
  <si>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</si>
  <si>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</si>
  <si>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</si>
  <si>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</si>
  <si>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</si>
  <si>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</si>
  <si>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</si>
  <si>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</si>
  <si>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</si>
  <si>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</si>
  <si>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</si>
  <si>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</si>
  <si>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</si>
  <si>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</si>
  <si>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</si>
  <si>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</si>
  <si>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</si>
  <si>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</si>
  <si>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</si>
  <si>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</si>
  <si>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</si>
  <si>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</si>
  <si>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</si>
  <si>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</si>
  <si>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</si>
  <si>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</si>
  <si>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</si>
  <si>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</si>
  <si>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</si>
  <si>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</si>
  <si>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</si>
  <si>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</si>
  <si>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</si>
  <si>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</si>
  <si>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</si>
  <si>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</si>
  <si>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</si>
  <si>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</si>
  <si>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</si>
  <si>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</si>
  <si>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</si>
  <si>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</si>
  <si>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</si>
  <si>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</si>
  <si>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</si>
  <si>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</si>
  <si>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</si>
  <si>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</si>
  <si>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</si>
  <si>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</si>
  <si>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</si>
  <si>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</si>
  <si>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</si>
  <si>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</si>
  <si>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</si>
  <si>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</si>
  <si>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</si>
  <si>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</si>
  <si>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</si>
  <si>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</si>
  <si>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</si>
  <si>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</si>
  <si>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</si>
  <si>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</si>
  <si>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</si>
  <si>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</si>
  <si>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</si>
  <si>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</si>
  <si>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</si>
  <si>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</si>
  <si>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</si>
  <si>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</si>
  <si>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</si>
  <si>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</si>
  <si>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</si>
  <si>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</si>
  <si>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</si>
  <si>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</si>
  <si>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</si>
  <si>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</si>
  <si>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</si>
  <si>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</si>
  <si>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</si>
  <si>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</si>
  <si>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</si>
  <si>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</si>
  <si>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</si>
  <si>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</si>
  <si>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</si>
  <si>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</si>
  <si>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</si>
  <si>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</si>
  <si>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</si>
  <si>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</si>
  <si>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</si>
  <si>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</si>
  <si>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</si>
  <si>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</si>
  <si>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</si>
  <si>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</si>
  <si>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</si>
  <si>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</si>
  <si>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</si>
  <si>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</si>
  <si>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</si>
  <si>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</si>
  <si>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</si>
  <si>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</si>
  <si>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</si>
  <si>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</si>
  <si>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</si>
  <si>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</si>
  <si>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</si>
  <si>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</si>
  <si>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</si>
  <si>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</si>
  <si>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</si>
  <si>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</si>
  <si>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5536303734.68839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</si>
  <si>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</si>
  <si>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</si>
  <si>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</si>
  <si>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</si>
  <si>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</si>
  <si>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</si>
  <si>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</si>
  <si>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</si>
  <si>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</si>
  <si>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</si>
  <si>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</si>
  <si>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</si>
  <si>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</si>
  <si>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</si>
  <si>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</si>
  <si>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</si>
  <si>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</si>
  <si>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</si>
  <si>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</si>
  <si>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</si>
  <si>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</si>
  <si>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</si>
  <si>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</si>
  <si>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</si>
  <si>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</si>
  <si>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</si>
  <si>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</si>
  <si>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</si>
  <si>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</si>
  <si>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</si>
  <si>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</si>
  <si>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</si>
  <si>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</si>
  <si>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</si>
  <si>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</si>
  <si>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</si>
  <si>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</si>
  <si>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</si>
  <si>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</si>
  <si>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</si>
  <si>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</si>
  <si>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</si>
  <si>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</si>
  <si>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</si>
  <si>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</si>
  <si>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</si>
  <si>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</si>
  <si>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</si>
  <si>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</si>
  <si>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</si>
  <si>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</si>
  <si>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</si>
  <si>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</si>
  <si>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</si>
  <si>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</si>
  <si>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</si>
  <si>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</si>
  <si>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</si>
  <si>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</si>
  <si>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</si>
  <si>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</si>
  <si>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</si>
  <si>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</si>
  <si>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</si>
  <si>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</si>
  <si>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</si>
  <si>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</si>
  <si>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</si>
  <si>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</si>
  <si>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</si>
  <si>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</si>
  <si>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</si>
  <si>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</si>
  <si>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</si>
  <si>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</si>
  <si>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</si>
  <si>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</si>
  <si>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</si>
  <si>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</si>
  <si>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</si>
  <si>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</si>
  <si>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</si>
  <si>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</si>
  <si>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</si>
  <si>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</si>
  <si>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</si>
  <si>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</si>
  <si>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</si>
  <si>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</si>
  <si>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</si>
  <si>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</si>
  <si>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</si>
  <si>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</si>
  <si>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</si>
  <si>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</si>
  <si>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</si>
  <si>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</si>
  <si>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</si>
  <si>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</si>
  <si>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</si>
  <si>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</si>
  <si>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</si>
  <si>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</si>
  <si>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</si>
  <si>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</si>
  <si>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</si>
  <si>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</si>
  <si>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</si>
  <si>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</si>
  <si>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</si>
  <si>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</si>
  <si>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</si>
  <si>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</si>
  <si>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</si>
  <si>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</si>
  <si>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</si>
  <si>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</si>
  <si>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</si>
  <si>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</si>
  <si>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</si>
  <si>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</si>
  <si>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</si>
  <si>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</si>
  <si>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</si>
  <si>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</si>
  <si>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</si>
  <si>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</si>
  <si>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</si>
  <si>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</si>
  <si>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</si>
  <si>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</si>
  <si>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</si>
  <si>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</si>
  <si>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</si>
  <si>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</si>
  <si>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</si>
  <si>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</si>
  <si>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</si>
  <si>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</si>
  <si>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</si>
  <si>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</si>
  <si>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</si>
  <si>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</si>
  <si>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</si>
  <si>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</si>
  <si>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</si>
  <si>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</si>
  <si>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</si>
  <si>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</si>
  <si>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</si>
  <si>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</si>
  <si>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</si>
  <si>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</si>
  <si>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</si>
  <si>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</si>
  <si>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</si>
  <si>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</si>
  <si>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</si>
  <si>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</si>
  <si>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</si>
  <si>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</si>
  <si>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</si>
  <si>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</si>
  <si>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</si>
  <si>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</si>
  <si>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</si>
  <si>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</si>
  <si>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</si>
  <si>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</si>
  <si>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</si>
  <si>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</si>
  <si>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</si>
  <si>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</si>
  <si>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</si>
  <si>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</si>
  <si>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</si>
  <si>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</si>
  <si>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</si>
  <si>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</si>
  <si>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</si>
  <si>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</si>
  <si>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</si>
  <si>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</si>
  <si>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KR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</si>
  <si>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</si>
  <si>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</si>
  <si>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</si>
  <si>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</si>
  <si>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</si>
  <si>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</si>
  <si>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</si>
  <si>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</si>
  <si>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KR</t>
    <phoneticPr fontId="2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</si>
  <si>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</si>
  <si>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</si>
  <si>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</si>
  <si>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US_NYSE</t>
    <phoneticPr fontId="2" type="noConversion"/>
  </si>
  <si>
    <t>미국뉴욕증권거래소</t>
    <phoneticPr fontId="1" type="noConversion"/>
  </si>
  <si>
    <t>US_GVBD</t>
    <phoneticPr fontId="2" type="noConversion"/>
  </si>
  <si>
    <t>미국국채</t>
    <phoneticPr fontId="1" type="noConversion"/>
  </si>
  <si>
    <t>US_NERC</t>
    <phoneticPr fontId="2" type="noConversion"/>
  </si>
  <si>
    <t>북미전력공사</t>
    <phoneticPr fontId="1" type="noConversion"/>
  </si>
  <si>
    <t>US_LIBOR</t>
    <phoneticPr fontId="2" type="noConversion"/>
  </si>
  <si>
    <t>US LIBOR</t>
    <phoneticPr fontId="1" type="noConversion"/>
  </si>
  <si>
    <t>US_FDRS</t>
    <phoneticPr fontId="2" type="noConversion"/>
  </si>
  <si>
    <t>연방준비제도</t>
    <phoneticPr fontId="1" type="noConversion"/>
  </si>
  <si>
    <t>US_SOFR</t>
    <phoneticPr fontId="2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</si>
  <si>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</si>
  <si>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</si>
  <si>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</si>
  <si>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</si>
  <si>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</si>
  <si>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</si>
  <si>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</si>
  <si>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</si>
  <si>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</si>
  <si>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</si>
  <si>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</si>
  <si>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</si>
  <si>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</si>
  <si>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</si>
  <si>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</si>
  <si>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</si>
  <si>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</si>
  <si>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</si>
  <si>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</si>
  <si>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</si>
  <si>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</si>
  <si>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</si>
  <si>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</si>
  <si>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</si>
  <si>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</si>
  <si>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</si>
  <si>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</si>
  <si>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</si>
  <si>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</si>
  <si>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</si>
  <si>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</si>
  <si>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</si>
  <si>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</si>
  <si>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</si>
  <si>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</si>
  <si>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</si>
  <si>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QTR</t>
    <phoneticPr fontId="2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</si>
  <si>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</si>
  <si>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</si>
  <si>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</si>
  <si>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</si>
  <si>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</si>
  <si>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</si>
  <si>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</si>
  <si>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</si>
  <si>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</si>
  <si>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</si>
  <si>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</si>
  <si>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</si>
  <si>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</si>
  <si>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</si>
  <si>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</si>
  <si>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</si>
  <si>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</si>
  <si>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</si>
  <si>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</si>
  <si>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</si>
  <si>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</si>
  <si>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</si>
  <si>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</si>
  <si>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</si>
  <si>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</si>
  <si>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</si>
  <si>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</si>
  <si>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</si>
  <si>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</si>
  <si>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</si>
  <si>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</si>
  <si>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</si>
  <si>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</si>
  <si>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</si>
  <si>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</si>
  <si>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</si>
  <si>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</si>
  <si>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</si>
  <si>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</si>
  <si>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</si>
  <si>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</si>
  <si>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</si>
  <si>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</si>
  <si>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</si>
  <si>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</si>
  <si>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</si>
  <si>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</si>
  <si>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</si>
  <si>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</si>
  <si>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</si>
  <si>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</si>
  <si>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</si>
  <si>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</si>
  <si>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</si>
  <si>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</si>
  <si>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</si>
  <si>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</si>
  <si>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</si>
  <si>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</si>
  <si>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</si>
  <si>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</si>
  <si>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</si>
  <si>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</si>
  <si>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</si>
  <si>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</si>
  <si>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</si>
  <si>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</si>
  <si>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</si>
  <si>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</si>
  <si>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</si>
  <si>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</si>
  <si>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</si>
  <si>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</si>
  <si>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</si>
  <si>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</si>
  <si>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</si>
  <si>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</si>
  <si>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</si>
  <si>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</si>
  <si>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</si>
  <si>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</si>
  <si>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</si>
  <si>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</si>
  <si>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</si>
  <si>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</si>
  <si>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</si>
  <si>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</si>
  <si>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</si>
  <si>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</si>
  <si>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</si>
  <si>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</si>
  <si>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</si>
  <si>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</si>
  <si>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</si>
  <si>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</si>
  <si>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</si>
  <si>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</si>
  <si>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</si>
  <si>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</si>
  <si>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</si>
  <si>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</si>
  <si>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</si>
  <si>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</si>
  <si>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</si>
  <si>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</si>
  <si>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</si>
  <si>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</si>
  <si>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</si>
  <si>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</si>
  <si>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</si>
  <si>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</si>
  <si>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</si>
  <si>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</si>
  <si>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</si>
  <si>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</si>
  <si>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</si>
  <si>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</si>
  <si>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</si>
  <si>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</si>
  <si>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</si>
  <si>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</si>
  <si>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</si>
  <si>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</si>
  <si>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</si>
  <si>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</si>
  <si>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</si>
  <si>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</si>
  <si>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</si>
  <si>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</si>
  <si>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</si>
  <si>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</si>
  <si>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</si>
  <si>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</si>
  <si>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</si>
  <si>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7|0.25|0.5|1|2|3|5|10|-4285230.35049438|-19929556.7321777|-76031363.5349274|-158404648.752213|-391747015.810013|-24525009726.82|-6329655269.804</t>
  </si>
  <si>
    <t>5|0.5|1|3|5|10|-24214639.6064758|-151722504.997253|-474461473.455429|-24525009726.82|-6329655269.804</t>
  </si>
  <si>
    <t>-509905935.669532|563259921.294884</t>
  </si>
  <si>
    <t>-1366076485.10391|1830592484.91112</t>
  </si>
  <si>
    <t>13|45636|45818|6000000000|0.015|45818|44861890.8600946|0.985319523178218|45818|46001|6000000000|0.015|46001|45123287.6712324|0.971889129878339|46001|46183|6000000000|0.015|46183|44876712.328767|0.958633423060726|46183|46366|6000000000|0.015|46366|45123287.6712324|0.945843269828661|46366|46548|6000000000|0.015|46548|44876712.328767|0.932920367484649|46548|46731|6000000000|0.015|46731|45123287.6712324|0.920104957068542|46731|46916|6000000000|0.015|46916|45506624.747361|0.906447924387357|46916|47098|6000000000|0.015|47098|44754098.3606562|0.893053669413218|47098|47280|6000000000|0.015|47280|44862564.5632159|0.879704426808892|47280|47462|6000000000|0.015|47462|44876712.328767|0.866416530284412|47462|47644|6000000000|0.015|47644|44876712.328767|0.853414766971878|47644|47827|6000000000|0.015|47827|45123287.6712324|0.840435512401633|-1|-1|6000000000|-1|47827|6000000000|0.840435512401633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</si>
</sst>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</numFmts>
  <fonts count="33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14" fontId="3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5" fontId="3" fillId="5" borderId="1" xfId="0" applyNumberFormat="1" applyFont="1" applyFill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179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84" fontId="3" fillId="0" borderId="1" xfId="0" quotePrefix="1" applyNumberFormat="1" applyFont="1" applyBorder="1" applyAlignment="1">
      <alignment horizontal="left" vertical="center"/>
    </xf>
    <xf numFmtId="14" fontId="3" fillId="0" borderId="1" xfId="0" applyNumberFormat="1" applyFont="1" applyBorder="1" applyAlignment="1">
      <alignment horizontal="left" vertical="center"/>
    </xf>
    <xf numFmtId="192" fontId="3" fillId="0" borderId="1" xfId="0" quotePrefix="1" applyNumberFormat="1" applyFont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4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AD69"/>
  <sheetViews>
    <sheetView tabSelected="1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1" customWidth="1"/>
    <col min="8" max="9" width="4.6640625" style="1" customWidth="1"/>
    <col min="10" max="30" width="10" style="1" customWidth="1"/>
    <col min="31" max="16384" width="8.6640625" style="1"/>
  </cols>
  <sheetData>
    <row r="1" spans="2:20">
      <c r="H1" s="1" t="s">
        <v>133</v>
      </c>
    </row>
    <row r="2" spans="2:20" s="8" customFormat="1" ht="15.75">
      <c r="B2" s="197" t="s">
        <v>44</v>
      </c>
      <c r="C2" s="197"/>
      <c r="D2" s="197"/>
      <c r="E2" s="197"/>
      <c r="F2" s="19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>
      <c r="B4" s="9" t="s">
        <v>4</v>
      </c>
      <c r="C4" s="10"/>
      <c r="D4" s="11"/>
      <c r="E4" s="11"/>
      <c r="F4" s="25"/>
      <c r="H4" s="9" t="s">
        <v>5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>
      <c r="C5" s="198" t="s">
        <v>73</v>
      </c>
      <c r="D5" s="198"/>
      <c r="E5" s="198"/>
      <c r="F5" s="198"/>
      <c r="J5" s="35" t="s">
        <v>6</v>
      </c>
      <c r="K5" s="66"/>
      <c r="M5" s="35" t="s">
        <v>100</v>
      </c>
      <c r="N5" s="66"/>
      <c r="P5" s="35"/>
      <c r="Q5" s="66"/>
      <c r="S5" s="35"/>
      <c r="T5" s="66"/>
    </row>
    <row r="6" spans="2:20" s="12" customFormat="1">
      <c r="C6" s="13" t="s">
        <v>3</v>
      </c>
      <c r="D6" s="14" t="s">
        <v>8</v>
      </c>
      <c r="E6" s="14" t="s">
        <v>89</v>
      </c>
      <c r="F6" s="14" t="s">
        <v>2</v>
      </c>
      <c r="G6" s="12" t="s">
        <v>9</v>
      </c>
      <c r="I6" s="3"/>
      <c r="J6" s="5" t="s">
        <v>111</v>
      </c>
      <c r="K6" s="17" t="s">
        <v>471</v>
      </c>
      <c r="L6" s="54"/>
      <c r="M6" s="20"/>
      <c r="N6" s="20"/>
      <c r="P6" s="20"/>
      <c r="Q6" s="20"/>
      <c r="S6" s="20"/>
      <c r="T6" s="20"/>
    </row>
    <row r="7" spans="2:20">
      <c r="C7" s="16">
        <v>1</v>
      </c>
      <c r="D7" s="38" t="s">
        <v>45</v>
      </c>
      <c r="E7" s="38" t="s">
        <v>661</v>
      </c>
      <c r="F7" s="46" t="s">
        <v>637</v>
      </c>
      <c r="G7" s="1" t="s">
        <v>9</v>
      </c>
      <c r="J7" s="5" t="s">
        <v>112</v>
      </c>
      <c r="K7" s="17" t="s">
        <v>472</v>
      </c>
      <c r="L7" s="4"/>
      <c r="M7" s="17"/>
      <c r="N7" s="17"/>
      <c r="P7" s="17"/>
      <c r="Q7" s="17"/>
      <c r="S7" s="17"/>
      <c r="T7" s="17"/>
    </row>
    <row r="8" spans="2:20">
      <c r="C8" s="16">
        <v>2</v>
      </c>
      <c r="D8" s="38" t="s">
        <v>24</v>
      </c>
      <c r="E8" s="38" t="s">
        <v>26</v>
      </c>
      <c r="F8" s="46" t="s">
        <v>639</v>
      </c>
      <c r="G8" s="1" t="s">
        <v>9</v>
      </c>
      <c r="J8" s="5" t="s">
        <v>114</v>
      </c>
      <c r="K8" s="17" t="s">
        <v>316</v>
      </c>
      <c r="L8" s="4"/>
      <c r="M8" s="17"/>
      <c r="N8" s="17"/>
      <c r="P8" s="17"/>
      <c r="Q8" s="17"/>
      <c r="S8" s="17"/>
      <c r="T8" s="17"/>
    </row>
    <row r="9" spans="2:20">
      <c r="C9" s="16">
        <v>3</v>
      </c>
      <c r="D9" s="38" t="s">
        <v>23</v>
      </c>
      <c r="E9" s="38" t="s">
        <v>0</v>
      </c>
      <c r="F9" s="46" t="s">
        <v>641</v>
      </c>
      <c r="G9" s="1" t="s">
        <v>9</v>
      </c>
      <c r="J9" s="5" t="s">
        <v>115</v>
      </c>
      <c r="K9" s="17" t="s">
        <v>473</v>
      </c>
      <c r="L9" s="4"/>
      <c r="M9" s="17"/>
      <c r="N9" s="17"/>
      <c r="P9" s="17"/>
      <c r="Q9" s="17"/>
      <c r="S9" s="17"/>
      <c r="T9" s="17"/>
    </row>
    <row r="10" spans="2:20">
      <c r="B10" s="3"/>
      <c r="C10" s="16">
        <v>4</v>
      </c>
      <c r="D10" s="38" t="s">
        <v>25</v>
      </c>
      <c r="E10" s="38" t="s">
        <v>60</v>
      </c>
      <c r="F10" s="47" t="s">
        <v>271</v>
      </c>
      <c r="G10" s="1" t="s">
        <v>9</v>
      </c>
      <c r="J10" s="17"/>
      <c r="K10" s="17"/>
      <c r="P10" s="2"/>
      <c r="Q10" s="2"/>
    </row>
    <row r="11" spans="2:20">
      <c r="C11" s="16">
        <v>5</v>
      </c>
      <c r="D11" s="38" t="s">
        <v>51</v>
      </c>
      <c r="E11" s="38" t="s">
        <v>28</v>
      </c>
      <c r="F11" s="49">
        <v>1.4999999999999999E-2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S11" s="13" t="s">
        <v>11</v>
      </c>
      <c r="T11" s="13" t="s">
        <v>12</v>
      </c>
    </row>
    <row r="12" spans="2:20">
      <c r="C12" s="16">
        <v>6</v>
      </c>
      <c r="D12" s="38" t="s">
        <v>87</v>
      </c>
      <c r="E12" s="38" t="s">
        <v>110</v>
      </c>
      <c r="F12" s="49" t="s">
        <v>466</v>
      </c>
      <c r="G12" s="1" t="s">
        <v>9</v>
      </c>
      <c r="H12" s="18">
        <v>1</v>
      </c>
      <c r="I12" s="2"/>
      <c r="J12" s="31">
        <v>90</v>
      </c>
      <c r="K12" s="32">
        <v>3.3700000000000001E-2</v>
      </c>
      <c r="M12" s="31">
        <v>180</v>
      </c>
      <c r="N12" s="32">
        <v>0</v>
      </c>
      <c r="P12" s="31"/>
      <c r="Q12" s="32"/>
      <c r="S12" s="31"/>
      <c r="T12" s="32"/>
    </row>
    <row r="13" spans="2:20">
      <c r="C13" s="16">
        <v>7</v>
      </c>
      <c r="D13" s="38" t="s">
        <v>117</v>
      </c>
      <c r="E13" s="38" t="s">
        <v>107</v>
      </c>
      <c r="F13" s="49" t="s">
        <v>467</v>
      </c>
      <c r="G13" s="1" t="s">
        <v>9</v>
      </c>
      <c r="H13" s="18">
        <v>2</v>
      </c>
      <c r="I13" s="2"/>
      <c r="J13" s="31">
        <v>180</v>
      </c>
      <c r="K13" s="32">
        <v>3.1699999999999999E-2</v>
      </c>
      <c r="M13" s="31">
        <v>360</v>
      </c>
      <c r="N13" s="32">
        <v>0</v>
      </c>
      <c r="P13" s="31"/>
      <c r="Q13" s="32"/>
      <c r="S13" s="31"/>
      <c r="T13" s="32"/>
    </row>
    <row r="14" spans="2:20">
      <c r="C14" s="16">
        <v>8</v>
      </c>
      <c r="D14" s="49" t="s">
        <v>46</v>
      </c>
      <c r="E14" s="49" t="s">
        <v>101</v>
      </c>
      <c r="F14" s="49" t="s">
        <v>468</v>
      </c>
      <c r="G14" s="1" t="s">
        <v>9</v>
      </c>
      <c r="H14" s="18">
        <v>3</v>
      </c>
      <c r="I14" s="2"/>
      <c r="J14" s="31">
        <v>360</v>
      </c>
      <c r="K14" s="32">
        <v>2.8500000000000001E-2</v>
      </c>
      <c r="M14" s="31">
        <v>1080</v>
      </c>
      <c r="N14" s="32">
        <v>0</v>
      </c>
      <c r="P14" s="31"/>
      <c r="Q14" s="32"/>
      <c r="S14" s="31"/>
      <c r="T14" s="32"/>
    </row>
    <row r="15" spans="2:20">
      <c r="C15" s="16">
        <v>9</v>
      </c>
      <c r="D15" s="38" t="s">
        <v>119</v>
      </c>
      <c r="E15" s="49" t="s">
        <v>103</v>
      </c>
      <c r="F15" s="49" t="s">
        <v>469</v>
      </c>
      <c r="G15" s="1" t="s">
        <v>9</v>
      </c>
      <c r="H15" s="18">
        <v>4</v>
      </c>
      <c r="I15" s="2"/>
      <c r="J15" s="31">
        <v>720</v>
      </c>
      <c r="K15" s="32">
        <v>2.7199999999999998E-2</v>
      </c>
      <c r="M15" s="31">
        <v>1800</v>
      </c>
      <c r="N15" s="32">
        <v>5.0000000000000001E-4</v>
      </c>
      <c r="P15" s="31"/>
      <c r="Q15" s="32"/>
      <c r="S15" s="31"/>
      <c r="T15" s="32"/>
    </row>
    <row r="16" spans="2:20">
      <c r="C16" s="16">
        <v>10</v>
      </c>
      <c r="D16" s="38" t="s">
        <v>116</v>
      </c>
      <c r="E16" s="49" t="s">
        <v>104</v>
      </c>
      <c r="F16" s="49" t="s">
        <v>470</v>
      </c>
      <c r="G16" s="1" t="s">
        <v>9</v>
      </c>
      <c r="H16" s="18">
        <v>5</v>
      </c>
      <c r="I16" s="2"/>
      <c r="J16" s="31">
        <v>1080</v>
      </c>
      <c r="K16" s="32">
        <v>2.69E-2</v>
      </c>
      <c r="M16" s="31">
        <v>3600</v>
      </c>
      <c r="N16" s="32">
        <v>1E-3</v>
      </c>
      <c r="P16" s="31"/>
      <c r="Q16" s="32"/>
      <c r="S16" s="31"/>
      <c r="T16" s="32"/>
    </row>
    <row r="17" spans="2:30">
      <c r="B17" s="3"/>
      <c r="C17" s="16">
        <v>11</v>
      </c>
      <c r="D17" s="38" t="s">
        <v>108</v>
      </c>
      <c r="E17" s="38" t="s">
        <v>109</v>
      </c>
      <c r="F17" s="49" t="s">
        <v>160</v>
      </c>
      <c r="G17" s="1" t="s">
        <v>9</v>
      </c>
      <c r="H17" s="18">
        <v>6</v>
      </c>
      <c r="I17" s="2"/>
      <c r="J17" s="31">
        <v>1800</v>
      </c>
      <c r="K17" s="32">
        <v>2.7099999999999999E-2</v>
      </c>
      <c r="M17" s="31"/>
      <c r="N17" s="32"/>
      <c r="P17" s="31"/>
      <c r="Q17" s="32"/>
      <c r="S17" s="31"/>
      <c r="T17" s="32"/>
    </row>
    <row r="18" spans="2:30">
      <c r="C18" s="16">
        <v>12</v>
      </c>
      <c r="D18" s="50" t="s">
        <v>71</v>
      </c>
      <c r="E18" s="50" t="s">
        <v>72</v>
      </c>
      <c r="F18" s="64" t="s">
        <v>75</v>
      </c>
      <c r="G18" s="1" t="s">
        <v>9</v>
      </c>
      <c r="H18" s="18">
        <v>7</v>
      </c>
      <c r="I18" s="2"/>
      <c r="J18" s="31">
        <v>3600</v>
      </c>
      <c r="K18" s="32">
        <v>2.7799999999999998E-2</v>
      </c>
      <c r="M18" s="31"/>
      <c r="N18" s="32"/>
      <c r="P18" s="31"/>
      <c r="Q18" s="32"/>
      <c r="S18" s="31"/>
      <c r="T18" s="32"/>
    </row>
    <row r="19" spans="2:30">
      <c r="C19" s="16">
        <v>13</v>
      </c>
      <c r="D19" s="50" t="s">
        <v>69</v>
      </c>
      <c r="E19" s="50" t="s">
        <v>105</v>
      </c>
      <c r="F19" s="53" t="s">
        <v>74</v>
      </c>
      <c r="G19" s="1" t="s">
        <v>9</v>
      </c>
      <c r="H19" s="18">
        <v>8</v>
      </c>
      <c r="I19" s="2"/>
      <c r="J19" s="31">
        <v>5400</v>
      </c>
      <c r="K19" s="32">
        <v>2.7199999999999998E-2</v>
      </c>
      <c r="M19" s="31"/>
      <c r="N19" s="32"/>
      <c r="P19" s="31"/>
      <c r="Q19" s="32"/>
      <c r="S19" s="31"/>
      <c r="T19" s="32"/>
    </row>
    <row r="20" spans="2:30">
      <c r="B20" s="3"/>
      <c r="C20" s="16">
        <v>14</v>
      </c>
      <c r="D20" s="38" t="s">
        <v>118</v>
      </c>
      <c r="E20" s="38" t="s">
        <v>84</v>
      </c>
      <c r="F20" s="52">
        <v>1.3889799999999999E-3</v>
      </c>
      <c r="G20" s="1" t="s">
        <v>9</v>
      </c>
      <c r="H20" s="18">
        <v>9</v>
      </c>
      <c r="I20" s="2"/>
      <c r="J20" s="31">
        <v>7200</v>
      </c>
      <c r="K20" s="32">
        <v>2.5399999999999999E-2</v>
      </c>
      <c r="M20" s="31"/>
      <c r="N20" s="32"/>
      <c r="P20" s="31"/>
      <c r="Q20" s="32"/>
      <c r="S20" s="31"/>
      <c r="T20" s="32"/>
    </row>
    <row r="21" spans="2:30">
      <c r="C21" s="16">
        <v>15</v>
      </c>
      <c r="D21" s="50" t="s">
        <v>70</v>
      </c>
      <c r="E21" s="50" t="s">
        <v>106</v>
      </c>
      <c r="F21" s="51" t="s">
        <v>100</v>
      </c>
      <c r="G21" s="1" t="s">
        <v>9</v>
      </c>
      <c r="H21" s="21">
        <v>10</v>
      </c>
      <c r="I21" s="2"/>
      <c r="J21" s="31">
        <v>10800</v>
      </c>
      <c r="K21" s="32">
        <v>2.2200000000000001E-2</v>
      </c>
      <c r="M21" s="31"/>
      <c r="N21" s="32"/>
      <c r="P21" s="31"/>
      <c r="Q21" s="32"/>
      <c r="S21" s="31"/>
      <c r="T21" s="32"/>
    </row>
    <row r="22" spans="2:30">
      <c r="C22" s="16">
        <v>16</v>
      </c>
      <c r="D22" s="38" t="s">
        <v>29</v>
      </c>
      <c r="E22" s="38" t="s">
        <v>62</v>
      </c>
      <c r="F22" s="47" t="s">
        <v>272</v>
      </c>
      <c r="G22" s="1" t="s">
        <v>9</v>
      </c>
    </row>
    <row r="23" spans="2:30">
      <c r="C23" s="16">
        <v>17</v>
      </c>
      <c r="D23" s="17" t="s">
        <v>130</v>
      </c>
      <c r="E23" s="17" t="s">
        <v>132</v>
      </c>
      <c r="F23" s="62" t="s">
        <v>131</v>
      </c>
      <c r="G23" s="1" t="s">
        <v>9</v>
      </c>
    </row>
    <row r="24" spans="2:30">
      <c r="C24" s="19">
        <v>18</v>
      </c>
      <c r="D24" s="17" t="s">
        <v>410</v>
      </c>
      <c r="E24" s="17" t="s">
        <v>411</v>
      </c>
      <c r="F24" s="17" t="s">
        <v>412</v>
      </c>
      <c r="G24" s="1" t="s">
        <v>9</v>
      </c>
    </row>
    <row r="25" spans="2:30">
      <c r="C25" s="1"/>
      <c r="F25" s="1"/>
      <c r="G25" s="1" t="s">
        <v>9</v>
      </c>
      <c r="H25" s="9" t="s">
        <v>13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30">
      <c r="C26" s="1"/>
      <c r="F26" s="1"/>
      <c r="J26" s="35" t="s">
        <v>65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4"/>
    </row>
    <row r="27" spans="2:30">
      <c r="C27" s="1"/>
      <c r="F27" s="1"/>
      <c r="G27" s="1" t="s">
        <v>9</v>
      </c>
      <c r="H27" s="15" t="s">
        <v>10</v>
      </c>
      <c r="J27" s="23" t="s">
        <v>10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6">
        <v>9</v>
      </c>
      <c r="T27" s="36">
        <v>10</v>
      </c>
      <c r="U27" s="36">
        <v>11</v>
      </c>
      <c r="V27" s="36">
        <v>12</v>
      </c>
      <c r="W27" s="36">
        <v>13</v>
      </c>
      <c r="X27" s="36">
        <v>14</v>
      </c>
      <c r="Y27" s="36">
        <v>15</v>
      </c>
      <c r="Z27" s="36">
        <v>16</v>
      </c>
      <c r="AA27" s="36">
        <v>17</v>
      </c>
      <c r="AB27" s="36">
        <v>18</v>
      </c>
      <c r="AC27" s="36">
        <v>19</v>
      </c>
      <c r="AD27" s="36">
        <v>20</v>
      </c>
    </row>
    <row r="28" spans="2:30">
      <c r="C28" s="1"/>
      <c r="F28" s="1"/>
      <c r="G28" s="1" t="s">
        <v>9</v>
      </c>
      <c r="H28" s="18">
        <v>1</v>
      </c>
      <c r="J28" s="23" t="s">
        <v>66</v>
      </c>
      <c r="K28" s="28" t="s">
        <v>642</v>
      </c>
      <c r="L28" s="192" t="s">
        <v>643</v>
      </c>
      <c r="M28" s="192" t="s">
        <v>644</v>
      </c>
      <c r="N28" s="192" t="s">
        <v>645</v>
      </c>
      <c r="O28" s="192" t="s">
        <v>646</v>
      </c>
      <c r="P28" s="192" t="s">
        <v>647</v>
      </c>
      <c r="Q28" s="192" t="s">
        <v>648</v>
      </c>
      <c r="R28" s="192" t="s">
        <v>649</v>
      </c>
      <c r="S28" s="192" t="s">
        <v>650</v>
      </c>
      <c r="T28" s="192" t="s">
        <v>651</v>
      </c>
      <c r="U28" s="192" t="s">
        <v>652</v>
      </c>
      <c r="V28" s="192" t="s">
        <v>641</v>
      </c>
      <c r="W28" s="31"/>
      <c r="X28" s="31"/>
      <c r="Y28" s="31"/>
      <c r="Z28" s="31"/>
      <c r="AA28" s="31"/>
      <c r="AB28" s="31"/>
      <c r="AC28" s="31"/>
      <c r="AD28" s="31"/>
    </row>
    <row r="29" spans="2:30">
      <c r="C29" s="1"/>
      <c r="F29" s="1"/>
      <c r="G29" s="1" t="s">
        <v>9</v>
      </c>
      <c r="H29" s="18">
        <v>2</v>
      </c>
      <c r="J29" s="23" t="s">
        <v>67</v>
      </c>
      <c r="K29" s="28" t="s">
        <v>653</v>
      </c>
      <c r="L29" s="192" t="s">
        <v>642</v>
      </c>
      <c r="M29" s="192" t="s">
        <v>643</v>
      </c>
      <c r="N29" s="192" t="s">
        <v>644</v>
      </c>
      <c r="O29" s="192" t="s">
        <v>645</v>
      </c>
      <c r="P29" s="192" t="s">
        <v>646</v>
      </c>
      <c r="Q29" s="192" t="s">
        <v>647</v>
      </c>
      <c r="R29" s="192" t="s">
        <v>648</v>
      </c>
      <c r="S29" s="192" t="s">
        <v>649</v>
      </c>
      <c r="T29" s="192" t="s">
        <v>650</v>
      </c>
      <c r="U29" s="192" t="s">
        <v>651</v>
      </c>
      <c r="V29" s="192" t="s">
        <v>652</v>
      </c>
      <c r="W29" s="31"/>
      <c r="X29" s="31"/>
      <c r="Y29" s="31"/>
      <c r="Z29" s="31"/>
      <c r="AA29" s="31"/>
      <c r="AB29" s="31"/>
      <c r="AC29" s="31"/>
      <c r="AD29" s="31"/>
    </row>
    <row r="30" spans="2:30">
      <c r="C30" s="1"/>
      <c r="F30" s="1"/>
      <c r="H30" s="21">
        <v>3</v>
      </c>
      <c r="J30" s="23" t="s">
        <v>68</v>
      </c>
      <c r="K30" s="28" t="s">
        <v>642</v>
      </c>
      <c r="L30" s="192" t="s">
        <v>643</v>
      </c>
      <c r="M30" s="192" t="s">
        <v>644</v>
      </c>
      <c r="N30" s="192" t="s">
        <v>645</v>
      </c>
      <c r="O30" s="192" t="s">
        <v>646</v>
      </c>
      <c r="P30" s="192" t="s">
        <v>647</v>
      </c>
      <c r="Q30" s="192" t="s">
        <v>648</v>
      </c>
      <c r="R30" s="192" t="s">
        <v>649</v>
      </c>
      <c r="S30" s="192" t="s">
        <v>650</v>
      </c>
      <c r="T30" s="192" t="s">
        <v>651</v>
      </c>
      <c r="U30" s="192" t="s">
        <v>652</v>
      </c>
      <c r="V30" s="192" t="s">
        <v>641</v>
      </c>
      <c r="W30" s="31"/>
      <c r="X30" s="31"/>
      <c r="Y30" s="31"/>
      <c r="Z30" s="31"/>
      <c r="AA30" s="31"/>
      <c r="AB30" s="31"/>
      <c r="AC30" s="31"/>
      <c r="AD30" s="31"/>
    </row>
    <row r="31" spans="2:30">
      <c r="C31" s="1"/>
      <c r="F31" s="1"/>
    </row>
    <row r="32" spans="2:30">
      <c r="C32" s="1"/>
      <c r="F32" s="1"/>
      <c r="J32" s="35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4"/>
    </row>
    <row r="33" spans="3:30">
      <c r="C33" s="1"/>
      <c r="F33" s="1"/>
      <c r="H33" s="15" t="s">
        <v>10</v>
      </c>
      <c r="J33" s="23" t="s">
        <v>10</v>
      </c>
      <c r="K33" s="6">
        <f>K27+20</f>
        <v>21</v>
      </c>
      <c r="L33" s="6">
        <f t="shared" ref="L33:AD33" si="0">L27+20</f>
        <v>22</v>
      </c>
      <c r="M33" s="6">
        <f t="shared" si="0"/>
        <v>23</v>
      </c>
      <c r="N33" s="6">
        <f t="shared" si="0"/>
        <v>24</v>
      </c>
      <c r="O33" s="6">
        <f t="shared" si="0"/>
        <v>25</v>
      </c>
      <c r="P33" s="6">
        <f t="shared" si="0"/>
        <v>26</v>
      </c>
      <c r="Q33" s="6">
        <f t="shared" si="0"/>
        <v>27</v>
      </c>
      <c r="R33" s="6">
        <f t="shared" si="0"/>
        <v>28</v>
      </c>
      <c r="S33" s="6">
        <f t="shared" si="0"/>
        <v>29</v>
      </c>
      <c r="T33" s="6">
        <f t="shared" si="0"/>
        <v>30</v>
      </c>
      <c r="U33" s="6">
        <f t="shared" si="0"/>
        <v>31</v>
      </c>
      <c r="V33" s="6">
        <f t="shared" si="0"/>
        <v>32</v>
      </c>
      <c r="W33" s="6">
        <f t="shared" si="0"/>
        <v>33</v>
      </c>
      <c r="X33" s="6">
        <f t="shared" si="0"/>
        <v>34</v>
      </c>
      <c r="Y33" s="6">
        <f t="shared" si="0"/>
        <v>35</v>
      </c>
      <c r="Z33" s="6">
        <f t="shared" si="0"/>
        <v>36</v>
      </c>
      <c r="AA33" s="6">
        <f t="shared" si="0"/>
        <v>37</v>
      </c>
      <c r="AB33" s="6">
        <f t="shared" si="0"/>
        <v>38</v>
      </c>
      <c r="AC33" s="6">
        <f t="shared" si="0"/>
        <v>39</v>
      </c>
      <c r="AD33" s="6">
        <f t="shared" si="0"/>
        <v>40</v>
      </c>
    </row>
    <row r="34" spans="3:30">
      <c r="C34" s="1"/>
      <c r="F34" s="1"/>
      <c r="H34" s="18">
        <v>1</v>
      </c>
      <c r="J34" s="23" t="s">
        <v>66</v>
      </c>
      <c r="K34" s="28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1"/>
      <c r="X34" s="31"/>
      <c r="Y34" s="31"/>
      <c r="Z34" s="31"/>
      <c r="AA34" s="31"/>
      <c r="AB34" s="31"/>
      <c r="AC34" s="31"/>
      <c r="AD34" s="31"/>
    </row>
    <row r="35" spans="3:30">
      <c r="C35" s="1"/>
      <c r="F35" s="1"/>
      <c r="H35" s="18">
        <v>2</v>
      </c>
      <c r="J35" s="23" t="s">
        <v>67</v>
      </c>
      <c r="K35" s="28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1"/>
      <c r="X35" s="31"/>
      <c r="Y35" s="31"/>
      <c r="Z35" s="31"/>
      <c r="AA35" s="31"/>
      <c r="AB35" s="31"/>
      <c r="AC35" s="31"/>
      <c r="AD35" s="31"/>
    </row>
    <row r="36" spans="3:30">
      <c r="C36" s="1"/>
      <c r="H36" s="21">
        <v>3</v>
      </c>
      <c r="J36" s="23" t="s">
        <v>68</v>
      </c>
      <c r="K36" s="28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1"/>
      <c r="X36" s="31"/>
      <c r="Y36" s="31"/>
      <c r="Z36" s="31"/>
      <c r="AA36" s="31"/>
      <c r="AB36" s="31"/>
      <c r="AC36" s="31"/>
      <c r="AD36" s="31"/>
    </row>
    <row r="37" spans="3:30">
      <c r="C37" s="1"/>
      <c r="F37" s="1"/>
    </row>
    <row r="38" spans="3:30">
      <c r="C38" s="1"/>
      <c r="F38" s="1"/>
      <c r="J38" s="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4"/>
    </row>
    <row r="39" spans="3:30">
      <c r="C39" s="1"/>
      <c r="F39" s="1"/>
      <c r="H39" s="15" t="s">
        <v>10</v>
      </c>
      <c r="J39" s="23" t="s">
        <v>10</v>
      </c>
      <c r="K39" s="6">
        <f>K33+20</f>
        <v>41</v>
      </c>
      <c r="L39" s="6">
        <f t="shared" ref="L39:AD39" si="1">L33+20</f>
        <v>42</v>
      </c>
      <c r="M39" s="6">
        <f t="shared" si="1"/>
        <v>43</v>
      </c>
      <c r="N39" s="6">
        <f t="shared" si="1"/>
        <v>44</v>
      </c>
      <c r="O39" s="6">
        <f t="shared" si="1"/>
        <v>45</v>
      </c>
      <c r="P39" s="6">
        <f t="shared" si="1"/>
        <v>46</v>
      </c>
      <c r="Q39" s="6">
        <f t="shared" si="1"/>
        <v>47</v>
      </c>
      <c r="R39" s="6">
        <f t="shared" si="1"/>
        <v>48</v>
      </c>
      <c r="S39" s="6">
        <f t="shared" si="1"/>
        <v>49</v>
      </c>
      <c r="T39" s="6">
        <f t="shared" si="1"/>
        <v>50</v>
      </c>
      <c r="U39" s="6">
        <f t="shared" si="1"/>
        <v>51</v>
      </c>
      <c r="V39" s="6">
        <f t="shared" si="1"/>
        <v>52</v>
      </c>
      <c r="W39" s="6">
        <f t="shared" si="1"/>
        <v>53</v>
      </c>
      <c r="X39" s="6">
        <f t="shared" si="1"/>
        <v>54</v>
      </c>
      <c r="Y39" s="6">
        <f t="shared" si="1"/>
        <v>55</v>
      </c>
      <c r="Z39" s="6">
        <f t="shared" si="1"/>
        <v>56</v>
      </c>
      <c r="AA39" s="6">
        <f t="shared" si="1"/>
        <v>57</v>
      </c>
      <c r="AB39" s="6">
        <f t="shared" si="1"/>
        <v>58</v>
      </c>
      <c r="AC39" s="6">
        <f t="shared" si="1"/>
        <v>59</v>
      </c>
      <c r="AD39" s="6">
        <f t="shared" si="1"/>
        <v>60</v>
      </c>
    </row>
    <row r="40" spans="3:30">
      <c r="C40" s="1"/>
      <c r="F40" s="1"/>
      <c r="H40" s="18">
        <v>1</v>
      </c>
      <c r="J40" s="23" t="s">
        <v>66</v>
      </c>
      <c r="K40" s="28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1"/>
      <c r="X40" s="31"/>
      <c r="Y40" s="31"/>
      <c r="Z40" s="31"/>
      <c r="AA40" s="31"/>
      <c r="AB40" s="31"/>
      <c r="AC40" s="31"/>
      <c r="AD40" s="31"/>
    </row>
    <row r="41" spans="3:30">
      <c r="C41" s="1"/>
      <c r="F41" s="1"/>
      <c r="H41" s="18">
        <v>2</v>
      </c>
      <c r="J41" s="23" t="s">
        <v>67</v>
      </c>
      <c r="K41" s="28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1"/>
      <c r="X41" s="31"/>
      <c r="Y41" s="31"/>
      <c r="Z41" s="31"/>
      <c r="AA41" s="31"/>
      <c r="AB41" s="31"/>
      <c r="AC41" s="31"/>
      <c r="AD41" s="31"/>
    </row>
    <row r="42" spans="3:30">
      <c r="C42" s="1"/>
      <c r="F42" s="1"/>
      <c r="H42" s="21">
        <v>3</v>
      </c>
      <c r="J42" s="23" t="s">
        <v>68</v>
      </c>
      <c r="K42" s="28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1"/>
      <c r="X42" s="31"/>
      <c r="Y42" s="31"/>
      <c r="Z42" s="31"/>
      <c r="AA42" s="31"/>
      <c r="AB42" s="31"/>
      <c r="AC42" s="31"/>
      <c r="AD42" s="31"/>
    </row>
    <row r="43" spans="3:30">
      <c r="C43" s="1"/>
      <c r="F43" s="1"/>
    </row>
    <row r="44" spans="3:30">
      <c r="C44" s="1"/>
      <c r="F44" s="1"/>
    </row>
    <row r="45" spans="3:30">
      <c r="C45" s="1"/>
      <c r="F45" s="1"/>
    </row>
    <row r="46" spans="3:30">
      <c r="C46" s="1"/>
      <c r="F46" s="1"/>
    </row>
    <row r="47" spans="3:30">
      <c r="C47" s="1"/>
      <c r="F47" s="1"/>
    </row>
    <row r="48" spans="3:30">
      <c r="C48" s="1"/>
      <c r="F48" s="1"/>
    </row>
    <row r="49" spans="3:6">
      <c r="C49" s="1"/>
      <c r="F49" s="1"/>
    </row>
    <row r="50" spans="3:6">
      <c r="C50" s="1"/>
      <c r="F50" s="1"/>
    </row>
    <row r="51" spans="3:6">
      <c r="C51" s="1"/>
      <c r="F51" s="1"/>
    </row>
    <row r="52" spans="3:6">
      <c r="C52" s="1"/>
      <c r="F52" s="1"/>
    </row>
    <row r="53" spans="3:6">
      <c r="C53" s="1"/>
      <c r="F53" s="1"/>
    </row>
    <row r="54" spans="3:6">
      <c r="C54" s="1"/>
      <c r="F54" s="1"/>
    </row>
    <row r="58" spans="3:6">
      <c r="F58" s="1"/>
    </row>
    <row r="68" spans="5:5">
      <c r="E68" s="3"/>
    </row>
    <row r="69" spans="5:5">
      <c r="E69" s="3"/>
    </row>
  </sheetData>
  <mergeCells count="2">
    <mergeCell ref="B2:F2"/>
    <mergeCell ref="C5:F5"/>
  </mergeCells>
  <phoneticPr fontId="1" type="noConversion"/>
  <conditionalFormatting sqref="D45">
    <cfRule type="expression" dxfId="47" priority="25">
      <formula>$C45&lt;&gt;$C44</formula>
    </cfRule>
  </conditionalFormatting>
  <conditionalFormatting sqref="D45">
    <cfRule type="expression" dxfId="46" priority="26">
      <formula>$S51="Y"</formula>
    </cfRule>
  </conditionalFormatting>
  <conditionalFormatting sqref="E45">
    <cfRule type="expression" dxfId="45" priority="23">
      <formula>$C45&lt;&gt;$C44</formula>
    </cfRule>
  </conditionalFormatting>
  <conditionalFormatting sqref="E45">
    <cfRule type="expression" dxfId="44" priority="24">
      <formula>$S51="Y"</formula>
    </cfRule>
  </conditionalFormatting>
  <conditionalFormatting sqref="F11 F17:F18">
    <cfRule type="expression" dxfId="43" priority="10">
      <formula>$K11="GROUP"</formula>
    </cfRule>
  </conditionalFormatting>
  <conditionalFormatting sqref="F12">
    <cfRule type="expression" dxfId="42" priority="9">
      <formula>$K12="GROUP"</formula>
    </cfRule>
  </conditionalFormatting>
  <conditionalFormatting sqref="F13">
    <cfRule type="expression" dxfId="41" priority="8">
      <formula>$K13="GROUP"</formula>
    </cfRule>
  </conditionalFormatting>
  <conditionalFormatting sqref="F14">
    <cfRule type="expression" dxfId="40" priority="7">
      <formula>$K14="GROUP"</formula>
    </cfRule>
  </conditionalFormatting>
  <conditionalFormatting sqref="F15">
    <cfRule type="expression" dxfId="39" priority="6">
      <formula>$K15="GROUP"</formula>
    </cfRule>
  </conditionalFormatting>
  <conditionalFormatting sqref="F16">
    <cfRule type="expression" dxfId="38" priority="5">
      <formula>$K16="GROUP"</formula>
    </cfRule>
  </conditionalFormatting>
  <conditionalFormatting sqref="K6">
    <cfRule type="expression" dxfId="37" priority="4">
      <formula>$K6="GROUP"</formula>
    </cfRule>
  </conditionalFormatting>
  <conditionalFormatting sqref="K7">
    <cfRule type="expression" dxfId="36" priority="3">
      <formula>$K7="GROUP"</formula>
    </cfRule>
  </conditionalFormatting>
  <conditionalFormatting sqref="K8">
    <cfRule type="expression" dxfId="35" priority="2">
      <formula>$K8="GROUP"</formula>
    </cfRule>
  </conditionalFormatting>
  <conditionalFormatting sqref="K9">
    <cfRule type="expression" dxfId="34" priority="1">
      <formula>$K9="GROUP"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AH105"/>
  <sheetViews>
    <sheetView workbookViewId="0">
      <selection activeCell="E51" sqref="E51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25" width="13.33203125" style="1" customWidth="1"/>
    <col min="26" max="16384" width="8.6640625" style="1"/>
  </cols>
  <sheetData>
    <row r="2" spans="1:26" s="8" customFormat="1" ht="15.75">
      <c r="A2" s="1"/>
      <c r="B2" s="197" t="s">
        <v>90</v>
      </c>
      <c r="C2" s="197"/>
      <c r="D2" s="197"/>
      <c r="E2" s="197"/>
      <c r="F2" s="19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99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199" t="str">
        <f>Trade!C5</f>
        <v>FRB000001</v>
      </c>
      <c r="D5" s="199"/>
      <c r="E5" s="199"/>
      <c r="F5" s="200"/>
      <c r="J5" s="63" t="s">
        <v>134</v>
      </c>
      <c r="K5" s="65"/>
      <c r="M5" s="63" t="s">
        <v>98</v>
      </c>
      <c r="N5" s="65"/>
      <c r="P5" s="63" t="str">
        <f>IF(F37&lt;&gt;"KRW", "FX"&amp;F37, "")</f>
        <v>FXUSD</v>
      </c>
      <c r="Q5" s="65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55" t="s">
        <v>425</v>
      </c>
      <c r="Q6" s="55" t="s">
        <v>2</v>
      </c>
      <c r="R6" s="1"/>
      <c r="S6" s="1"/>
      <c r="T6" s="1"/>
      <c r="U6" s="1"/>
      <c r="V6" s="1"/>
      <c r="W6" s="1"/>
      <c r="X6" s="1"/>
      <c r="Y6" s="1"/>
      <c r="Z6" s="1"/>
    </row>
    <row r="7" spans="1:26">
      <c r="C7" s="55">
        <v>1</v>
      </c>
      <c r="D7" s="17" t="s">
        <v>17</v>
      </c>
      <c r="E7" s="19" t="s">
        <v>93</v>
      </c>
      <c r="F7" s="160">
        <v>5535542219.77843</v>
      </c>
      <c r="G7" s="1" t="s">
        <v>9</v>
      </c>
      <c r="H7" s="18">
        <v>1</v>
      </c>
      <c r="I7" s="2"/>
      <c r="J7" s="40">
        <v>0.5</v>
      </c>
      <c r="K7" s="178">
        <v>-24214639.60647583</v>
      </c>
      <c r="M7" s="40">
        <v>0.25</v>
      </c>
      <c r="N7" s="31">
        <v>-4285230.3504943848</v>
      </c>
      <c r="P7" s="5">
        <v>0</v>
      </c>
      <c r="Q7" s="17">
        <f>IF(P5&lt;&gt;"",F7,"")</f>
        <v>5535542219.77843</v>
      </c>
    </row>
    <row r="8" spans="1:26">
      <c r="C8" s="55">
        <v>2</v>
      </c>
      <c r="D8" s="29" t="s">
        <v>14</v>
      </c>
      <c r="E8" s="43" t="s">
        <v>93</v>
      </c>
      <c r="F8" s="161">
        <v>-31502036234.044998</v>
      </c>
      <c r="G8" s="1" t="s">
        <v>9</v>
      </c>
      <c r="H8" s="18">
        <v>2</v>
      </c>
      <c r="I8" s="2"/>
      <c r="J8" s="40">
        <v>1</v>
      </c>
      <c r="K8" s="178">
        <v>-151722504.99725342</v>
      </c>
      <c r="M8" s="40">
        <v>0.5</v>
      </c>
      <c r="N8" s="31">
        <v>-19929556.732177734</v>
      </c>
    </row>
    <row r="9" spans="1:26">
      <c r="C9" s="55">
        <v>3</v>
      </c>
      <c r="D9" s="36" t="s">
        <v>18</v>
      </c>
      <c r="E9" s="44" t="s">
        <v>94</v>
      </c>
      <c r="F9" s="150"/>
      <c r="G9" s="1" t="s">
        <v>9</v>
      </c>
      <c r="H9" s="18">
        <v>3</v>
      </c>
      <c r="I9" s="2"/>
      <c r="J9" s="40">
        <v>3</v>
      </c>
      <c r="K9" s="178">
        <v>-474461473.45542908</v>
      </c>
      <c r="M9" s="40">
        <v>1</v>
      </c>
      <c r="N9" s="31">
        <v>-76031363.534927368</v>
      </c>
    </row>
    <row r="10" spans="1:26">
      <c r="B10" s="3"/>
      <c r="C10" s="55">
        <v>4</v>
      </c>
      <c r="D10" s="29" t="s">
        <v>19</v>
      </c>
      <c r="E10" s="43" t="s">
        <v>93</v>
      </c>
      <c r="F10" s="161">
        <v>184460713291.168</v>
      </c>
      <c r="G10" s="1" t="s">
        <v>9</v>
      </c>
      <c r="H10" s="18">
        <v>4</v>
      </c>
      <c r="I10" s="2"/>
      <c r="J10" s="40">
        <v>5</v>
      </c>
      <c r="K10" s="178">
        <v>-24525009726.819992</v>
      </c>
      <c r="M10" s="40">
        <v>2</v>
      </c>
      <c r="N10" s="31">
        <v>-158404648.75221252</v>
      </c>
    </row>
    <row r="11" spans="1:26">
      <c r="C11" s="55">
        <v>5</v>
      </c>
      <c r="D11" s="29" t="s">
        <v>30</v>
      </c>
      <c r="E11" s="43" t="s">
        <v>93</v>
      </c>
      <c r="F11" s="162">
        <v>5.6926616650735999</v>
      </c>
      <c r="G11" s="1" t="s">
        <v>9</v>
      </c>
      <c r="H11" s="18">
        <v>5</v>
      </c>
      <c r="I11" s="2"/>
      <c r="J11" s="40">
        <v>10</v>
      </c>
      <c r="K11" s="178">
        <v>-6329655269.8040009</v>
      </c>
      <c r="M11" s="40">
        <v>3</v>
      </c>
      <c r="N11" s="31">
        <v>-391747015.81001282</v>
      </c>
    </row>
    <row r="12" spans="1:26">
      <c r="C12" s="55">
        <v>6</v>
      </c>
      <c r="D12" s="29" t="s">
        <v>92</v>
      </c>
      <c r="E12" s="43" t="s">
        <v>93</v>
      </c>
      <c r="F12" s="162">
        <v>35.128992231632999</v>
      </c>
      <c r="G12" s="1" t="s">
        <v>9</v>
      </c>
      <c r="H12" s="18">
        <v>6</v>
      </c>
      <c r="I12" s="2"/>
      <c r="M12" s="40">
        <v>5</v>
      </c>
      <c r="N12" s="31">
        <v>-24525009726.819992</v>
      </c>
    </row>
    <row r="13" spans="1:26">
      <c r="C13" s="55">
        <v>7</v>
      </c>
      <c r="D13" s="29" t="s">
        <v>31</v>
      </c>
      <c r="E13" s="43" t="s">
        <v>93</v>
      </c>
      <c r="F13" s="161">
        <v>-3150203.6234045001</v>
      </c>
      <c r="G13" s="1" t="s">
        <v>9</v>
      </c>
      <c r="H13" s="18">
        <v>6</v>
      </c>
      <c r="I13" s="2"/>
      <c r="M13" s="40">
        <v>10</v>
      </c>
      <c r="N13" s="31">
        <v>-6329655269.8040009</v>
      </c>
    </row>
    <row r="14" spans="1:26">
      <c r="C14" s="55">
        <v>8</v>
      </c>
      <c r="D14" s="17" t="s">
        <v>21</v>
      </c>
      <c r="E14" s="19" t="s">
        <v>93</v>
      </c>
      <c r="F14" s="39" t="s">
        <v>662</v>
      </c>
      <c r="G14" s="1" t="s">
        <v>9</v>
      </c>
      <c r="H14" s="18">
        <v>7</v>
      </c>
      <c r="I14" s="2"/>
      <c r="M14" s="40"/>
      <c r="N14" s="31"/>
    </row>
    <row r="15" spans="1:26">
      <c r="C15" s="55">
        <v>9</v>
      </c>
      <c r="D15" s="17" t="s">
        <v>32</v>
      </c>
      <c r="E15" s="19" t="s">
        <v>93</v>
      </c>
      <c r="F15" s="39" t="s">
        <v>663</v>
      </c>
      <c r="G15" s="1" t="s">
        <v>9</v>
      </c>
      <c r="H15" s="18">
        <v>8</v>
      </c>
      <c r="I15" s="2"/>
      <c r="M15" s="40"/>
      <c r="N15" s="31"/>
    </row>
    <row r="16" spans="1:26">
      <c r="C16" s="55">
        <v>10</v>
      </c>
      <c r="D16" s="36" t="s">
        <v>22</v>
      </c>
      <c r="E16" s="44" t="s">
        <v>94</v>
      </c>
      <c r="F16" s="45"/>
      <c r="G16" s="1" t="s">
        <v>9</v>
      </c>
      <c r="H16" s="18">
        <v>9</v>
      </c>
      <c r="I16" s="2"/>
      <c r="M16" s="40"/>
      <c r="N16" s="31"/>
    </row>
    <row r="17" spans="2:25">
      <c r="C17" s="55">
        <v>11</v>
      </c>
      <c r="D17" s="36" t="s">
        <v>33</v>
      </c>
      <c r="E17" s="44" t="s">
        <v>94</v>
      </c>
      <c r="F17" s="45"/>
      <c r="G17" s="1" t="s">
        <v>9</v>
      </c>
      <c r="H17" s="18">
        <v>10</v>
      </c>
      <c r="I17" s="2"/>
      <c r="M17" s="40"/>
      <c r="N17" s="31"/>
    </row>
    <row r="18" spans="2:25">
      <c r="B18" s="3"/>
      <c r="C18" s="55">
        <v>12</v>
      </c>
      <c r="D18" s="36" t="s">
        <v>34</v>
      </c>
      <c r="E18" s="44" t="s">
        <v>94</v>
      </c>
      <c r="F18" s="45"/>
      <c r="G18" s="1" t="s">
        <v>9</v>
      </c>
      <c r="H18" s="21">
        <v>11</v>
      </c>
      <c r="I18" s="2"/>
      <c r="M18" s="40"/>
      <c r="N18" s="31"/>
    </row>
    <row r="19" spans="2:25">
      <c r="C19" s="55">
        <v>13</v>
      </c>
      <c r="D19" s="36" t="s">
        <v>35</v>
      </c>
      <c r="E19" s="44" t="s">
        <v>94</v>
      </c>
      <c r="F19" s="45"/>
      <c r="G19" s="1" t="s">
        <v>9</v>
      </c>
    </row>
    <row r="20" spans="2:25">
      <c r="C20" s="55">
        <v>14</v>
      </c>
      <c r="D20" s="36" t="s">
        <v>36</v>
      </c>
      <c r="E20" s="44" t="s">
        <v>94</v>
      </c>
      <c r="F20" s="45"/>
      <c r="G20" s="1" t="s">
        <v>9</v>
      </c>
    </row>
    <row r="21" spans="2:25">
      <c r="B21" s="3"/>
      <c r="C21" s="55">
        <v>15</v>
      </c>
      <c r="D21" s="36" t="s">
        <v>37</v>
      </c>
      <c r="E21" s="44" t="s">
        <v>94</v>
      </c>
      <c r="F21" s="45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55">
        <v>16</v>
      </c>
      <c r="D22" s="36" t="s">
        <v>38</v>
      </c>
      <c r="E22" s="44" t="s">
        <v>94</v>
      </c>
      <c r="F22" s="45"/>
      <c r="G22" s="1" t="s">
        <v>9</v>
      </c>
      <c r="J22" s="63" t="s">
        <v>134</v>
      </c>
      <c r="K22" s="63"/>
      <c r="M22" s="63" t="s">
        <v>98</v>
      </c>
      <c r="N22" s="63"/>
    </row>
    <row r="23" spans="2:25">
      <c r="C23" s="55">
        <v>17</v>
      </c>
      <c r="D23" s="17" t="s">
        <v>39</v>
      </c>
      <c r="E23" s="19" t="s">
        <v>93</v>
      </c>
      <c r="F23" s="39" t="s">
        <v>664</v>
      </c>
      <c r="G23" s="1" t="s">
        <v>9</v>
      </c>
      <c r="H23" s="15" t="s">
        <v>10</v>
      </c>
      <c r="J23" s="23" t="s">
        <v>95</v>
      </c>
      <c r="K23" s="23" t="s">
        <v>12</v>
      </c>
      <c r="M23" s="23" t="s">
        <v>95</v>
      </c>
      <c r="N23" s="23" t="s">
        <v>12</v>
      </c>
    </row>
    <row r="24" spans="2:25">
      <c r="C24" s="55">
        <v>18</v>
      </c>
      <c r="D24" s="17" t="s">
        <v>123</v>
      </c>
      <c r="E24" s="19" t="s">
        <v>93</v>
      </c>
      <c r="F24" s="39" t="s">
        <v>665</v>
      </c>
      <c r="G24" s="1" t="s">
        <v>9</v>
      </c>
      <c r="H24" s="18">
        <v>1</v>
      </c>
      <c r="J24" s="6" t="s">
        <v>96</v>
      </c>
      <c r="K24" s="178">
        <v>-1366076485.10391</v>
      </c>
      <c r="M24" s="6" t="s">
        <v>96</v>
      </c>
      <c r="N24" s="178">
        <v>-509905935.66953182</v>
      </c>
    </row>
    <row r="25" spans="2:25">
      <c r="C25" s="55">
        <v>19</v>
      </c>
      <c r="D25" s="36" t="s">
        <v>40</v>
      </c>
      <c r="E25" s="44" t="s">
        <v>93</v>
      </c>
      <c r="F25" s="45"/>
      <c r="G25" s="1" t="s">
        <v>9</v>
      </c>
      <c r="H25" s="21">
        <v>2</v>
      </c>
      <c r="J25" s="6" t="s">
        <v>97</v>
      </c>
      <c r="K25" s="178">
        <v>1830592484.9111242</v>
      </c>
      <c r="M25" s="6" t="s">
        <v>97</v>
      </c>
      <c r="N25" s="178">
        <v>563259921.29488373</v>
      </c>
    </row>
    <row r="26" spans="2:25">
      <c r="C26" s="55">
        <v>20</v>
      </c>
      <c r="D26" s="36" t="s">
        <v>41</v>
      </c>
      <c r="E26" s="44" t="s">
        <v>93</v>
      </c>
      <c r="F26" s="45"/>
      <c r="G26" s="1" t="s">
        <v>9</v>
      </c>
    </row>
    <row r="27" spans="2:25">
      <c r="C27" s="55">
        <v>21</v>
      </c>
      <c r="D27" s="36" t="s">
        <v>42</v>
      </c>
      <c r="E27" s="44" t="s">
        <v>93</v>
      </c>
      <c r="F27" s="45"/>
      <c r="G27" s="1" t="s">
        <v>9</v>
      </c>
    </row>
    <row r="28" spans="2:25">
      <c r="C28" s="55">
        <v>22</v>
      </c>
      <c r="D28" s="17" t="s">
        <v>1</v>
      </c>
      <c r="E28" s="19" t="s">
        <v>93</v>
      </c>
      <c r="F28" s="39" t="s">
        <v>666</v>
      </c>
      <c r="G28" s="1" t="s">
        <v>9</v>
      </c>
      <c r="H28" s="3" t="s">
        <v>635</v>
      </c>
    </row>
    <row r="29" spans="2:25">
      <c r="C29" s="55">
        <v>23</v>
      </c>
      <c r="D29" s="26" t="s">
        <v>43</v>
      </c>
      <c r="E29" s="67" t="s">
        <v>93</v>
      </c>
      <c r="F29" s="158"/>
      <c r="G29" s="1" t="s">
        <v>9</v>
      </c>
      <c r="H29" s="3" t="s">
        <v>413</v>
      </c>
      <c r="J29" s="3"/>
      <c r="K29" s="3"/>
      <c r="L29" s="3"/>
      <c r="M29" s="3"/>
      <c r="N29" s="3"/>
      <c r="O29" s="3"/>
      <c r="P29" s="3"/>
    </row>
    <row r="30" spans="2:25">
      <c r="C30" s="55">
        <v>24</v>
      </c>
      <c r="D30" s="5" t="s">
        <v>84</v>
      </c>
      <c r="E30" s="19" t="s">
        <v>93</v>
      </c>
      <c r="F30" s="159">
        <v>1.39860003015839E-3</v>
      </c>
      <c r="G30" s="1" t="s">
        <v>9</v>
      </c>
    </row>
    <row r="31" spans="2:25">
      <c r="D31" s="2"/>
      <c r="E31" s="2"/>
      <c r="F31" s="2"/>
    </row>
    <row r="32" spans="2:25">
      <c r="B32" s="42" t="s">
        <v>126</v>
      </c>
      <c r="C32" s="42"/>
      <c r="D32" s="42"/>
      <c r="E32" s="42"/>
      <c r="F32" s="42"/>
      <c r="G32" s="1" t="s">
        <v>9</v>
      </c>
      <c r="H32" s="9" t="s">
        <v>91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2:34">
      <c r="C33" s="13" t="s">
        <v>3</v>
      </c>
      <c r="D33" s="14" t="s">
        <v>8</v>
      </c>
      <c r="E33" s="14" t="s">
        <v>89</v>
      </c>
      <c r="F33" s="14" t="s">
        <v>2</v>
      </c>
      <c r="G33" s="1" t="s">
        <v>9</v>
      </c>
      <c r="J33" s="24" t="s">
        <v>284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2:34">
      <c r="C34" s="56">
        <v>1</v>
      </c>
      <c r="D34" s="38" t="s">
        <v>128</v>
      </c>
      <c r="E34" s="38" t="s">
        <v>83</v>
      </c>
      <c r="F34" s="61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6">
        <v>9</v>
      </c>
      <c r="T34" s="36">
        <v>10</v>
      </c>
      <c r="U34" s="36">
        <v>11</v>
      </c>
      <c r="V34" s="36">
        <v>12</v>
      </c>
      <c r="W34" s="36">
        <v>13</v>
      </c>
      <c r="X34" s="36">
        <v>14</v>
      </c>
      <c r="Y34" s="36">
        <v>15</v>
      </c>
    </row>
    <row r="35" spans="2:34">
      <c r="C35" s="58">
        <v>2</v>
      </c>
      <c r="D35" s="38" t="s">
        <v>269</v>
      </c>
      <c r="E35" s="38" t="s">
        <v>80</v>
      </c>
      <c r="F35" s="61">
        <v>0.05</v>
      </c>
      <c r="H35" s="18">
        <v>1</v>
      </c>
      <c r="J35" s="193" t="s">
        <v>656</v>
      </c>
      <c r="K35" s="28">
        <v>45636</v>
      </c>
      <c r="L35" s="195">
        <v>45636</v>
      </c>
      <c r="M35" s="195">
        <v>45636</v>
      </c>
      <c r="N35" s="195">
        <v>45636</v>
      </c>
      <c r="O35" s="195">
        <v>45636</v>
      </c>
      <c r="P35" s="195">
        <v>45636</v>
      </c>
      <c r="Q35" s="195">
        <v>45636</v>
      </c>
      <c r="R35" s="195">
        <v>45636</v>
      </c>
      <c r="S35" s="195">
        <v>45636</v>
      </c>
      <c r="T35" s="195">
        <v>45636</v>
      </c>
      <c r="U35" s="195">
        <v>45636</v>
      </c>
      <c r="V35" s="195">
        <v>45636</v>
      </c>
      <c r="W35" s="28">
        <v>45636</v>
      </c>
      <c r="X35" s="28">
        <v>45636</v>
      </c>
      <c r="Y35" s="28"/>
    </row>
    <row r="36" spans="2:34">
      <c r="C36" s="58">
        <v>3</v>
      </c>
      <c r="D36" s="38" t="s">
        <v>85</v>
      </c>
      <c r="E36" s="57" t="s">
        <v>273</v>
      </c>
      <c r="F36" s="48">
        <v>1</v>
      </c>
      <c r="H36" s="18">
        <v>2</v>
      </c>
      <c r="J36" s="193" t="s">
        <v>657</v>
      </c>
      <c r="K36" s="28">
        <v>45818</v>
      </c>
      <c r="L36" s="28">
        <v>45818</v>
      </c>
      <c r="M36" s="28">
        <v>45818</v>
      </c>
      <c r="N36" s="28">
        <v>45818</v>
      </c>
      <c r="O36" s="28">
        <v>45818</v>
      </c>
      <c r="P36" s="28">
        <v>45818</v>
      </c>
      <c r="Q36" s="28">
        <v>45818</v>
      </c>
      <c r="R36" s="28">
        <v>45818</v>
      </c>
      <c r="S36" s="28">
        <v>45818</v>
      </c>
      <c r="T36" s="28">
        <v>45818</v>
      </c>
      <c r="U36" s="28">
        <v>45818</v>
      </c>
      <c r="V36" s="28">
        <v>45818</v>
      </c>
      <c r="W36" s="28">
        <v>45818</v>
      </c>
      <c r="X36" s="28">
        <v>45818</v>
      </c>
      <c r="Y36" s="28"/>
    </row>
    <row r="37" spans="2:34">
      <c r="C37" s="56">
        <v>4</v>
      </c>
      <c r="D37" s="38" t="s">
        <v>102</v>
      </c>
      <c r="E37" s="38" t="s">
        <v>86</v>
      </c>
      <c r="F37" s="38" t="s">
        <v>426</v>
      </c>
      <c r="H37" s="18">
        <v>3</v>
      </c>
      <c r="J37" s="193" t="s">
        <v>658</v>
      </c>
      <c r="K37" s="194">
        <v>6000000000</v>
      </c>
      <c r="L37" s="194">
        <v>6000000000</v>
      </c>
      <c r="M37" s="194">
        <v>6000000000</v>
      </c>
      <c r="N37" s="194">
        <v>6000000000</v>
      </c>
      <c r="O37" s="194">
        <v>6000000000</v>
      </c>
      <c r="P37" s="194">
        <v>6000000000</v>
      </c>
      <c r="Q37" s="194">
        <v>6000000000</v>
      </c>
      <c r="R37" s="194">
        <v>6000000000</v>
      </c>
      <c r="S37" s="194">
        <v>6000000000</v>
      </c>
      <c r="T37" s="194">
        <v>6000000000</v>
      </c>
      <c r="U37" s="194">
        <v>6000000000</v>
      </c>
      <c r="V37" s="194">
        <v>6000000000</v>
      </c>
      <c r="W37" s="194">
        <v>6000000000</v>
      </c>
      <c r="X37" s="194">
        <v>6000000000</v>
      </c>
      <c r="Y37" s="194"/>
    </row>
    <row r="38" spans="2:34">
      <c r="C38" s="56">
        <v>5</v>
      </c>
      <c r="D38" s="38" t="s">
        <v>127</v>
      </c>
      <c r="E38" s="59" t="s">
        <v>129</v>
      </c>
      <c r="F38" s="60">
        <v>0.75</v>
      </c>
      <c r="H38" s="18">
        <v>4</v>
      </c>
      <c r="J38" s="193" t="s">
        <v>659</v>
      </c>
      <c r="K38" s="196">
        <v>1.4999999999999999E-2</v>
      </c>
      <c r="L38" s="196">
        <v>1.4999999999999999E-2</v>
      </c>
      <c r="M38" s="196">
        <v>1.4999999999999999E-2</v>
      </c>
      <c r="N38" s="196">
        <v>1.4999999999999999E-2</v>
      </c>
      <c r="O38" s="196">
        <v>1.4999999999999999E-2</v>
      </c>
      <c r="P38" s="196">
        <v>1.4999999999999999E-2</v>
      </c>
      <c r="Q38" s="196">
        <v>1.4999999999999999E-2</v>
      </c>
      <c r="R38" s="196">
        <v>1.4999999999999999E-2</v>
      </c>
      <c r="S38" s="196">
        <v>1.4999999999999999E-2</v>
      </c>
      <c r="T38" s="196">
        <v>1.4999999999999999E-2</v>
      </c>
      <c r="U38" s="196">
        <v>1.4999999999999999E-2</v>
      </c>
      <c r="V38" s="196">
        <v>1.4999999999999999E-2</v>
      </c>
      <c r="W38" s="196">
        <v>1.4999999999999999E-2</v>
      </c>
      <c r="X38" s="196">
        <v>1.4999999999999999E-2</v>
      </c>
      <c r="Y38" s="196"/>
    </row>
    <row r="39" spans="2:34">
      <c r="D39" s="2"/>
      <c r="E39" s="2"/>
      <c r="F39" s="2"/>
      <c r="H39" s="18">
        <v>5</v>
      </c>
      <c r="J39" s="193" t="s">
        <v>660</v>
      </c>
      <c r="K39" s="28">
        <v>45818</v>
      </c>
      <c r="L39" s="28">
        <v>45818</v>
      </c>
      <c r="M39" s="28">
        <v>45818</v>
      </c>
      <c r="N39" s="28">
        <v>45818</v>
      </c>
      <c r="O39" s="28">
        <v>45818</v>
      </c>
      <c r="P39" s="28">
        <v>45818</v>
      </c>
      <c r="Q39" s="28">
        <v>45818</v>
      </c>
      <c r="R39" s="28">
        <v>45818</v>
      </c>
      <c r="S39" s="28">
        <v>45818</v>
      </c>
      <c r="T39" s="28">
        <v>45818</v>
      </c>
      <c r="U39" s="28">
        <v>45818</v>
      </c>
      <c r="V39" s="28">
        <v>45818</v>
      </c>
      <c r="W39" s="28">
        <v>45818</v>
      </c>
      <c r="X39" s="28">
        <v>45818</v>
      </c>
      <c r="Y39" s="28"/>
    </row>
    <row r="40" spans="2:34">
      <c r="B40" s="42" t="s">
        <v>27</v>
      </c>
      <c r="C40" s="42"/>
      <c r="D40" s="42"/>
      <c r="E40" s="42"/>
      <c r="F40" s="42"/>
      <c r="H40" s="18">
        <v>6</v>
      </c>
      <c r="J40" s="193" t="s">
        <v>304</v>
      </c>
      <c r="K40" s="194">
        <v>44861890.860094622</v>
      </c>
      <c r="L40" s="194">
        <v>44861890.860094622</v>
      </c>
      <c r="M40" s="194">
        <v>44861890.860094622</v>
      </c>
      <c r="N40" s="194">
        <v>44861890.860094622</v>
      </c>
      <c r="O40" s="194">
        <v>44861890.860094622</v>
      </c>
      <c r="P40" s="194">
        <v>44861890.860094622</v>
      </c>
      <c r="Q40" s="194">
        <v>44861890.860094622</v>
      </c>
      <c r="R40" s="194">
        <v>44861890.860094622</v>
      </c>
      <c r="S40" s="194">
        <v>44861890.860094622</v>
      </c>
      <c r="T40" s="194">
        <v>44861890.860094622</v>
      </c>
      <c r="U40" s="194">
        <v>44861890.860094622</v>
      </c>
      <c r="V40" s="194">
        <v>44861890.860094622</v>
      </c>
      <c r="W40" s="194">
        <v>44861890.860094622</v>
      </c>
      <c r="X40" s="194">
        <v>44861890.860094622</v>
      </c>
      <c r="Y40" s="194"/>
    </row>
    <row r="41" spans="2:34">
      <c r="C41" s="13" t="s">
        <v>3</v>
      </c>
      <c r="D41" s="14" t="s">
        <v>8</v>
      </c>
      <c r="E41" s="14" t="s">
        <v>89</v>
      </c>
      <c r="F41" s="14" t="s">
        <v>2</v>
      </c>
      <c r="H41" s="21">
        <v>7</v>
      </c>
      <c r="J41" s="193" t="s">
        <v>315</v>
      </c>
      <c r="K41" s="196">
        <v>0.98531952317821814</v>
      </c>
      <c r="L41" s="196">
        <v>0.98531952317821814</v>
      </c>
      <c r="M41" s="196">
        <v>0.98531952317821814</v>
      </c>
      <c r="N41" s="196">
        <v>0.98531952317821814</v>
      </c>
      <c r="O41" s="196">
        <v>0.98531952317821814</v>
      </c>
      <c r="P41" s="196">
        <v>0.98531952317821814</v>
      </c>
      <c r="Q41" s="196">
        <v>0.98531952317821814</v>
      </c>
      <c r="R41" s="196">
        <v>0.98531952317821814</v>
      </c>
      <c r="S41" s="196">
        <v>0.98531952317821814</v>
      </c>
      <c r="T41" s="196">
        <v>0.98531952317821814</v>
      </c>
      <c r="U41" s="196">
        <v>0.98531952317821814</v>
      </c>
      <c r="V41" s="196">
        <v>0.98531952317821814</v>
      </c>
      <c r="W41" s="196">
        <v>0.98531952317821814</v>
      </c>
      <c r="X41" s="196">
        <v>0.98531952317821814</v>
      </c>
      <c r="Y41" s="196"/>
    </row>
    <row r="42" spans="2:34">
      <c r="C42" s="16">
        <v>1</v>
      </c>
      <c r="D42" s="17" t="s">
        <v>45</v>
      </c>
      <c r="E42" s="17" t="s">
        <v>81</v>
      </c>
      <c r="F42" s="30" t="s">
        <v>636</v>
      </c>
    </row>
    <row r="43" spans="2:34">
      <c r="C43" s="16">
        <v>2</v>
      </c>
      <c r="D43" s="17" t="s">
        <v>24</v>
      </c>
      <c r="E43" s="17" t="s">
        <v>26</v>
      </c>
      <c r="F43" s="30" t="s">
        <v>638</v>
      </c>
    </row>
    <row r="44" spans="2:34">
      <c r="C44" s="16">
        <v>3</v>
      </c>
      <c r="D44" s="17" t="s">
        <v>270</v>
      </c>
      <c r="E44" s="17" t="s">
        <v>0</v>
      </c>
      <c r="F44" s="30" t="s">
        <v>640</v>
      </c>
      <c r="H44" s="15" t="s">
        <v>10</v>
      </c>
      <c r="J44" s="23" t="s">
        <v>10</v>
      </c>
      <c r="K44" s="6">
        <f>K34+15</f>
        <v>16</v>
      </c>
      <c r="L44" s="6">
        <f t="shared" ref="L44:Q44" si="0">L34+15</f>
        <v>17</v>
      </c>
      <c r="M44" s="6">
        <f t="shared" si="0"/>
        <v>18</v>
      </c>
      <c r="N44" s="6">
        <f t="shared" si="0"/>
        <v>19</v>
      </c>
      <c r="O44" s="6">
        <f t="shared" si="0"/>
        <v>20</v>
      </c>
      <c r="P44" s="6">
        <f t="shared" si="0"/>
        <v>21</v>
      </c>
      <c r="Q44" s="6">
        <f t="shared" si="0"/>
        <v>22</v>
      </c>
      <c r="R44" s="6">
        <f t="shared" ref="R44:Y44" si="1">R34+15</f>
        <v>23</v>
      </c>
      <c r="S44" s="6">
        <f t="shared" si="1"/>
        <v>24</v>
      </c>
      <c r="T44" s="6">
        <f t="shared" si="1"/>
        <v>25</v>
      </c>
      <c r="U44" s="6">
        <f t="shared" si="1"/>
        <v>26</v>
      </c>
      <c r="V44" s="6">
        <f t="shared" si="1"/>
        <v>27</v>
      </c>
      <c r="W44" s="6">
        <f t="shared" si="1"/>
        <v>28</v>
      </c>
      <c r="X44" s="6">
        <f t="shared" si="1"/>
        <v>29</v>
      </c>
      <c r="Y44" s="6">
        <f t="shared" si="1"/>
        <v>30</v>
      </c>
    </row>
    <row r="45" spans="2:34">
      <c r="C45" s="16">
        <v>4</v>
      </c>
      <c r="D45" s="17" t="s">
        <v>25</v>
      </c>
      <c r="E45" s="17" t="s">
        <v>60</v>
      </c>
      <c r="F45" s="30" t="s">
        <v>274</v>
      </c>
      <c r="H45" s="18">
        <v>1</v>
      </c>
      <c r="J45" s="193" t="s">
        <v>656</v>
      </c>
      <c r="K45" s="28"/>
      <c r="L45" s="195"/>
      <c r="M45" s="195"/>
      <c r="N45" s="195"/>
      <c r="O45" s="195"/>
      <c r="P45" s="195"/>
      <c r="Q45" s="195"/>
      <c r="R45" s="195"/>
      <c r="S45" s="195"/>
      <c r="T45" s="195"/>
      <c r="U45" s="195"/>
      <c r="V45" s="195"/>
      <c r="W45" s="28"/>
      <c r="X45" s="28"/>
      <c r="Y45" s="28"/>
    </row>
    <row r="46" spans="2:34">
      <c r="C46" s="16">
        <v>5</v>
      </c>
      <c r="D46" s="17" t="s">
        <v>51</v>
      </c>
      <c r="E46" s="17" t="s">
        <v>28</v>
      </c>
      <c r="F46" s="30">
        <v>1.4999999999999999E-2</v>
      </c>
      <c r="H46" s="18">
        <v>2</v>
      </c>
      <c r="J46" s="193" t="s">
        <v>657</v>
      </c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</row>
    <row r="47" spans="2:34">
      <c r="C47" s="16">
        <v>6</v>
      </c>
      <c r="D47" s="17" t="s">
        <v>88</v>
      </c>
      <c r="E47" s="17" t="s">
        <v>61</v>
      </c>
      <c r="F47" s="30" t="s">
        <v>275</v>
      </c>
      <c r="H47" s="18">
        <v>3</v>
      </c>
      <c r="J47" s="193" t="s">
        <v>658</v>
      </c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</row>
    <row r="48" spans="2:34">
      <c r="C48" s="16">
        <v>7</v>
      </c>
      <c r="D48" s="17" t="s">
        <v>154</v>
      </c>
      <c r="E48" s="41" t="s">
        <v>152</v>
      </c>
      <c r="F48" s="30" t="s">
        <v>276</v>
      </c>
      <c r="H48" s="18">
        <v>4</v>
      </c>
      <c r="J48" s="193" t="s">
        <v>659</v>
      </c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  <c r="Y48" s="196"/>
      <c r="AH48" s="180"/>
    </row>
    <row r="49" spans="3:34">
      <c r="C49" s="16">
        <v>8</v>
      </c>
      <c r="D49" s="17" t="s">
        <v>46</v>
      </c>
      <c r="E49" s="41" t="s">
        <v>153</v>
      </c>
      <c r="F49" s="30" t="s">
        <v>277</v>
      </c>
      <c r="H49" s="18">
        <v>5</v>
      </c>
      <c r="J49" s="193" t="s">
        <v>660</v>
      </c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AH49" s="180"/>
    </row>
    <row r="50" spans="3:34">
      <c r="C50" s="16">
        <v>9</v>
      </c>
      <c r="D50" s="17" t="s">
        <v>155</v>
      </c>
      <c r="E50" s="41" t="s">
        <v>156</v>
      </c>
      <c r="F50" s="30" t="s">
        <v>276</v>
      </c>
      <c r="H50" s="18">
        <v>6</v>
      </c>
      <c r="J50" s="193" t="s">
        <v>304</v>
      </c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  <c r="Y50" s="196"/>
      <c r="AH50" s="180"/>
    </row>
    <row r="51" spans="3:34">
      <c r="C51" s="16">
        <v>10</v>
      </c>
      <c r="D51" s="17" t="s">
        <v>157</v>
      </c>
      <c r="E51" s="17" t="s">
        <v>158</v>
      </c>
      <c r="F51" s="30" t="s">
        <v>276</v>
      </c>
      <c r="H51" s="21">
        <v>7</v>
      </c>
      <c r="J51" s="193" t="s">
        <v>315</v>
      </c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  <c r="Y51" s="196"/>
      <c r="AH51" s="180"/>
    </row>
    <row r="52" spans="3:34">
      <c r="C52" s="16">
        <v>11</v>
      </c>
      <c r="D52" s="17" t="s">
        <v>159</v>
      </c>
      <c r="E52" s="17" t="s">
        <v>121</v>
      </c>
      <c r="F52" s="30" t="s">
        <v>276</v>
      </c>
      <c r="K52" s="179"/>
      <c r="N52" s="179"/>
      <c r="O52" s="179"/>
      <c r="P52" s="179"/>
      <c r="Q52" s="179"/>
      <c r="AH52" s="180"/>
    </row>
    <row r="53" spans="3:34">
      <c r="C53" s="16">
        <v>12</v>
      </c>
      <c r="D53" s="17" t="s">
        <v>47</v>
      </c>
      <c r="E53" s="27" t="s">
        <v>76</v>
      </c>
      <c r="F53" s="30">
        <v>12</v>
      </c>
      <c r="K53" s="179"/>
      <c r="L53" s="179"/>
      <c r="M53" s="179"/>
      <c r="N53" s="179"/>
      <c r="O53" s="179"/>
      <c r="P53" s="179"/>
      <c r="Q53" s="179"/>
      <c r="AH53" s="180"/>
    </row>
    <row r="54" spans="3:34">
      <c r="C54" s="16">
        <v>13</v>
      </c>
      <c r="D54" s="17" t="s">
        <v>48</v>
      </c>
      <c r="E54" s="27" t="s">
        <v>77</v>
      </c>
      <c r="F54" s="30" t="s">
        <v>654</v>
      </c>
      <c r="G54" s="1" t="s">
        <v>427</v>
      </c>
      <c r="H54" s="15" t="s">
        <v>10</v>
      </c>
      <c r="J54" s="23" t="s">
        <v>10</v>
      </c>
      <c r="K54" s="6">
        <f>K44+15</f>
        <v>31</v>
      </c>
      <c r="L54" s="6">
        <f t="shared" ref="L54:X54" si="2">L44+15</f>
        <v>32</v>
      </c>
      <c r="M54" s="6">
        <f t="shared" si="2"/>
        <v>33</v>
      </c>
      <c r="N54" s="6">
        <f t="shared" si="2"/>
        <v>34</v>
      </c>
      <c r="O54" s="6">
        <f t="shared" si="2"/>
        <v>35</v>
      </c>
      <c r="P54" s="6">
        <f t="shared" si="2"/>
        <v>36</v>
      </c>
      <c r="Q54" s="6">
        <f t="shared" si="2"/>
        <v>37</v>
      </c>
      <c r="R54" s="6">
        <f t="shared" si="2"/>
        <v>38</v>
      </c>
      <c r="S54" s="6">
        <f t="shared" si="2"/>
        <v>39</v>
      </c>
      <c r="T54" s="6">
        <f t="shared" si="2"/>
        <v>40</v>
      </c>
      <c r="U54" s="6">
        <f t="shared" si="2"/>
        <v>41</v>
      </c>
      <c r="V54" s="6">
        <f t="shared" si="2"/>
        <v>42</v>
      </c>
      <c r="W54" s="6">
        <f t="shared" si="2"/>
        <v>43</v>
      </c>
      <c r="X54" s="6">
        <f t="shared" si="2"/>
        <v>44</v>
      </c>
      <c r="Y54" s="6">
        <f t="shared" ref="Y54" si="3">Y44+15</f>
        <v>45</v>
      </c>
      <c r="AH54" s="180"/>
    </row>
    <row r="55" spans="3:34">
      <c r="C55" s="16">
        <v>14</v>
      </c>
      <c r="D55" s="17" t="s">
        <v>49</v>
      </c>
      <c r="E55" s="27" t="s">
        <v>78</v>
      </c>
      <c r="F55" s="30" t="s">
        <v>655</v>
      </c>
      <c r="G55" s="1" t="s">
        <v>427</v>
      </c>
      <c r="H55" s="18">
        <v>1</v>
      </c>
      <c r="J55" s="193" t="s">
        <v>656</v>
      </c>
      <c r="K55" s="28"/>
      <c r="L55" s="195"/>
      <c r="M55" s="195"/>
      <c r="N55" s="195"/>
      <c r="O55" s="195"/>
      <c r="P55" s="195"/>
      <c r="Q55" s="195"/>
      <c r="R55" s="195"/>
      <c r="S55" s="195"/>
      <c r="T55" s="195"/>
      <c r="U55" s="195"/>
      <c r="V55" s="195"/>
      <c r="W55" s="28"/>
      <c r="X55" s="28"/>
      <c r="Y55" s="28"/>
      <c r="AH55" s="180"/>
    </row>
    <row r="56" spans="3:34">
      <c r="C56" s="16">
        <v>15</v>
      </c>
      <c r="D56" s="17" t="s">
        <v>50</v>
      </c>
      <c r="E56" s="27" t="s">
        <v>79</v>
      </c>
      <c r="F56" s="30" t="s">
        <v>654</v>
      </c>
      <c r="G56" s="1" t="s">
        <v>427</v>
      </c>
      <c r="H56" s="18">
        <v>2</v>
      </c>
      <c r="J56" s="193" t="s">
        <v>657</v>
      </c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AH56" s="180"/>
    </row>
    <row r="57" spans="3:34">
      <c r="C57" s="16">
        <v>16</v>
      </c>
      <c r="D57" s="17" t="s">
        <v>52</v>
      </c>
      <c r="E57" s="27" t="s">
        <v>162</v>
      </c>
      <c r="F57" s="30">
        <v>10</v>
      </c>
      <c r="G57" s="1" t="s">
        <v>427</v>
      </c>
      <c r="H57" s="18">
        <v>3</v>
      </c>
      <c r="J57" s="193" t="s">
        <v>658</v>
      </c>
      <c r="K57" s="194"/>
      <c r="L57" s="194"/>
      <c r="M57" s="194"/>
      <c r="N57" s="194"/>
      <c r="O57" s="194"/>
      <c r="P57" s="194"/>
      <c r="Q57" s="194"/>
      <c r="R57" s="194"/>
      <c r="S57" s="194"/>
      <c r="T57" s="194"/>
      <c r="U57" s="194"/>
      <c r="V57" s="194"/>
      <c r="W57" s="194"/>
      <c r="X57" s="194"/>
      <c r="Y57" s="194"/>
      <c r="AH57" s="180"/>
    </row>
    <row r="58" spans="3:34">
      <c r="C58" s="16">
        <v>17</v>
      </c>
      <c r="D58" s="17" t="s">
        <v>53</v>
      </c>
      <c r="E58" s="27" t="s">
        <v>163</v>
      </c>
      <c r="F58" s="30" t="s">
        <v>278</v>
      </c>
      <c r="G58" s="1" t="s">
        <v>427</v>
      </c>
      <c r="H58" s="18">
        <v>4</v>
      </c>
      <c r="J58" s="193" t="s">
        <v>659</v>
      </c>
      <c r="K58" s="196"/>
      <c r="L58" s="196"/>
      <c r="M58" s="196"/>
      <c r="N58" s="196"/>
      <c r="O58" s="196"/>
      <c r="P58" s="196"/>
      <c r="Q58" s="196"/>
      <c r="R58" s="196"/>
      <c r="S58" s="196"/>
      <c r="T58" s="196"/>
      <c r="U58" s="196"/>
      <c r="V58" s="196"/>
      <c r="W58" s="196"/>
      <c r="X58" s="196"/>
      <c r="Y58" s="196"/>
      <c r="AH58" s="180"/>
    </row>
    <row r="59" spans="3:34">
      <c r="C59" s="16">
        <v>18</v>
      </c>
      <c r="D59" s="17" t="s">
        <v>54</v>
      </c>
      <c r="E59" s="27" t="s">
        <v>164</v>
      </c>
      <c r="F59" s="30" t="s">
        <v>279</v>
      </c>
      <c r="G59" s="1" t="s">
        <v>427</v>
      </c>
      <c r="H59" s="18">
        <v>5</v>
      </c>
      <c r="J59" s="193" t="s">
        <v>660</v>
      </c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AH59" s="180"/>
    </row>
    <row r="60" spans="3:34">
      <c r="C60" s="16">
        <v>19</v>
      </c>
      <c r="D60" s="17" t="s">
        <v>161</v>
      </c>
      <c r="E60" s="27" t="s">
        <v>268</v>
      </c>
      <c r="F60" s="30" t="s">
        <v>280</v>
      </c>
      <c r="G60" s="1" t="s">
        <v>427</v>
      </c>
      <c r="H60" s="18">
        <v>6</v>
      </c>
      <c r="J60" s="193" t="s">
        <v>304</v>
      </c>
      <c r="K60" s="196"/>
      <c r="L60" s="196"/>
      <c r="M60" s="196"/>
      <c r="N60" s="196"/>
      <c r="O60" s="196"/>
      <c r="P60" s="196"/>
      <c r="Q60" s="196"/>
      <c r="R60" s="196"/>
      <c r="S60" s="196"/>
      <c r="T60" s="196"/>
      <c r="U60" s="196"/>
      <c r="V60" s="196"/>
      <c r="W60" s="196"/>
      <c r="X60" s="196"/>
      <c r="Y60" s="196"/>
      <c r="AH60" s="180"/>
    </row>
    <row r="61" spans="3:34">
      <c r="C61" s="16">
        <v>20</v>
      </c>
      <c r="D61" s="17" t="s">
        <v>122</v>
      </c>
      <c r="E61" s="17" t="s">
        <v>84</v>
      </c>
      <c r="F61" s="30">
        <v>1.3889799999999999E-3</v>
      </c>
      <c r="H61" s="21">
        <v>7</v>
      </c>
      <c r="J61" s="193" t="s">
        <v>315</v>
      </c>
      <c r="K61" s="196"/>
      <c r="L61" s="196"/>
      <c r="M61" s="196"/>
      <c r="N61" s="196"/>
      <c r="O61" s="196"/>
      <c r="P61" s="196"/>
      <c r="Q61" s="196"/>
      <c r="R61" s="196"/>
      <c r="S61" s="196"/>
      <c r="T61" s="196"/>
      <c r="U61" s="196"/>
      <c r="V61" s="196"/>
      <c r="W61" s="196"/>
      <c r="X61" s="196"/>
      <c r="Y61" s="196"/>
      <c r="AH61" s="180"/>
    </row>
    <row r="62" spans="3:34">
      <c r="C62" s="16">
        <v>21</v>
      </c>
      <c r="D62" s="17" t="s">
        <v>55</v>
      </c>
      <c r="E62" s="27" t="s">
        <v>165</v>
      </c>
      <c r="F62" s="30">
        <v>5</v>
      </c>
      <c r="O62" s="179"/>
      <c r="P62" s="179"/>
      <c r="Q62" s="179"/>
      <c r="AH62" s="180"/>
    </row>
    <row r="63" spans="3:34">
      <c r="C63" s="16">
        <v>22</v>
      </c>
      <c r="D63" s="17" t="s">
        <v>56</v>
      </c>
      <c r="E63" s="27" t="s">
        <v>166</v>
      </c>
      <c r="F63" s="30" t="s">
        <v>281</v>
      </c>
      <c r="O63" s="179"/>
      <c r="P63" s="179"/>
      <c r="Q63" s="179"/>
      <c r="AH63" s="180"/>
    </row>
    <row r="64" spans="3:34">
      <c r="C64" s="16">
        <v>23</v>
      </c>
      <c r="D64" s="17" t="s">
        <v>57</v>
      </c>
      <c r="E64" s="27" t="s">
        <v>167</v>
      </c>
      <c r="F64" s="30" t="s">
        <v>282</v>
      </c>
      <c r="H64" s="15" t="s">
        <v>10</v>
      </c>
      <c r="J64" s="23" t="s">
        <v>10</v>
      </c>
      <c r="K64" s="6">
        <f>K54+15</f>
        <v>46</v>
      </c>
      <c r="L64" s="6">
        <f t="shared" ref="L64:X64" si="4">L54+15</f>
        <v>47</v>
      </c>
      <c r="M64" s="6">
        <f t="shared" si="4"/>
        <v>48</v>
      </c>
      <c r="N64" s="6">
        <f t="shared" si="4"/>
        <v>49</v>
      </c>
      <c r="O64" s="6">
        <f t="shared" si="4"/>
        <v>50</v>
      </c>
      <c r="P64" s="6">
        <f t="shared" si="4"/>
        <v>51</v>
      </c>
      <c r="Q64" s="6">
        <f t="shared" si="4"/>
        <v>52</v>
      </c>
      <c r="R64" s="6">
        <f t="shared" si="4"/>
        <v>53</v>
      </c>
      <c r="S64" s="6">
        <f t="shared" si="4"/>
        <v>54</v>
      </c>
      <c r="T64" s="6">
        <f t="shared" si="4"/>
        <v>55</v>
      </c>
      <c r="U64" s="6">
        <f t="shared" si="4"/>
        <v>56</v>
      </c>
      <c r="V64" s="6">
        <f t="shared" si="4"/>
        <v>57</v>
      </c>
      <c r="W64" s="6">
        <f t="shared" si="4"/>
        <v>58</v>
      </c>
      <c r="X64" s="6">
        <f t="shared" si="4"/>
        <v>59</v>
      </c>
      <c r="Y64" s="6">
        <f t="shared" ref="Y64" si="5">Y54+15</f>
        <v>60</v>
      </c>
      <c r="AH64" s="180"/>
    </row>
    <row r="65" spans="3:34">
      <c r="C65" s="16">
        <v>24</v>
      </c>
      <c r="D65" s="17" t="s">
        <v>29</v>
      </c>
      <c r="E65" s="17" t="s">
        <v>62</v>
      </c>
      <c r="F65" s="30" t="s">
        <v>283</v>
      </c>
      <c r="H65" s="18">
        <v>1</v>
      </c>
      <c r="J65" s="193" t="s">
        <v>656</v>
      </c>
      <c r="K65" s="28"/>
      <c r="L65" s="195"/>
      <c r="M65" s="195"/>
      <c r="N65" s="195"/>
      <c r="O65" s="195"/>
      <c r="P65" s="195"/>
      <c r="Q65" s="195"/>
      <c r="R65" s="195"/>
      <c r="S65" s="195"/>
      <c r="T65" s="195"/>
      <c r="U65" s="195"/>
      <c r="V65" s="195"/>
      <c r="W65" s="28"/>
      <c r="X65" s="28"/>
      <c r="Y65" s="28"/>
      <c r="AH65" s="180"/>
    </row>
    <row r="66" spans="3:34">
      <c r="C66" s="16">
        <v>25</v>
      </c>
      <c r="D66" s="17" t="s">
        <v>120</v>
      </c>
      <c r="E66" s="17" t="s">
        <v>80</v>
      </c>
      <c r="F66" s="30">
        <v>1.7000000000000001E-2</v>
      </c>
      <c r="H66" s="18">
        <v>2</v>
      </c>
      <c r="J66" s="193" t="s">
        <v>657</v>
      </c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AH66" s="180"/>
    </row>
    <row r="67" spans="3:34">
      <c r="C67" s="16">
        <v>26</v>
      </c>
      <c r="D67" s="17" t="s">
        <v>82</v>
      </c>
      <c r="E67" s="17" t="s">
        <v>83</v>
      </c>
      <c r="F67" s="40">
        <v>0.05</v>
      </c>
      <c r="H67" s="18">
        <v>3</v>
      </c>
      <c r="J67" s="193" t="s">
        <v>658</v>
      </c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AH67" s="180"/>
    </row>
    <row r="68" spans="3:34">
      <c r="C68" s="16">
        <v>27</v>
      </c>
      <c r="D68" s="17" t="s">
        <v>58</v>
      </c>
      <c r="E68" s="17" t="s">
        <v>63</v>
      </c>
      <c r="F68" s="30">
        <v>9</v>
      </c>
      <c r="H68" s="18">
        <v>4</v>
      </c>
      <c r="J68" s="193" t="s">
        <v>659</v>
      </c>
      <c r="K68" s="196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AH68" s="180"/>
    </row>
    <row r="69" spans="3:34">
      <c r="C69" s="16">
        <v>28</v>
      </c>
      <c r="D69" s="17" t="s">
        <v>59</v>
      </c>
      <c r="E69" s="17" t="s">
        <v>64</v>
      </c>
      <c r="F69" s="30">
        <v>1</v>
      </c>
      <c r="H69" s="18">
        <v>5</v>
      </c>
      <c r="J69" s="193" t="s">
        <v>660</v>
      </c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AH69" s="180"/>
    </row>
    <row r="70" spans="3:34">
      <c r="H70" s="18">
        <v>6</v>
      </c>
      <c r="J70" s="193" t="s">
        <v>304</v>
      </c>
      <c r="K70" s="196"/>
      <c r="L70" s="196"/>
      <c r="M70" s="196"/>
      <c r="N70" s="196"/>
      <c r="O70" s="196"/>
      <c r="P70" s="196"/>
      <c r="Q70" s="196"/>
      <c r="R70" s="196"/>
      <c r="S70" s="196"/>
      <c r="T70" s="196"/>
      <c r="U70" s="196"/>
      <c r="V70" s="196"/>
      <c r="W70" s="196"/>
      <c r="X70" s="196"/>
      <c r="Y70" s="196"/>
      <c r="AH70" s="180"/>
    </row>
    <row r="71" spans="3:34">
      <c r="H71" s="21">
        <v>7</v>
      </c>
      <c r="J71" s="193" t="s">
        <v>315</v>
      </c>
      <c r="K71" s="196"/>
      <c r="L71" s="196"/>
      <c r="M71" s="196"/>
      <c r="N71" s="196"/>
      <c r="O71" s="196"/>
      <c r="P71" s="196"/>
      <c r="Q71" s="196"/>
      <c r="R71" s="196"/>
      <c r="S71" s="196"/>
      <c r="T71" s="196"/>
      <c r="U71" s="196"/>
      <c r="V71" s="196"/>
      <c r="W71" s="196"/>
      <c r="X71" s="196"/>
      <c r="Y71" s="196"/>
      <c r="AH71" s="180"/>
    </row>
    <row r="72" spans="3:34">
      <c r="O72" s="179"/>
      <c r="P72" s="179"/>
      <c r="Q72" s="179"/>
      <c r="AH72" s="180"/>
    </row>
    <row r="73" spans="3:34">
      <c r="O73" s="179"/>
      <c r="P73" s="179"/>
      <c r="Q73" s="179"/>
      <c r="AH73" s="180"/>
    </row>
    <row r="74" spans="3:34">
      <c r="K74" s="181"/>
      <c r="L74" s="181"/>
      <c r="M74" s="181"/>
      <c r="N74" s="181"/>
      <c r="O74" s="179"/>
      <c r="P74" s="179"/>
      <c r="Q74" s="179"/>
      <c r="AH74" s="180"/>
    </row>
    <row r="75" spans="3:34">
      <c r="O75" s="179"/>
      <c r="P75" s="179"/>
      <c r="Q75" s="179"/>
      <c r="AH75" s="180"/>
    </row>
    <row r="76" spans="3:34">
      <c r="K76" s="180"/>
      <c r="L76" s="180"/>
      <c r="M76" s="180"/>
      <c r="N76" s="180"/>
      <c r="O76" s="179"/>
      <c r="P76" s="179"/>
      <c r="Q76" s="179"/>
      <c r="AH76" s="180"/>
    </row>
    <row r="77" spans="3:34">
      <c r="E77" s="1"/>
      <c r="O77" s="179"/>
      <c r="P77" s="179"/>
      <c r="Q77" s="179"/>
      <c r="AH77" s="180"/>
    </row>
    <row r="78" spans="3:34">
      <c r="D78" s="1" t="s">
        <v>428</v>
      </c>
      <c r="K78" s="179"/>
      <c r="N78" s="179"/>
      <c r="O78" s="179"/>
      <c r="P78" s="179"/>
      <c r="Q78" s="179"/>
      <c r="AH78" s="180"/>
    </row>
    <row r="79" spans="3:34">
      <c r="D79" s="1" t="s">
        <v>429</v>
      </c>
      <c r="K79" s="179"/>
      <c r="N79" s="179"/>
      <c r="O79" s="179"/>
      <c r="P79" s="179"/>
      <c r="Q79" s="179"/>
      <c r="AH79" s="180"/>
    </row>
    <row r="80" spans="3:34">
      <c r="D80" s="1" t="s">
        <v>430</v>
      </c>
      <c r="K80" s="179"/>
      <c r="N80" s="179"/>
      <c r="O80" s="179"/>
      <c r="P80" s="179"/>
      <c r="Q80" s="179"/>
      <c r="AH80" s="180"/>
    </row>
    <row r="81" spans="3:34">
      <c r="C81" s="1"/>
      <c r="D81" s="1" t="s">
        <v>431</v>
      </c>
      <c r="E81" s="1"/>
      <c r="F81" s="1"/>
      <c r="K81" s="179"/>
      <c r="N81" s="179"/>
      <c r="O81" s="179"/>
      <c r="P81" s="179"/>
      <c r="Q81" s="179"/>
      <c r="AH81" s="180"/>
    </row>
    <row r="82" spans="3:34">
      <c r="C82" s="1"/>
      <c r="D82" s="1" t="s">
        <v>432</v>
      </c>
      <c r="E82" s="1"/>
      <c r="F82" s="1"/>
      <c r="K82" s="179"/>
      <c r="N82" s="179"/>
      <c r="O82" s="179"/>
      <c r="P82" s="179"/>
      <c r="Q82" s="179"/>
      <c r="AH82" s="180"/>
    </row>
    <row r="83" spans="3:34">
      <c r="C83" s="1"/>
      <c r="D83" s="3" t="s">
        <v>433</v>
      </c>
      <c r="E83" s="1"/>
      <c r="F83" s="1"/>
      <c r="K83" s="179"/>
      <c r="N83" s="179"/>
      <c r="O83" s="179"/>
      <c r="P83" s="179"/>
      <c r="Q83" s="179"/>
      <c r="AH83" s="180"/>
    </row>
    <row r="84" spans="3:34" ht="13.5" customHeight="1">
      <c r="C84" s="1"/>
      <c r="D84" s="3" t="s">
        <v>434</v>
      </c>
      <c r="E84" s="1"/>
      <c r="F84" s="1"/>
      <c r="K84" s="179"/>
      <c r="N84" s="179"/>
      <c r="O84" s="179"/>
      <c r="P84" s="179"/>
      <c r="Q84" s="179"/>
      <c r="AH84" s="180"/>
    </row>
    <row r="85" spans="3:34">
      <c r="C85" s="1"/>
      <c r="D85" s="1" t="s">
        <v>435</v>
      </c>
      <c r="E85" s="1"/>
      <c r="F85" s="1"/>
      <c r="K85" s="179"/>
      <c r="N85" s="179"/>
      <c r="O85" s="179"/>
      <c r="P85" s="179"/>
      <c r="Q85" s="179"/>
      <c r="AH85" s="180"/>
    </row>
    <row r="86" spans="3:34">
      <c r="C86" s="1"/>
      <c r="D86" s="1" t="s">
        <v>436</v>
      </c>
      <c r="E86" s="1"/>
      <c r="F86" s="1"/>
      <c r="K86" s="179"/>
      <c r="N86" s="179"/>
      <c r="O86" s="179"/>
      <c r="P86" s="179"/>
      <c r="Q86" s="179"/>
      <c r="AH86" s="180"/>
    </row>
    <row r="87" spans="3:34">
      <c r="C87" s="1"/>
      <c r="D87" s="1" t="s">
        <v>437</v>
      </c>
      <c r="E87" s="1"/>
      <c r="F87" s="1"/>
      <c r="K87" s="179"/>
      <c r="N87" s="179"/>
      <c r="O87" s="179"/>
      <c r="P87" s="179"/>
      <c r="Q87" s="179"/>
      <c r="AH87" s="180"/>
    </row>
    <row r="88" spans="3:34">
      <c r="C88" s="1"/>
      <c r="D88" s="1" t="s">
        <v>438</v>
      </c>
      <c r="E88" s="1"/>
      <c r="F88" s="1"/>
      <c r="K88" s="179"/>
      <c r="N88" s="179"/>
      <c r="O88" s="179"/>
      <c r="P88" s="179"/>
      <c r="Q88" s="179"/>
      <c r="AH88" s="180"/>
    </row>
    <row r="89" spans="3:34">
      <c r="C89" s="1"/>
      <c r="D89" s="1" t="s">
        <v>439</v>
      </c>
      <c r="E89" s="1"/>
      <c r="F89" s="1"/>
      <c r="K89" s="179"/>
      <c r="N89" s="179"/>
      <c r="O89" s="179"/>
      <c r="P89" s="179"/>
      <c r="Q89" s="179"/>
      <c r="AH89" s="180"/>
    </row>
    <row r="90" spans="3:34">
      <c r="C90" s="1"/>
      <c r="D90" s="1" t="s">
        <v>440</v>
      </c>
      <c r="E90" s="1"/>
      <c r="F90" s="1"/>
      <c r="K90" s="179"/>
      <c r="N90" s="179"/>
      <c r="O90" s="179"/>
      <c r="P90" s="179"/>
      <c r="Q90" s="179"/>
      <c r="AH90" s="180"/>
    </row>
    <row r="91" spans="3:34">
      <c r="D91" s="1" t="s">
        <v>441</v>
      </c>
      <c r="K91" s="179"/>
      <c r="N91" s="179"/>
      <c r="O91" s="179"/>
      <c r="P91" s="179"/>
      <c r="Q91" s="179"/>
      <c r="AH91" s="180"/>
    </row>
    <row r="92" spans="3:34">
      <c r="D92" s="1" t="s">
        <v>442</v>
      </c>
      <c r="K92" s="179"/>
      <c r="N92" s="179"/>
      <c r="O92" s="179"/>
      <c r="P92" s="179"/>
      <c r="Q92" s="179"/>
      <c r="AH92" s="180"/>
    </row>
    <row r="93" spans="3:34">
      <c r="D93" s="1" t="s">
        <v>443</v>
      </c>
      <c r="K93" s="179"/>
      <c r="N93" s="179"/>
      <c r="O93" s="179"/>
      <c r="P93" s="179"/>
      <c r="Q93" s="179"/>
      <c r="AH93" s="180"/>
    </row>
    <row r="94" spans="3:34">
      <c r="D94" s="1" t="s">
        <v>444</v>
      </c>
      <c r="K94" s="179"/>
      <c r="N94" s="179"/>
      <c r="O94" s="179"/>
      <c r="P94" s="179"/>
      <c r="Q94" s="179"/>
      <c r="AH94" s="180"/>
    </row>
    <row r="95" spans="3:34">
      <c r="D95" s="1" t="s">
        <v>445</v>
      </c>
      <c r="K95" s="179"/>
      <c r="N95" s="179"/>
      <c r="O95" s="179"/>
      <c r="P95" s="179"/>
      <c r="Q95" s="179"/>
      <c r="AH95" s="180"/>
    </row>
    <row r="96" spans="3:34">
      <c r="D96" s="1" t="s">
        <v>446</v>
      </c>
      <c r="K96" s="179"/>
      <c r="N96" s="179"/>
      <c r="O96" s="179"/>
      <c r="P96" s="179"/>
      <c r="Q96" s="179"/>
      <c r="AH96" s="180"/>
    </row>
    <row r="97" spans="4:34">
      <c r="D97" s="1" t="s">
        <v>447</v>
      </c>
      <c r="K97" s="179"/>
      <c r="N97" s="179"/>
      <c r="O97" s="179"/>
      <c r="P97" s="179"/>
      <c r="Q97" s="179"/>
      <c r="AH97" s="180"/>
    </row>
    <row r="98" spans="4:34">
      <c r="D98" s="1" t="s">
        <v>448</v>
      </c>
      <c r="K98" s="179"/>
      <c r="N98" s="179"/>
      <c r="O98" s="179"/>
      <c r="P98" s="179"/>
      <c r="Q98" s="179"/>
      <c r="AH98" s="180"/>
    </row>
    <row r="99" spans="4:34">
      <c r="D99" s="1" t="s">
        <v>449</v>
      </c>
      <c r="K99" s="179"/>
      <c r="N99" s="179"/>
      <c r="O99" s="179"/>
      <c r="P99" s="179"/>
      <c r="Q99" s="179"/>
      <c r="AH99" s="180"/>
    </row>
    <row r="100" spans="4:34">
      <c r="D100" s="1" t="s">
        <v>450</v>
      </c>
      <c r="K100" s="179"/>
      <c r="N100" s="179"/>
      <c r="O100" s="179"/>
      <c r="P100" s="179"/>
      <c r="Q100" s="179"/>
      <c r="AH100" s="180"/>
    </row>
    <row r="101" spans="4:34">
      <c r="D101" s="3" t="s">
        <v>451</v>
      </c>
      <c r="K101" s="179"/>
      <c r="N101" s="179"/>
      <c r="O101" s="179"/>
      <c r="P101" s="179"/>
      <c r="Q101" s="179"/>
      <c r="AH101" s="180"/>
    </row>
    <row r="102" spans="4:34">
      <c r="K102" s="179"/>
      <c r="N102" s="179"/>
      <c r="O102" s="179"/>
      <c r="P102" s="179"/>
      <c r="Q102" s="179"/>
      <c r="AH102" s="180"/>
    </row>
    <row r="103" spans="4:34">
      <c r="K103" s="179"/>
      <c r="N103" s="179"/>
      <c r="O103" s="179"/>
      <c r="P103" s="179"/>
      <c r="Q103" s="179"/>
      <c r="AH103" s="180"/>
    </row>
    <row r="104" spans="4:34">
      <c r="K104" s="179"/>
      <c r="N104" s="179"/>
      <c r="O104" s="179"/>
      <c r="P104" s="179"/>
      <c r="Q104" s="179"/>
      <c r="AH104" s="180"/>
    </row>
    <row r="105" spans="4:34">
      <c r="K105" s="179"/>
      <c r="AH105" s="180"/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AA16" sqref="AA16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105" t="s">
        <v>311</v>
      </c>
      <c r="I1" s="1" t="s">
        <v>401</v>
      </c>
    </row>
    <row r="2" spans="1:32">
      <c r="A2" s="3"/>
      <c r="C2" s="4"/>
      <c r="D2" s="4"/>
      <c r="E2" s="54"/>
      <c r="F2" s="54"/>
      <c r="G2" s="54"/>
      <c r="H2" s="54"/>
      <c r="I2" s="142" t="s">
        <v>408</v>
      </c>
      <c r="J2" s="142"/>
      <c r="K2" s="143">
        <v>365</v>
      </c>
      <c r="L2" s="143">
        <v>365</v>
      </c>
      <c r="M2" s="143">
        <v>365</v>
      </c>
      <c r="N2" s="143">
        <v>365</v>
      </c>
      <c r="O2" s="143">
        <v>365</v>
      </c>
      <c r="P2" s="143">
        <v>365</v>
      </c>
      <c r="Q2" s="151">
        <v>366</v>
      </c>
      <c r="R2" s="143">
        <v>365</v>
      </c>
      <c r="S2" s="143">
        <v>365</v>
      </c>
      <c r="T2" s="143">
        <v>365</v>
      </c>
      <c r="U2" s="143">
        <v>365</v>
      </c>
      <c r="V2" s="143">
        <v>365</v>
      </c>
      <c r="X2" s="3"/>
      <c r="Y2" s="3"/>
      <c r="Z2" s="35" t="s">
        <v>6</v>
      </c>
      <c r="AA2" s="65"/>
      <c r="AB2" s="66"/>
      <c r="AC2" s="3"/>
      <c r="AD2" s="35" t="s">
        <v>100</v>
      </c>
      <c r="AE2" s="65"/>
      <c r="AF2" s="66"/>
    </row>
    <row r="3" spans="1:32">
      <c r="B3" s="3" t="s">
        <v>286</v>
      </c>
      <c r="C3" s="4"/>
      <c r="I3" s="3" t="s">
        <v>301</v>
      </c>
      <c r="J3" s="104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111</v>
      </c>
      <c r="AA3" s="5"/>
      <c r="AB3" s="17" t="s">
        <v>135</v>
      </c>
      <c r="AC3" s="54"/>
      <c r="AD3" s="20"/>
      <c r="AE3" s="20"/>
      <c r="AF3" s="20"/>
    </row>
    <row r="4" spans="1:32">
      <c r="B4" s="68" t="s">
        <v>291</v>
      </c>
      <c r="C4" s="71"/>
      <c r="E4" s="68" t="s">
        <v>285</v>
      </c>
      <c r="F4" s="68"/>
      <c r="G4" s="68"/>
      <c r="H4" s="68"/>
      <c r="I4" s="68"/>
      <c r="J4" s="81" t="str">
        <f>C5</f>
        <v>20241231</v>
      </c>
      <c r="K4" s="82">
        <f>IF(Result!K35="", "", Result!K35)</f>
        <v>45636</v>
      </c>
      <c r="L4" s="82">
        <f>IF(Result!L35="", "", Result!L35)</f>
        <v>45636</v>
      </c>
      <c r="M4" s="82">
        <f>IF(Result!M35="", "", Result!M35)</f>
        <v>45636</v>
      </c>
      <c r="N4" s="82">
        <f>IF(Result!N35="", "", Result!N35)</f>
        <v>45636</v>
      </c>
      <c r="O4" s="82">
        <f>IF(Result!O35="", "", Result!O35)</f>
        <v>45636</v>
      </c>
      <c r="P4" s="82">
        <f>IF(Result!P35="", "", Result!P35)</f>
        <v>45636</v>
      </c>
      <c r="Q4" s="82">
        <f>IF(Result!Q35="", "", Result!Q35)</f>
        <v>45636</v>
      </c>
      <c r="R4" s="82">
        <f>IF(Result!R35="", "", Result!R35)</f>
        <v>45636</v>
      </c>
      <c r="S4" s="82">
        <f>IF(Result!S35="", "", Result!S35)</f>
        <v>45636</v>
      </c>
      <c r="T4" s="82">
        <f>IF(Result!T35="", "", Result!T35)</f>
        <v>45636</v>
      </c>
      <c r="U4" s="82">
        <f>IF(Result!U35="", "", Result!U35)</f>
        <v>45636</v>
      </c>
      <c r="V4" s="82">
        <f>IF(Result!V35="", "", Result!V35)</f>
        <v>45636</v>
      </c>
      <c r="Z4" s="5" t="s">
        <v>112</v>
      </c>
      <c r="AA4" s="5"/>
      <c r="AB4" s="17" t="s">
        <v>137</v>
      </c>
      <c r="AC4" s="4"/>
      <c r="AD4" s="17"/>
      <c r="AE4" s="17"/>
      <c r="AF4" s="17"/>
    </row>
    <row r="5" spans="1:32">
      <c r="B5" s="3" t="s">
        <v>287</v>
      </c>
      <c r="C5" s="69" t="str">
        <f>Trade!F7</f>
        <v>20241231</v>
      </c>
      <c r="E5" s="79" t="s">
        <v>297</v>
      </c>
      <c r="F5" s="79" t="s">
        <v>292</v>
      </c>
      <c r="G5" s="79" t="s">
        <v>293</v>
      </c>
      <c r="H5" s="79" t="s">
        <v>465</v>
      </c>
      <c r="I5" s="74"/>
      <c r="J5" s="146">
        <f>J4-J3</f>
        <v>20195595</v>
      </c>
      <c r="K5" s="74">
        <f>IF(K4&lt;&gt;"", K4-$J4, "")</f>
        <v>-20195595</v>
      </c>
      <c r="L5" s="74">
        <f t="shared" ref="L5:V5" si="0">IF(L4&lt;&gt;"", L4-$J4, "")</f>
        <v>-20195595</v>
      </c>
      <c r="M5" s="74">
        <f t="shared" si="0"/>
        <v>-20195595</v>
      </c>
      <c r="N5" s="74">
        <f t="shared" si="0"/>
        <v>-20195595</v>
      </c>
      <c r="O5" s="74">
        <f t="shared" si="0"/>
        <v>-20195595</v>
      </c>
      <c r="P5" s="74">
        <f t="shared" si="0"/>
        <v>-20195595</v>
      </c>
      <c r="Q5" s="74">
        <f t="shared" si="0"/>
        <v>-20195595</v>
      </c>
      <c r="R5" s="74">
        <f t="shared" si="0"/>
        <v>-20195595</v>
      </c>
      <c r="S5" s="74">
        <f t="shared" si="0"/>
        <v>-20195595</v>
      </c>
      <c r="T5" s="74">
        <f t="shared" si="0"/>
        <v>-20195595</v>
      </c>
      <c r="U5" s="74">
        <f t="shared" si="0"/>
        <v>-20195595</v>
      </c>
      <c r="V5" s="74">
        <f t="shared" si="0"/>
        <v>-20195595</v>
      </c>
      <c r="Z5" s="5" t="s">
        <v>114</v>
      </c>
      <c r="AA5" s="5"/>
      <c r="AB5" s="17" t="s">
        <v>139</v>
      </c>
      <c r="AC5" s="4"/>
      <c r="AD5" s="17"/>
      <c r="AE5" s="17"/>
      <c r="AF5" s="17"/>
    </row>
    <row r="6" spans="1:32">
      <c r="B6" s="3" t="s">
        <v>288</v>
      </c>
      <c r="C6" s="70" t="str">
        <f>Trade!F10</f>
        <v>6000000000</v>
      </c>
      <c r="F6" s="3" t="s">
        <v>457</v>
      </c>
      <c r="G6" s="3" t="s">
        <v>294</v>
      </c>
      <c r="H6" s="3" t="s">
        <v>296</v>
      </c>
      <c r="J6" s="147"/>
      <c r="K6" s="1">
        <f>IF(K5&lt;&gt;"",K5/K$2,"")</f>
        <v>-55330.397260273974</v>
      </c>
      <c r="L6" s="1">
        <f>IF(L5&lt;&gt;"",L5/L$2,"")</f>
        <v>-55330.397260273974</v>
      </c>
      <c r="M6" s="1">
        <f t="shared" ref="M6:V6" si="1">IF(M5&lt;&gt;"",M5/M$2,"")</f>
        <v>-55330.397260273974</v>
      </c>
      <c r="N6" s="1">
        <f t="shared" si="1"/>
        <v>-55330.397260273974</v>
      </c>
      <c r="O6" s="1">
        <f t="shared" si="1"/>
        <v>-55330.397260273974</v>
      </c>
      <c r="P6" s="1">
        <f t="shared" si="1"/>
        <v>-55330.397260273974</v>
      </c>
      <c r="Q6" s="1">
        <f t="shared" si="1"/>
        <v>-55179.221311475412</v>
      </c>
      <c r="R6" s="1">
        <f t="shared" si="1"/>
        <v>-55330.397260273974</v>
      </c>
      <c r="S6" s="1">
        <f t="shared" si="1"/>
        <v>-55330.397260273974</v>
      </c>
      <c r="T6" s="1">
        <f t="shared" si="1"/>
        <v>-55330.397260273974</v>
      </c>
      <c r="U6" s="1">
        <f t="shared" si="1"/>
        <v>-55330.397260273974</v>
      </c>
      <c r="V6" s="1">
        <f t="shared" si="1"/>
        <v>-55330.397260273974</v>
      </c>
      <c r="Z6" s="5" t="s">
        <v>115</v>
      </c>
      <c r="AA6" s="5"/>
      <c r="AB6" s="17" t="s">
        <v>141</v>
      </c>
      <c r="AC6" s="4"/>
      <c r="AD6" s="17"/>
      <c r="AE6" s="17"/>
      <c r="AF6" s="17"/>
    </row>
    <row r="7" spans="1:32">
      <c r="B7" s="3" t="s">
        <v>29</v>
      </c>
      <c r="C7" s="70" t="str">
        <f>Trade!F22</f>
        <v>5536303734.68839</v>
      </c>
      <c r="F7" s="3" t="s">
        <v>299</v>
      </c>
      <c r="G7" s="3" t="s">
        <v>300</v>
      </c>
      <c r="H7" s="3" t="s">
        <v>407</v>
      </c>
      <c r="J7" s="149">
        <v>365</v>
      </c>
      <c r="K7" s="1">
        <f>IF($J7="360",DAYS360(K4,J3),_xlfn.DAYS(K4,J3))</f>
        <v>0</v>
      </c>
      <c r="L7" s="1">
        <f t="shared" ref="L7:V7" si="2">IF($J7="360",DAYS360(L4,K4),_xlfn.DAYS(L4,K4))</f>
        <v>0</v>
      </c>
      <c r="M7" s="1">
        <f t="shared" si="2"/>
        <v>0</v>
      </c>
      <c r="N7" s="1">
        <f t="shared" si="2"/>
        <v>0</v>
      </c>
      <c r="O7" s="1">
        <f t="shared" si="2"/>
        <v>0</v>
      </c>
      <c r="P7" s="1">
        <f t="shared" si="2"/>
        <v>0</v>
      </c>
      <c r="Q7" s="1">
        <f t="shared" si="2"/>
        <v>0</v>
      </c>
      <c r="R7" s="1">
        <f t="shared" si="2"/>
        <v>0</v>
      </c>
      <c r="S7" s="1">
        <f t="shared" si="2"/>
        <v>0</v>
      </c>
      <c r="T7" s="1">
        <f t="shared" si="2"/>
        <v>0</v>
      </c>
      <c r="U7" s="1">
        <f t="shared" si="2"/>
        <v>0</v>
      </c>
      <c r="V7" s="1">
        <f t="shared" si="2"/>
        <v>0</v>
      </c>
      <c r="Z7" s="17"/>
      <c r="AA7" s="17"/>
      <c r="AB7" s="17"/>
    </row>
    <row r="8" spans="1:32">
      <c r="B8" s="3" t="s">
        <v>289</v>
      </c>
      <c r="C8" s="4">
        <v>6</v>
      </c>
      <c r="F8" s="3" t="s">
        <v>456</v>
      </c>
      <c r="G8" s="3" t="s">
        <v>302</v>
      </c>
      <c r="H8" s="3" t="s">
        <v>303</v>
      </c>
      <c r="J8" s="147"/>
      <c r="K8" s="1">
        <f>K7/K$2</f>
        <v>0</v>
      </c>
      <c r="L8" s="1">
        <f t="shared" ref="L8:V8" si="3">L7/L$2</f>
        <v>0</v>
      </c>
      <c r="M8" s="1">
        <f t="shared" si="3"/>
        <v>0</v>
      </c>
      <c r="N8" s="1">
        <f t="shared" si="3"/>
        <v>0</v>
      </c>
      <c r="O8" s="1">
        <f t="shared" si="3"/>
        <v>0</v>
      </c>
      <c r="P8" s="1">
        <f t="shared" si="3"/>
        <v>0</v>
      </c>
      <c r="Q8" s="1">
        <f t="shared" si="3"/>
        <v>0</v>
      </c>
      <c r="R8" s="1">
        <f t="shared" si="3"/>
        <v>0</v>
      </c>
      <c r="S8" s="1">
        <f t="shared" si="3"/>
        <v>0</v>
      </c>
      <c r="T8" s="1">
        <f t="shared" si="3"/>
        <v>0</v>
      </c>
      <c r="U8" s="1">
        <f t="shared" si="3"/>
        <v>0</v>
      </c>
      <c r="V8" s="1">
        <f t="shared" si="3"/>
        <v>0</v>
      </c>
      <c r="X8" s="15" t="s">
        <v>10</v>
      </c>
      <c r="Y8" s="12"/>
      <c r="Z8" s="13" t="s">
        <v>11</v>
      </c>
      <c r="AA8" s="13" t="s">
        <v>400</v>
      </c>
      <c r="AB8" s="13" t="s">
        <v>12</v>
      </c>
      <c r="AD8" s="13" t="s">
        <v>11</v>
      </c>
      <c r="AE8" s="13" t="s">
        <v>400</v>
      </c>
      <c r="AF8" s="13" t="s">
        <v>12</v>
      </c>
    </row>
    <row r="9" spans="1:32">
      <c r="B9" s="3" t="s">
        <v>290</v>
      </c>
      <c r="C9" s="73">
        <f>Trade!F11</f>
        <v>1.4999999999999999E-2</v>
      </c>
      <c r="E9" s="80"/>
      <c r="F9" s="80" t="s">
        <v>304</v>
      </c>
      <c r="G9" s="80" t="s">
        <v>305</v>
      </c>
      <c r="H9" s="80" t="s">
        <v>306</v>
      </c>
      <c r="I9" s="75"/>
      <c r="J9" s="148">
        <f>SUM(K9:V9)</f>
        <v>6000000000</v>
      </c>
      <c r="K9" s="83">
        <f>$C6*$C9*K8</f>
        <v>0</v>
      </c>
      <c r="L9" s="83">
        <f t="shared" ref="L9:U9" si="4">$C6*$C9*L8</f>
        <v>0</v>
      </c>
      <c r="M9" s="83">
        <f t="shared" si="4"/>
        <v>0</v>
      </c>
      <c r="N9" s="83">
        <f t="shared" si="4"/>
        <v>0</v>
      </c>
      <c r="O9" s="83">
        <f t="shared" si="4"/>
        <v>0</v>
      </c>
      <c r="P9" s="83">
        <f t="shared" si="4"/>
        <v>0</v>
      </c>
      <c r="Q9" s="83">
        <f t="shared" si="4"/>
        <v>0</v>
      </c>
      <c r="R9" s="83">
        <f t="shared" si="4"/>
        <v>0</v>
      </c>
      <c r="S9" s="83">
        <f t="shared" si="4"/>
        <v>0</v>
      </c>
      <c r="T9" s="83">
        <f t="shared" si="4"/>
        <v>0</v>
      </c>
      <c r="U9" s="83">
        <f t="shared" si="4"/>
        <v>0</v>
      </c>
      <c r="V9" s="83">
        <f>$C6*$C9*V8+C6</f>
        <v>6000000000</v>
      </c>
      <c r="X9" s="18">
        <v>1</v>
      </c>
      <c r="Y9" s="2"/>
      <c r="Z9" s="31">
        <v>90</v>
      </c>
      <c r="AA9" s="31" t="e">
        <f>EDATE($J$4, Z9/30)-$J$4</f>
        <v>#NUM!</v>
      </c>
      <c r="AB9" s="32">
        <v>3.3700000000000001E-2</v>
      </c>
      <c r="AD9" s="31">
        <v>180</v>
      </c>
      <c r="AE9" s="31" t="e">
        <f>EDATE($J$4, AD9/30)-$J$4</f>
        <v>#NUM!</v>
      </c>
      <c r="AF9" s="32">
        <v>0</v>
      </c>
    </row>
    <row r="10" spans="1:32">
      <c r="B10" s="3" t="s">
        <v>298</v>
      </c>
      <c r="C10" s="72" t="str">
        <f>Trade!F12</f>
        <v>ACT/ACT</v>
      </c>
      <c r="E10" s="79" t="s">
        <v>307</v>
      </c>
      <c r="F10" s="79" t="s">
        <v>308</v>
      </c>
      <c r="G10" s="79" t="s">
        <v>309</v>
      </c>
      <c r="H10" s="79" t="s">
        <v>310</v>
      </c>
      <c r="I10" s="74"/>
      <c r="J10" s="76"/>
      <c r="K10" s="74" t="e" cm="1">
        <f t="array" ref="K10">lin_int(K5,$AA$9:$AB$18)+lin_int(K5,$AE$9:$AF$13)</f>
        <v>#VALUE!</v>
      </c>
      <c r="L10" s="74" t="e" cm="1">
        <f t="array" ref="L10">lin_int(L5,$AA$9:$AB$18)+lin_int(L5,$AE$9:$AF$13)</f>
        <v>#VALUE!</v>
      </c>
      <c r="M10" s="74" t="e" cm="1">
        <f t="array" ref="M10">lin_int(M5,$AA$9:$AB$18)+lin_int(M5,$AE$9:$AF$13)</f>
        <v>#VALUE!</v>
      </c>
      <c r="N10" s="74" t="e" cm="1">
        <f t="array" ref="N10">lin_int(N5,$AA$9:$AB$18)+lin_int(N5,$AE$9:$AF$13)</f>
        <v>#VALUE!</v>
      </c>
      <c r="O10" s="74" t="e" cm="1">
        <f t="array" ref="O10">lin_int(O5,$AA$9:$AB$18)+lin_int(O5,$AE$9:$AF$13)</f>
        <v>#VALUE!</v>
      </c>
      <c r="P10" s="74" t="e" cm="1">
        <f t="array" ref="P10">lin_int(P5,$AA$9:$AB$18)+lin_int(P5,$AE$9:$AF$13)</f>
        <v>#VALUE!</v>
      </c>
      <c r="Q10" s="74" t="e" cm="1">
        <f t="array" ref="Q10">lin_int(Q5,$AA$9:$AB$18)+lin_int(Q5,$AE$9:$AF$13)</f>
        <v>#VALUE!</v>
      </c>
      <c r="R10" s="74" t="e" cm="1">
        <f t="array" ref="R10">lin_int(R5,$AA$9:$AB$18)+lin_int(R5,$AE$9:$AF$13)</f>
        <v>#VALUE!</v>
      </c>
      <c r="S10" s="74" t="e" cm="1">
        <f t="array" ref="S10">lin_int(S5,$AA$9:$AB$18)+lin_int(S5,$AE$9:$AF$13)</f>
        <v>#VALUE!</v>
      </c>
      <c r="T10" s="74" t="e" cm="1">
        <f t="array" ref="T10">lin_int(T5,$AA$9:$AB$18)+lin_int(T5,$AE$9:$AF$13)</f>
        <v>#VALUE!</v>
      </c>
      <c r="U10" s="74" t="e" cm="1">
        <f t="array" ref="U10">lin_int(U5,$AA$9:$AB$18)+lin_int(U5,$AE$9:$AF$13)</f>
        <v>#VALUE!</v>
      </c>
      <c r="V10" s="74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 t="e">
        <f t="shared" ref="AA10:AA18" si="5">EDATE($J$4, Z10/30)-$J$4</f>
        <v>#NUM!</v>
      </c>
      <c r="AB10" s="32">
        <v>3.1699999999999999E-2</v>
      </c>
      <c r="AD10" s="31">
        <v>360</v>
      </c>
      <c r="AE10" s="31" t="e">
        <f>EDATE($J$4, AD10/30)-$J$4</f>
        <v>#NUM!</v>
      </c>
      <c r="AF10" s="32">
        <v>0</v>
      </c>
    </row>
    <row r="11" spans="1:32">
      <c r="B11" s="3" t="s">
        <v>111</v>
      </c>
      <c r="C11" s="4" t="str">
        <f>Trade!K8</f>
        <v>CONT</v>
      </c>
      <c r="E11" s="80"/>
      <c r="F11" s="80" t="s">
        <v>312</v>
      </c>
      <c r="G11" s="80" t="s">
        <v>313</v>
      </c>
      <c r="H11" s="80" t="s">
        <v>314</v>
      </c>
      <c r="I11" s="75"/>
      <c r="J11" s="175">
        <v>1.3889799999999999E-3</v>
      </c>
      <c r="K11" s="84">
        <f>J11</f>
        <v>1.3889799999999999E-3</v>
      </c>
      <c r="L11" s="84">
        <f>K11</f>
        <v>1.3889799999999999E-3</v>
      </c>
      <c r="M11" s="84">
        <f t="shared" ref="M11:V11" si="6">L11</f>
        <v>1.3889799999999999E-3</v>
      </c>
      <c r="N11" s="84">
        <f t="shared" si="6"/>
        <v>1.3889799999999999E-3</v>
      </c>
      <c r="O11" s="84">
        <f t="shared" si="6"/>
        <v>1.3889799999999999E-3</v>
      </c>
      <c r="P11" s="84">
        <f t="shared" si="6"/>
        <v>1.3889799999999999E-3</v>
      </c>
      <c r="Q11" s="84">
        <f t="shared" si="6"/>
        <v>1.3889799999999999E-3</v>
      </c>
      <c r="R11" s="84">
        <f t="shared" si="6"/>
        <v>1.3889799999999999E-3</v>
      </c>
      <c r="S11" s="84">
        <f t="shared" si="6"/>
        <v>1.3889799999999999E-3</v>
      </c>
      <c r="T11" s="84">
        <f t="shared" si="6"/>
        <v>1.3889799999999999E-3</v>
      </c>
      <c r="U11" s="84">
        <f t="shared" si="6"/>
        <v>1.3889799999999999E-3</v>
      </c>
      <c r="V11" s="84">
        <f t="shared" si="6"/>
        <v>1.3889799999999999E-3</v>
      </c>
      <c r="X11" s="18">
        <v>3</v>
      </c>
      <c r="Y11" s="2"/>
      <c r="Z11" s="31">
        <v>360</v>
      </c>
      <c r="AA11" s="31" t="e">
        <f t="shared" si="5"/>
        <v>#NUM!</v>
      </c>
      <c r="AB11" s="32">
        <v>2.8500000000000001E-2</v>
      </c>
      <c r="AD11" s="31">
        <v>1080</v>
      </c>
      <c r="AE11" s="31" t="e">
        <f>EDATE($J$4, AD11/30)-$J$4</f>
        <v>#NUM!</v>
      </c>
      <c r="AF11" s="32">
        <v>0</v>
      </c>
    </row>
    <row r="12" spans="1:32">
      <c r="B12" s="3" t="s">
        <v>330</v>
      </c>
      <c r="C12" s="4">
        <f>12/C8</f>
        <v>2</v>
      </c>
      <c r="E12" s="79" t="s">
        <v>2</v>
      </c>
      <c r="F12" s="79" t="s">
        <v>308</v>
      </c>
      <c r="G12" s="79" t="s">
        <v>318</v>
      </c>
      <c r="H12" s="79" t="s">
        <v>319</v>
      </c>
      <c r="I12" s="74"/>
      <c r="J12" s="76"/>
      <c r="K12" s="74" t="e">
        <f>K10+K11</f>
        <v>#VALUE!</v>
      </c>
      <c r="L12" s="74" t="e">
        <f t="shared" ref="L12:V12" si="7">L10+L11</f>
        <v>#VALUE!</v>
      </c>
      <c r="M12" s="74" t="e">
        <f t="shared" si="7"/>
        <v>#VALUE!</v>
      </c>
      <c r="N12" s="74" t="e">
        <f t="shared" si="7"/>
        <v>#VALUE!</v>
      </c>
      <c r="O12" s="74" t="e">
        <f t="shared" si="7"/>
        <v>#VALUE!</v>
      </c>
      <c r="P12" s="74" t="e">
        <f t="shared" si="7"/>
        <v>#VALUE!</v>
      </c>
      <c r="Q12" s="74" t="e">
        <f t="shared" si="7"/>
        <v>#VALUE!</v>
      </c>
      <c r="R12" s="74" t="e">
        <f t="shared" si="7"/>
        <v>#VALUE!</v>
      </c>
      <c r="S12" s="74" t="e">
        <f t="shared" si="7"/>
        <v>#VALUE!</v>
      </c>
      <c r="T12" s="74" t="e">
        <f t="shared" si="7"/>
        <v>#VALUE!</v>
      </c>
      <c r="U12" s="74" t="e">
        <f t="shared" si="7"/>
        <v>#VALUE!</v>
      </c>
      <c r="V12" s="74" t="e">
        <f t="shared" si="7"/>
        <v>#VALUE!</v>
      </c>
      <c r="X12" s="18">
        <v>4</v>
      </c>
      <c r="Y12" s="2"/>
      <c r="Z12" s="31">
        <v>720</v>
      </c>
      <c r="AA12" s="31" t="e">
        <f t="shared" si="5"/>
        <v>#NUM!</v>
      </c>
      <c r="AB12" s="32">
        <v>2.7199999999999998E-2</v>
      </c>
      <c r="AD12" s="31">
        <v>1800</v>
      </c>
      <c r="AE12" s="31" t="e">
        <f>EDATE($J$4, AD12/30)-$J$4</f>
        <v>#NUM!</v>
      </c>
      <c r="AF12" s="32">
        <v>5.0000000000000001E-4</v>
      </c>
    </row>
    <row r="13" spans="1:32">
      <c r="F13" s="3" t="s">
        <v>315</v>
      </c>
      <c r="G13" s="3" t="s">
        <v>320</v>
      </c>
      <c r="H13" s="3" t="s">
        <v>409</v>
      </c>
      <c r="I13" s="3"/>
      <c r="J13" s="144" t="s">
        <v>316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 t="e">
        <f t="shared" si="5"/>
        <v>#NUM!</v>
      </c>
      <c r="AB13" s="32">
        <v>2.69E-2</v>
      </c>
      <c r="AD13" s="31">
        <v>3600</v>
      </c>
      <c r="AE13" s="31" t="e">
        <f>EDATE($J$4, AD13/30)-$J$4</f>
        <v>#NUM!</v>
      </c>
      <c r="AF13" s="32">
        <v>1E-3</v>
      </c>
    </row>
    <row r="14" spans="1:32">
      <c r="F14" s="3" t="s">
        <v>2</v>
      </c>
      <c r="G14" s="3" t="s">
        <v>321</v>
      </c>
      <c r="H14" s="3" t="s">
        <v>322</v>
      </c>
      <c r="I14" s="139"/>
      <c r="J14" s="85" t="e">
        <f>SUM(K14:V14)</f>
        <v>#VALUE!</v>
      </c>
      <c r="K14" s="86" t="e">
        <f t="shared" ref="K14:V14" si="9">K9*K13</f>
        <v>#VALUE!</v>
      </c>
      <c r="L14" s="86" t="e">
        <f t="shared" si="9"/>
        <v>#VALUE!</v>
      </c>
      <c r="M14" s="86" t="e">
        <f t="shared" si="9"/>
        <v>#VALUE!</v>
      </c>
      <c r="N14" s="86" t="e">
        <f t="shared" si="9"/>
        <v>#VALUE!</v>
      </c>
      <c r="O14" s="86" t="e">
        <f t="shared" si="9"/>
        <v>#VALUE!</v>
      </c>
      <c r="P14" s="86" t="e">
        <f t="shared" si="9"/>
        <v>#VALUE!</v>
      </c>
      <c r="Q14" s="86" t="e">
        <f t="shared" si="9"/>
        <v>#VALUE!</v>
      </c>
      <c r="R14" s="86" t="e">
        <f t="shared" si="9"/>
        <v>#VALUE!</v>
      </c>
      <c r="S14" s="86" t="e">
        <f t="shared" si="9"/>
        <v>#VALUE!</v>
      </c>
      <c r="T14" s="86" t="e">
        <f t="shared" si="9"/>
        <v>#VALUE!</v>
      </c>
      <c r="U14" s="86" t="e">
        <f t="shared" si="9"/>
        <v>#VALUE!</v>
      </c>
      <c r="V14" s="86" t="e">
        <f t="shared" si="9"/>
        <v>#VALUE!</v>
      </c>
      <c r="X14" s="18">
        <v>6</v>
      </c>
      <c r="Y14" s="2"/>
      <c r="Z14" s="31">
        <v>1800</v>
      </c>
      <c r="AA14" s="31" t="e">
        <f t="shared" si="5"/>
        <v>#NUM!</v>
      </c>
      <c r="AB14" s="32">
        <v>2.7099999999999999E-2</v>
      </c>
      <c r="AD14" s="31"/>
      <c r="AE14" s="31"/>
      <c r="AF14" s="32"/>
    </row>
    <row r="15" spans="1:32">
      <c r="H15" s="3" t="s">
        <v>317</v>
      </c>
      <c r="J15" s="85" t="e">
        <f>J14-C7</f>
        <v>#VALUE!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X15" s="18">
        <v>7</v>
      </c>
      <c r="Y15" s="2"/>
      <c r="Z15" s="31">
        <v>3600</v>
      </c>
      <c r="AA15" s="31" t="e">
        <f t="shared" si="5"/>
        <v>#NUM!</v>
      </c>
      <c r="AB15" s="32">
        <v>2.7799999999999998E-2</v>
      </c>
      <c r="AD15" s="31"/>
      <c r="AE15" s="31"/>
      <c r="AF15" s="32"/>
    </row>
    <row r="16" spans="1:32">
      <c r="F16" s="54" t="s">
        <v>455</v>
      </c>
      <c r="G16" s="3" t="s">
        <v>323</v>
      </c>
      <c r="H16" s="3" t="s">
        <v>324</v>
      </c>
      <c r="J16" s="87" t="e">
        <f>K9/K7*J5</f>
        <v>#DIV/0!</v>
      </c>
      <c r="X16" s="18">
        <v>8</v>
      </c>
      <c r="Y16" s="2"/>
      <c r="Z16" s="31">
        <v>5400</v>
      </c>
      <c r="AA16" s="31" t="e">
        <f t="shared" si="5"/>
        <v>#NUM!</v>
      </c>
      <c r="AB16" s="32">
        <v>2.7199999999999998E-2</v>
      </c>
      <c r="AD16" s="31"/>
      <c r="AE16" s="31"/>
      <c r="AF16" s="32"/>
    </row>
    <row r="17" spans="2:32">
      <c r="E17" s="80"/>
      <c r="F17" s="80" t="s">
        <v>325</v>
      </c>
      <c r="G17" s="80" t="s">
        <v>326</v>
      </c>
      <c r="H17" s="80" t="s">
        <v>327</v>
      </c>
      <c r="I17" s="75"/>
      <c r="J17" s="88" t="e">
        <f>J14-J16</f>
        <v>#VALUE!</v>
      </c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X17" s="18">
        <v>9</v>
      </c>
      <c r="Y17" s="2"/>
      <c r="Z17" s="31">
        <v>7200</v>
      </c>
      <c r="AA17" s="31" t="e">
        <f t="shared" si="5"/>
        <v>#NUM!</v>
      </c>
      <c r="AB17" s="32">
        <v>2.5399999999999999E-2</v>
      </c>
      <c r="AD17" s="31"/>
      <c r="AE17" s="31"/>
      <c r="AF17" s="32"/>
    </row>
    <row r="18" spans="2:32">
      <c r="B18" s="3"/>
      <c r="E18" s="79" t="s">
        <v>328</v>
      </c>
      <c r="F18" s="79" t="s">
        <v>328</v>
      </c>
      <c r="G18" s="79" t="s">
        <v>329</v>
      </c>
      <c r="H18" s="79" t="s">
        <v>335</v>
      </c>
      <c r="I18" s="74"/>
      <c r="J18" s="95">
        <f>K18</f>
        <v>2.9414976380430245E-2</v>
      </c>
      <c r="K18" s="89">
        <v>2.9414976380430245E-2</v>
      </c>
      <c r="L18" s="90">
        <f>K18</f>
        <v>2.9414976380430245E-2</v>
      </c>
      <c r="M18" s="90">
        <f>L18</f>
        <v>2.9414976380430245E-2</v>
      </c>
      <c r="N18" s="90">
        <f t="shared" ref="N18:V18" si="10">M18</f>
        <v>2.9414976380430245E-2</v>
      </c>
      <c r="O18" s="90">
        <f t="shared" si="10"/>
        <v>2.9414976380430245E-2</v>
      </c>
      <c r="P18" s="90">
        <f t="shared" si="10"/>
        <v>2.9414976380430245E-2</v>
      </c>
      <c r="Q18" s="90">
        <f t="shared" si="10"/>
        <v>2.9414976380430245E-2</v>
      </c>
      <c r="R18" s="90">
        <f t="shared" si="10"/>
        <v>2.9414976380430245E-2</v>
      </c>
      <c r="S18" s="90">
        <f t="shared" si="10"/>
        <v>2.9414976380430245E-2</v>
      </c>
      <c r="T18" s="90">
        <f t="shared" si="10"/>
        <v>2.9414976380430245E-2</v>
      </c>
      <c r="U18" s="90">
        <f t="shared" si="10"/>
        <v>2.9414976380430245E-2</v>
      </c>
      <c r="V18" s="90">
        <f t="shared" si="10"/>
        <v>2.9414976380430245E-2</v>
      </c>
      <c r="X18" s="21">
        <v>10</v>
      </c>
      <c r="Y18" s="2"/>
      <c r="Z18" s="31">
        <v>10800</v>
      </c>
      <c r="AA18" s="31" t="e">
        <f t="shared" si="5"/>
        <v>#NUM!</v>
      </c>
      <c r="AB18" s="32">
        <v>2.2200000000000001E-2</v>
      </c>
      <c r="AD18" s="31"/>
      <c r="AE18" s="31"/>
      <c r="AF18" s="32"/>
    </row>
    <row r="19" spans="2:32">
      <c r="B19" s="3"/>
      <c r="F19" s="3" t="s">
        <v>315</v>
      </c>
      <c r="G19" s="3" t="s">
        <v>332</v>
      </c>
      <c r="H19" s="3" t="s">
        <v>331</v>
      </c>
      <c r="J19" s="77"/>
      <c r="K19" s="91" t="e">
        <f t="shared" ref="K19:V19" si="11">1/(1+K18/$C12)^(K6*$C12)</f>
        <v>#DIV/0!</v>
      </c>
      <c r="L19" s="91" t="e">
        <f t="shared" si="11"/>
        <v>#DIV/0!</v>
      </c>
      <c r="M19" s="91" t="e">
        <f t="shared" si="11"/>
        <v>#DIV/0!</v>
      </c>
      <c r="N19" s="91" t="e">
        <f t="shared" si="11"/>
        <v>#DIV/0!</v>
      </c>
      <c r="O19" s="91" t="e">
        <f t="shared" si="11"/>
        <v>#DIV/0!</v>
      </c>
      <c r="P19" s="91" t="e">
        <f t="shared" si="11"/>
        <v>#DIV/0!</v>
      </c>
      <c r="Q19" s="91" t="e">
        <f t="shared" si="11"/>
        <v>#DIV/0!</v>
      </c>
      <c r="R19" s="91" t="e">
        <f t="shared" si="11"/>
        <v>#DIV/0!</v>
      </c>
      <c r="S19" s="91" t="e">
        <f t="shared" si="11"/>
        <v>#DIV/0!</v>
      </c>
      <c r="T19" s="91" t="e">
        <f t="shared" si="11"/>
        <v>#DIV/0!</v>
      </c>
      <c r="U19" s="91" t="e">
        <f t="shared" si="11"/>
        <v>#DIV/0!</v>
      </c>
      <c r="V19" s="91" t="e">
        <f t="shared" si="11"/>
        <v>#DIV/0!</v>
      </c>
    </row>
    <row r="20" spans="2:32">
      <c r="B20" s="3"/>
      <c r="G20" s="3" t="s">
        <v>333</v>
      </c>
      <c r="H20" s="3" t="s">
        <v>334</v>
      </c>
      <c r="J20" s="87" t="e">
        <f>SUM(K20:V20)</f>
        <v>#DIV/0!</v>
      </c>
      <c r="K20" s="1" t="e">
        <f t="shared" ref="K20:V20" si="12">K19*K9</f>
        <v>#DIV/0!</v>
      </c>
      <c r="L20" s="1" t="e">
        <f t="shared" si="12"/>
        <v>#DIV/0!</v>
      </c>
      <c r="M20" s="1" t="e">
        <f t="shared" si="12"/>
        <v>#DIV/0!</v>
      </c>
      <c r="N20" s="1" t="e">
        <f t="shared" si="12"/>
        <v>#DIV/0!</v>
      </c>
      <c r="O20" s="1" t="e">
        <f t="shared" si="12"/>
        <v>#DIV/0!</v>
      </c>
      <c r="P20" s="1" t="e">
        <f t="shared" si="12"/>
        <v>#DIV/0!</v>
      </c>
      <c r="Q20" s="1" t="e">
        <f t="shared" si="12"/>
        <v>#DIV/0!</v>
      </c>
      <c r="R20" s="1" t="e">
        <f t="shared" si="12"/>
        <v>#DIV/0!</v>
      </c>
      <c r="S20" s="1" t="e">
        <f t="shared" si="12"/>
        <v>#DIV/0!</v>
      </c>
      <c r="T20" s="1" t="e">
        <f t="shared" si="12"/>
        <v>#DIV/0!</v>
      </c>
      <c r="U20" s="1" t="e">
        <f t="shared" si="12"/>
        <v>#DIV/0!</v>
      </c>
      <c r="V20" s="1" t="e">
        <f t="shared" si="12"/>
        <v>#DIV/0!</v>
      </c>
    </row>
    <row r="21" spans="2:32">
      <c r="B21" s="3"/>
      <c r="E21" s="80"/>
      <c r="F21" s="80"/>
      <c r="G21" s="80"/>
      <c r="H21" s="80" t="s">
        <v>317</v>
      </c>
      <c r="I21" s="75"/>
      <c r="J21" s="78" t="e">
        <f>J14-J20</f>
        <v>#VALUE!</v>
      </c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</row>
    <row r="22" spans="2:32">
      <c r="B22" s="79" t="s">
        <v>295</v>
      </c>
      <c r="C22" s="74" t="s">
        <v>452</v>
      </c>
      <c r="E22" s="79" t="s">
        <v>336</v>
      </c>
      <c r="F22" s="79" t="s">
        <v>2</v>
      </c>
      <c r="G22" s="79" t="s">
        <v>337</v>
      </c>
      <c r="H22" s="79" t="s">
        <v>338</v>
      </c>
      <c r="I22" s="74"/>
      <c r="J22" s="92" t="e">
        <f>SUM(K22:V22)</f>
        <v>#DIV/0!</v>
      </c>
      <c r="K22" s="93" t="e">
        <f t="shared" ref="K22:V22" si="13">K6*K9*K19</f>
        <v>#DIV/0!</v>
      </c>
      <c r="L22" s="93" t="e">
        <f t="shared" si="13"/>
        <v>#DIV/0!</v>
      </c>
      <c r="M22" s="93" t="e">
        <f t="shared" si="13"/>
        <v>#DIV/0!</v>
      </c>
      <c r="N22" s="93" t="e">
        <f t="shared" si="13"/>
        <v>#DIV/0!</v>
      </c>
      <c r="O22" s="93" t="e">
        <f t="shared" si="13"/>
        <v>#DIV/0!</v>
      </c>
      <c r="P22" s="93" t="e">
        <f t="shared" si="13"/>
        <v>#DIV/0!</v>
      </c>
      <c r="Q22" s="93" t="e">
        <f t="shared" si="13"/>
        <v>#DIV/0!</v>
      </c>
      <c r="R22" s="93" t="e">
        <f t="shared" si="13"/>
        <v>#DIV/0!</v>
      </c>
      <c r="S22" s="93" t="e">
        <f t="shared" si="13"/>
        <v>#DIV/0!</v>
      </c>
      <c r="T22" s="93" t="e">
        <f t="shared" si="13"/>
        <v>#DIV/0!</v>
      </c>
      <c r="U22" s="93" t="e">
        <f t="shared" si="13"/>
        <v>#DIV/0!</v>
      </c>
      <c r="V22" s="93" t="e">
        <f t="shared" si="13"/>
        <v>#DIV/0!</v>
      </c>
    </row>
    <row r="23" spans="2:32">
      <c r="B23" s="3" t="s">
        <v>304</v>
      </c>
      <c r="C23" s="1" t="s">
        <v>297</v>
      </c>
      <c r="F23" s="3" t="s">
        <v>339</v>
      </c>
      <c r="G23" s="3" t="s">
        <v>340</v>
      </c>
      <c r="H23" s="3" t="s">
        <v>341</v>
      </c>
      <c r="J23" s="172" t="e">
        <f>J22/J20</f>
        <v>#DIV/0!</v>
      </c>
    </row>
    <row r="24" spans="2:32">
      <c r="B24" s="3" t="s">
        <v>308</v>
      </c>
      <c r="C24" s="1" t="s">
        <v>453</v>
      </c>
      <c r="F24" s="96" t="s">
        <v>315</v>
      </c>
      <c r="G24" s="96" t="s">
        <v>342</v>
      </c>
      <c r="H24" s="96" t="s">
        <v>343</v>
      </c>
      <c r="I24" s="97"/>
      <c r="J24" s="98"/>
      <c r="K24" s="94" t="e">
        <f t="shared" ref="K24:V24" si="14">(1+K18/$C12)^(-K6*$C12-1)</f>
        <v>#NUM!</v>
      </c>
      <c r="L24" s="94" t="e">
        <f t="shared" si="14"/>
        <v>#NUM!</v>
      </c>
      <c r="M24" s="94" t="e">
        <f t="shared" si="14"/>
        <v>#NUM!</v>
      </c>
      <c r="N24" s="94" t="e">
        <f t="shared" si="14"/>
        <v>#NUM!</v>
      </c>
      <c r="O24" s="94" t="e">
        <f t="shared" si="14"/>
        <v>#NUM!</v>
      </c>
      <c r="P24" s="94" t="e">
        <f t="shared" si="14"/>
        <v>#NUM!</v>
      </c>
      <c r="Q24" s="94" t="e">
        <f t="shared" si="14"/>
        <v>#NUM!</v>
      </c>
      <c r="R24" s="94" t="e">
        <f t="shared" si="14"/>
        <v>#NUM!</v>
      </c>
      <c r="S24" s="94" t="e">
        <f t="shared" si="14"/>
        <v>#NUM!</v>
      </c>
      <c r="T24" s="94" t="e">
        <f t="shared" si="14"/>
        <v>#NUM!</v>
      </c>
      <c r="U24" s="94" t="e">
        <f t="shared" si="14"/>
        <v>#NUM!</v>
      </c>
      <c r="V24" s="94" t="e">
        <f t="shared" si="14"/>
        <v>#NUM!</v>
      </c>
    </row>
    <row r="25" spans="2:32">
      <c r="B25" s="3" t="s">
        <v>315</v>
      </c>
      <c r="C25" s="1" t="s">
        <v>454</v>
      </c>
      <c r="F25" s="96" t="s">
        <v>354</v>
      </c>
      <c r="G25" s="96" t="s">
        <v>344</v>
      </c>
      <c r="H25" s="96" t="s">
        <v>345</v>
      </c>
      <c r="I25" s="97"/>
      <c r="J25" s="99" t="e">
        <f>SUM(K25:V25)</f>
        <v>#NUM!</v>
      </c>
      <c r="K25" s="86" t="e">
        <f t="shared" ref="K25:V25" si="15">K6*K9*K24</f>
        <v>#NUM!</v>
      </c>
      <c r="L25" s="86" t="e">
        <f t="shared" si="15"/>
        <v>#NUM!</v>
      </c>
      <c r="M25" s="86" t="e">
        <f t="shared" si="15"/>
        <v>#NUM!</v>
      </c>
      <c r="N25" s="86" t="e">
        <f t="shared" si="15"/>
        <v>#NUM!</v>
      </c>
      <c r="O25" s="86" t="e">
        <f t="shared" si="15"/>
        <v>#NUM!</v>
      </c>
      <c r="P25" s="86" t="e">
        <f t="shared" si="15"/>
        <v>#NUM!</v>
      </c>
      <c r="Q25" s="86" t="e">
        <f t="shared" si="15"/>
        <v>#NUM!</v>
      </c>
      <c r="R25" s="86" t="e">
        <f t="shared" si="15"/>
        <v>#NUM!</v>
      </c>
      <c r="S25" s="86" t="e">
        <f t="shared" si="15"/>
        <v>#NUM!</v>
      </c>
      <c r="T25" s="86" t="e">
        <f t="shared" si="15"/>
        <v>#NUM!</v>
      </c>
      <c r="U25" s="86" t="e">
        <f t="shared" si="15"/>
        <v>#NUM!</v>
      </c>
      <c r="V25" s="86" t="e">
        <f t="shared" si="15"/>
        <v>#NUM!</v>
      </c>
    </row>
    <row r="26" spans="2:32">
      <c r="B26" s="75" t="s">
        <v>455</v>
      </c>
      <c r="C26" s="75" t="s">
        <v>458</v>
      </c>
      <c r="E26" s="80"/>
      <c r="F26" s="100" t="s">
        <v>346</v>
      </c>
      <c r="G26" s="100" t="s">
        <v>347</v>
      </c>
      <c r="H26" s="100" t="s">
        <v>348</v>
      </c>
      <c r="I26" s="101"/>
      <c r="J26" s="174" t="e">
        <f>J25/J14</f>
        <v>#NUM!</v>
      </c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</row>
    <row r="27" spans="2:32">
      <c r="E27" s="79" t="s">
        <v>349</v>
      </c>
      <c r="F27" s="79" t="s">
        <v>2</v>
      </c>
      <c r="G27" s="79" t="s">
        <v>350</v>
      </c>
      <c r="H27" s="79" t="s">
        <v>351</v>
      </c>
      <c r="I27" s="74"/>
      <c r="J27" s="92" t="e">
        <f>SUM(K27:V27)</f>
        <v>#DIV/0!</v>
      </c>
      <c r="K27" s="93" t="e">
        <f t="shared" ref="K27:V27" si="16">K6*K9*K19*(K6+1/$C$12)</f>
        <v>#DIV/0!</v>
      </c>
      <c r="L27" s="93" t="e">
        <f t="shared" si="16"/>
        <v>#DIV/0!</v>
      </c>
      <c r="M27" s="93" t="e">
        <f t="shared" si="16"/>
        <v>#DIV/0!</v>
      </c>
      <c r="N27" s="93" t="e">
        <f t="shared" si="16"/>
        <v>#DIV/0!</v>
      </c>
      <c r="O27" s="93" t="e">
        <f t="shared" si="16"/>
        <v>#DIV/0!</v>
      </c>
      <c r="P27" s="93" t="e">
        <f t="shared" si="16"/>
        <v>#DIV/0!</v>
      </c>
      <c r="Q27" s="93" t="e">
        <f t="shared" si="16"/>
        <v>#DIV/0!</v>
      </c>
      <c r="R27" s="93" t="e">
        <f t="shared" si="16"/>
        <v>#DIV/0!</v>
      </c>
      <c r="S27" s="93" t="e">
        <f t="shared" si="16"/>
        <v>#DIV/0!</v>
      </c>
      <c r="T27" s="93" t="e">
        <f t="shared" si="16"/>
        <v>#DIV/0!</v>
      </c>
      <c r="U27" s="93" t="e">
        <f t="shared" si="16"/>
        <v>#DIV/0!</v>
      </c>
      <c r="V27" s="93" t="e">
        <f t="shared" si="16"/>
        <v>#DIV/0!</v>
      </c>
    </row>
    <row r="28" spans="2:32">
      <c r="F28" s="3" t="s">
        <v>352</v>
      </c>
      <c r="G28" s="3" t="s">
        <v>353</v>
      </c>
      <c r="H28" s="3" t="s">
        <v>357</v>
      </c>
      <c r="J28" s="173" t="e">
        <f>J27/((1+J18/$C$12)^2*J14)</f>
        <v>#DIV/0!</v>
      </c>
    </row>
    <row r="29" spans="2:32">
      <c r="E29" s="80"/>
      <c r="F29" s="100" t="s">
        <v>354</v>
      </c>
      <c r="G29" s="100" t="s">
        <v>355</v>
      </c>
      <c r="H29" s="100" t="s">
        <v>356</v>
      </c>
      <c r="I29" s="101"/>
      <c r="J29" s="102" t="e">
        <f>J28*J20</f>
        <v>#DIV/0!</v>
      </c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</row>
    <row r="30" spans="2:32">
      <c r="E30" s="79" t="s">
        <v>358</v>
      </c>
      <c r="F30" s="79" t="s">
        <v>308</v>
      </c>
      <c r="G30" s="79" t="s">
        <v>359</v>
      </c>
      <c r="H30" s="79" t="s">
        <v>360</v>
      </c>
      <c r="I30" s="74"/>
      <c r="J30" s="76"/>
      <c r="K30" s="74" t="e">
        <f t="shared" ref="K30:V30" si="17">K12+0.0001</f>
        <v>#VALUE!</v>
      </c>
      <c r="L30" s="74" t="e">
        <f t="shared" si="17"/>
        <v>#VALUE!</v>
      </c>
      <c r="M30" s="74" t="e">
        <f t="shared" si="17"/>
        <v>#VALUE!</v>
      </c>
      <c r="N30" s="74" t="e">
        <f t="shared" si="17"/>
        <v>#VALUE!</v>
      </c>
      <c r="O30" s="74" t="e">
        <f t="shared" si="17"/>
        <v>#VALUE!</v>
      </c>
      <c r="P30" s="74" t="e">
        <f t="shared" si="17"/>
        <v>#VALUE!</v>
      </c>
      <c r="Q30" s="74" t="e">
        <f t="shared" si="17"/>
        <v>#VALUE!</v>
      </c>
      <c r="R30" s="74" t="e">
        <f t="shared" si="17"/>
        <v>#VALUE!</v>
      </c>
      <c r="S30" s="74" t="e">
        <f t="shared" si="17"/>
        <v>#VALUE!</v>
      </c>
      <c r="T30" s="74" t="e">
        <f t="shared" si="17"/>
        <v>#VALUE!</v>
      </c>
      <c r="U30" s="74" t="e">
        <f t="shared" si="17"/>
        <v>#VALUE!</v>
      </c>
      <c r="V30" s="74" t="e">
        <f t="shared" si="17"/>
        <v>#VALUE!</v>
      </c>
    </row>
    <row r="31" spans="2:32">
      <c r="F31" s="3" t="s">
        <v>315</v>
      </c>
      <c r="G31" s="3" t="s">
        <v>361</v>
      </c>
      <c r="H31" s="3" t="s">
        <v>362</v>
      </c>
      <c r="J31" s="77"/>
      <c r="K31" s="1" t="e">
        <f t="shared" ref="K31:V31" si="18">1/EXP(K6*K30)</f>
        <v>#VALUE!</v>
      </c>
      <c r="L31" s="1" t="e">
        <f t="shared" si="18"/>
        <v>#VALUE!</v>
      </c>
      <c r="M31" s="1" t="e">
        <f t="shared" si="18"/>
        <v>#VALUE!</v>
      </c>
      <c r="N31" s="1" t="e">
        <f t="shared" si="18"/>
        <v>#VALUE!</v>
      </c>
      <c r="O31" s="1" t="e">
        <f t="shared" si="18"/>
        <v>#VALUE!</v>
      </c>
      <c r="P31" s="1" t="e">
        <f t="shared" si="18"/>
        <v>#VALUE!</v>
      </c>
      <c r="Q31" s="1" t="e">
        <f t="shared" si="18"/>
        <v>#VALUE!</v>
      </c>
      <c r="R31" s="1" t="e">
        <f t="shared" si="18"/>
        <v>#VALUE!</v>
      </c>
      <c r="S31" s="1" t="e">
        <f t="shared" si="18"/>
        <v>#VALUE!</v>
      </c>
      <c r="T31" s="1" t="e">
        <f t="shared" si="18"/>
        <v>#VALUE!</v>
      </c>
      <c r="U31" s="1" t="e">
        <f t="shared" si="18"/>
        <v>#VALUE!</v>
      </c>
      <c r="V31" s="1" t="e">
        <f t="shared" si="18"/>
        <v>#VALUE!</v>
      </c>
    </row>
    <row r="32" spans="2:32">
      <c r="F32" s="3" t="s">
        <v>2</v>
      </c>
      <c r="G32" s="3" t="s">
        <v>363</v>
      </c>
      <c r="H32" s="3" t="s">
        <v>364</v>
      </c>
      <c r="J32" s="176" t="e">
        <f>SUM(K32:V32)</f>
        <v>#VALUE!</v>
      </c>
      <c r="K32" s="94" t="e">
        <f t="shared" ref="K32:V32" si="19">K9*K31</f>
        <v>#VALUE!</v>
      </c>
      <c r="L32" s="1" t="e">
        <f t="shared" si="19"/>
        <v>#VALUE!</v>
      </c>
      <c r="M32" s="1" t="e">
        <f t="shared" si="19"/>
        <v>#VALUE!</v>
      </c>
      <c r="N32" s="1" t="e">
        <f t="shared" si="19"/>
        <v>#VALUE!</v>
      </c>
      <c r="O32" s="1" t="e">
        <f t="shared" si="19"/>
        <v>#VALUE!</v>
      </c>
      <c r="P32" s="1" t="e">
        <f t="shared" si="19"/>
        <v>#VALUE!</v>
      </c>
      <c r="Q32" s="1" t="e">
        <f t="shared" si="19"/>
        <v>#VALUE!</v>
      </c>
      <c r="R32" s="1" t="e">
        <f t="shared" si="19"/>
        <v>#VALUE!</v>
      </c>
      <c r="S32" s="1" t="e">
        <f t="shared" si="19"/>
        <v>#VALUE!</v>
      </c>
      <c r="T32" s="1" t="e">
        <f t="shared" si="19"/>
        <v>#VALUE!</v>
      </c>
      <c r="U32" s="1" t="e">
        <f t="shared" si="19"/>
        <v>#VALUE!</v>
      </c>
      <c r="V32" s="1" t="e">
        <f t="shared" si="19"/>
        <v>#VALUE!</v>
      </c>
    </row>
    <row r="33" spans="2:38">
      <c r="E33" s="80"/>
      <c r="F33" s="80" t="s">
        <v>358</v>
      </c>
      <c r="G33" s="80" t="s">
        <v>365</v>
      </c>
      <c r="H33" s="80" t="s">
        <v>366</v>
      </c>
      <c r="I33" s="75"/>
      <c r="J33" s="177" t="e">
        <f>J32-J14</f>
        <v>#VALUE!</v>
      </c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</row>
    <row r="35" spans="2:38">
      <c r="B35" s="103"/>
      <c r="C35" s="103"/>
      <c r="D35" s="103"/>
      <c r="E35" s="68" t="s">
        <v>311</v>
      </c>
      <c r="F35" s="68"/>
      <c r="G35" s="135" t="s">
        <v>399</v>
      </c>
      <c r="H35" s="135" t="s">
        <v>265</v>
      </c>
      <c r="I35" s="135" t="s">
        <v>367</v>
      </c>
      <c r="J35" s="135" t="s">
        <v>370</v>
      </c>
    </row>
    <row r="36" spans="2:38">
      <c r="E36" s="1"/>
      <c r="F36" s="3" t="s">
        <v>371</v>
      </c>
      <c r="G36" s="136"/>
      <c r="H36" s="108">
        <f>I36-J36</f>
        <v>0</v>
      </c>
      <c r="I36" s="163">
        <f>J11</f>
        <v>1.3889799999999999E-3</v>
      </c>
      <c r="J36" s="109">
        <f>K11</f>
        <v>1.3889799999999999E-3</v>
      </c>
    </row>
    <row r="37" spans="2:38">
      <c r="F37" s="3" t="s">
        <v>2</v>
      </c>
      <c r="G37" s="136" t="e">
        <f>H37/I37</f>
        <v>#VALUE!</v>
      </c>
      <c r="H37" s="106" t="e">
        <f>I37-J37</f>
        <v>#VALUE!</v>
      </c>
      <c r="I37" s="164">
        <f>Result!F7</f>
        <v>5535542219.77843</v>
      </c>
      <c r="J37" s="110" t="e">
        <f>J14</f>
        <v>#VALUE!</v>
      </c>
    </row>
    <row r="38" spans="2:38">
      <c r="F38" s="3" t="s">
        <v>368</v>
      </c>
      <c r="G38" s="136" t="e">
        <f>H38/I38</f>
        <v>#DIV/0!</v>
      </c>
      <c r="H38" s="107" t="e">
        <f>I38-J38</f>
        <v>#DIV/0!</v>
      </c>
      <c r="I38" s="171">
        <f>Result!F11</f>
        <v>5.6926616650735999</v>
      </c>
      <c r="J38" s="111" t="e">
        <f>J23</f>
        <v>#DIV/0!</v>
      </c>
    </row>
    <row r="39" spans="2:38">
      <c r="F39" s="3" t="s">
        <v>349</v>
      </c>
      <c r="G39" s="136" t="e">
        <f>H39/I39</f>
        <v>#DIV/0!</v>
      </c>
      <c r="H39" s="107" t="e">
        <f>I39-J39</f>
        <v>#DIV/0!</v>
      </c>
      <c r="I39" s="171">
        <f>Result!F12</f>
        <v>35.128992231632999</v>
      </c>
      <c r="J39" s="111" t="e">
        <f>J28</f>
        <v>#DIV/0!</v>
      </c>
      <c r="K39" s="1" t="s">
        <v>369</v>
      </c>
    </row>
    <row r="40" spans="2:38">
      <c r="F40" s="3" t="s">
        <v>358</v>
      </c>
      <c r="G40" s="136" t="e">
        <f>H40/I40</f>
        <v>#VALUE!</v>
      </c>
      <c r="H40" s="106" t="e">
        <f>I40-J40</f>
        <v>#VALUE!</v>
      </c>
      <c r="I40" s="164">
        <f>Result!F13</f>
        <v>-3150203.6234045001</v>
      </c>
      <c r="J40" s="110" t="e">
        <f>J33</f>
        <v>#VALUE!</v>
      </c>
    </row>
    <row r="41" spans="2:38">
      <c r="G41" s="136"/>
      <c r="I41" s="165"/>
      <c r="J41" s="137"/>
      <c r="K41" s="13" t="s">
        <v>420</v>
      </c>
      <c r="L41" s="13" t="s">
        <v>421</v>
      </c>
      <c r="M41" s="13" t="s">
        <v>422</v>
      </c>
      <c r="X41" s="3" t="s">
        <v>406</v>
      </c>
    </row>
    <row r="42" spans="2:38">
      <c r="C42" s="3"/>
      <c r="F42" s="68" t="s">
        <v>404</v>
      </c>
      <c r="G42" s="152" t="e">
        <f>H42/I42</f>
        <v>#VALUE!</v>
      </c>
      <c r="H42" s="153" t="e">
        <f>I42-J42</f>
        <v>#VALUE!</v>
      </c>
      <c r="I42" s="166">
        <f>IF(K42="GIRR",VLOOKUP(M42,Result!M7:N18,2,FALSE),VLOOKUP(M42,Result!J7:K11,2,FALSE))</f>
        <v>-4285230.3504943848</v>
      </c>
      <c r="J42" s="157" t="e">
        <f>(J46-J14)*10000</f>
        <v>#VALUE!</v>
      </c>
      <c r="K42" s="140" t="s">
        <v>402</v>
      </c>
      <c r="L42" s="140">
        <v>90</v>
      </c>
      <c r="M42" s="141">
        <f>L42/360</f>
        <v>0.25</v>
      </c>
      <c r="N42" s="139" t="s">
        <v>405</v>
      </c>
      <c r="Z42" s="3" t="s">
        <v>415</v>
      </c>
      <c r="AD42" s="3" t="s">
        <v>416</v>
      </c>
      <c r="AH42" s="3" t="s">
        <v>418</v>
      </c>
      <c r="AJ42" s="3"/>
      <c r="AK42" s="3" t="s">
        <v>419</v>
      </c>
    </row>
    <row r="43" spans="2:38">
      <c r="F43" s="79" t="s">
        <v>308</v>
      </c>
      <c r="G43" s="79" t="s">
        <v>309</v>
      </c>
      <c r="H43" s="79" t="s">
        <v>310</v>
      </c>
      <c r="I43" s="167"/>
      <c r="J43" s="79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74" t="e" cm="1">
        <f t="array" ref="N43">lin_int(N5,$AA$44:$AB$53)+lin_int(N5,$AE$44:$AF$48)</f>
        <v>#VALUE!</v>
      </c>
      <c r="O43" s="74" t="e" cm="1">
        <f t="array" ref="O43">lin_int(O5,$AA$44:$AB$53)+lin_int(O5,$AE$44:$AF$48)</f>
        <v>#VALUE!</v>
      </c>
      <c r="P43" s="74" t="e" cm="1">
        <f t="array" ref="P43">lin_int(P5,$AA$44:$AB$53)+lin_int(P5,$AE$44:$AF$48)</f>
        <v>#VALUE!</v>
      </c>
      <c r="Q43" s="74" t="e" cm="1">
        <f t="array" ref="Q43">lin_int(Q5,$AA$44:$AB$53)+lin_int(Q5,$AE$44:$AF$48)</f>
        <v>#VALUE!</v>
      </c>
      <c r="R43" s="74" t="e" cm="1">
        <f t="array" ref="R43">lin_int(R5,$AA$44:$AB$53)+lin_int(R5,$AE$44:$AF$48)</f>
        <v>#VALUE!</v>
      </c>
      <c r="S43" s="74" t="e" cm="1">
        <f t="array" ref="S43">lin_int(S5,$AA$44:$AB$53)+lin_int(S5,$AE$44:$AF$48)</f>
        <v>#VALUE!</v>
      </c>
      <c r="T43" s="74" t="e" cm="1">
        <f t="array" ref="T43">lin_int(T5,$AA$44:$AB$53)+lin_int(T5,$AE$44:$AF$48)</f>
        <v>#VALUE!</v>
      </c>
      <c r="U43" s="74" t="e" cm="1">
        <f t="array" ref="U43">lin_int(U5,$AA$44:$AB$53)+lin_int(U5,$AE$44:$AF$48)</f>
        <v>#VALUE!</v>
      </c>
      <c r="V43" s="74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400</v>
      </c>
      <c r="AB43" s="13" t="s">
        <v>12</v>
      </c>
      <c r="AD43" s="13" t="s">
        <v>11</v>
      </c>
      <c r="AE43" s="13" t="s">
        <v>400</v>
      </c>
      <c r="AF43" s="13" t="s">
        <v>12</v>
      </c>
      <c r="AH43" s="14" t="s">
        <v>400</v>
      </c>
      <c r="AI43" s="14" t="s">
        <v>2</v>
      </c>
      <c r="AJ43" s="2"/>
      <c r="AK43" s="14" t="s">
        <v>400</v>
      </c>
      <c r="AL43" s="14" t="s">
        <v>2</v>
      </c>
    </row>
    <row r="44" spans="2:38">
      <c r="F44" s="3" t="s">
        <v>308</v>
      </c>
      <c r="G44" s="3" t="s">
        <v>318</v>
      </c>
      <c r="H44" s="3" t="s">
        <v>319</v>
      </c>
      <c r="I44" s="165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 t="e">
        <f t="shared" si="21"/>
        <v>#NUM!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 t="e">
        <f t="shared" si="22"/>
        <v>#NUM!</v>
      </c>
      <c r="AF44" s="32">
        <f>AF9+IF(AND($K$42="CSR",$L$42=AD44), 0.0001, 0)</f>
        <v>0</v>
      </c>
      <c r="AH44" s="31" t="e">
        <f>AA44</f>
        <v>#NUM!</v>
      </c>
      <c r="AI44" s="32">
        <f t="shared" ref="AI44:AI53" si="23">AB9+IF($K$49="GIRR",$L$49,0)*$M$49</f>
        <v>3.3700000000000001E-2</v>
      </c>
      <c r="AK44" s="31" t="e">
        <f>AE44</f>
        <v>#NUM!</v>
      </c>
      <c r="AL44" s="32">
        <f>AF9+IF($K$49="CSR",$L$49,0)*$M$49</f>
        <v>-0.05</v>
      </c>
    </row>
    <row r="45" spans="2:38">
      <c r="F45" s="3" t="s">
        <v>315</v>
      </c>
      <c r="G45" s="3" t="s">
        <v>320</v>
      </c>
      <c r="H45" s="3" t="s">
        <v>409</v>
      </c>
      <c r="I45" s="165"/>
      <c r="J45" s="145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 t="e">
        <f t="shared" si="21"/>
        <v>#NUM!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 t="e">
        <f t="shared" si="22"/>
        <v>#NUM!</v>
      </c>
      <c r="AF45" s="32">
        <f>AF10+IF(AND($K$42="CSR",$L$42=AD45), 0.0001, 0)</f>
        <v>0</v>
      </c>
      <c r="AH45" s="31" t="e">
        <f t="shared" ref="AH45:AH53" si="26">AA45</f>
        <v>#NUM!</v>
      </c>
      <c r="AI45" s="32">
        <f t="shared" si="23"/>
        <v>3.1699999999999999E-2</v>
      </c>
      <c r="AK45" s="31" t="e">
        <f>AE45</f>
        <v>#NUM!</v>
      </c>
      <c r="AL45" s="32">
        <f>AF10+IF($K$49="CSR",$L$49,0)*$M$49</f>
        <v>-0.05</v>
      </c>
    </row>
    <row r="46" spans="2:38">
      <c r="F46" s="80" t="s">
        <v>2</v>
      </c>
      <c r="G46" s="80" t="s">
        <v>321</v>
      </c>
      <c r="H46" s="80" t="s">
        <v>322</v>
      </c>
      <c r="I46" s="168"/>
      <c r="J46" s="138" t="e">
        <f>SUM(K46:V46)</f>
        <v>#VALUE!</v>
      </c>
      <c r="K46" s="83" t="e">
        <f t="shared" ref="K46:V46" si="27">K45*K9</f>
        <v>#VALUE!</v>
      </c>
      <c r="L46" s="83" t="e">
        <f t="shared" si="27"/>
        <v>#VALUE!</v>
      </c>
      <c r="M46" s="83" t="e">
        <f t="shared" si="27"/>
        <v>#VALUE!</v>
      </c>
      <c r="N46" s="83" t="e">
        <f t="shared" si="27"/>
        <v>#VALUE!</v>
      </c>
      <c r="O46" s="83" t="e">
        <f t="shared" si="27"/>
        <v>#VALUE!</v>
      </c>
      <c r="P46" s="83" t="e">
        <f t="shared" si="27"/>
        <v>#VALUE!</v>
      </c>
      <c r="Q46" s="83" t="e">
        <f t="shared" si="27"/>
        <v>#VALUE!</v>
      </c>
      <c r="R46" s="83" t="e">
        <f t="shared" si="27"/>
        <v>#VALUE!</v>
      </c>
      <c r="S46" s="83" t="e">
        <f t="shared" si="27"/>
        <v>#VALUE!</v>
      </c>
      <c r="T46" s="83" t="e">
        <f t="shared" si="27"/>
        <v>#VALUE!</v>
      </c>
      <c r="U46" s="83" t="e">
        <f t="shared" si="27"/>
        <v>#VALUE!</v>
      </c>
      <c r="V46" s="83" t="e">
        <f t="shared" si="27"/>
        <v>#VALUE!</v>
      </c>
      <c r="X46" s="18">
        <v>3</v>
      </c>
      <c r="Y46" s="2"/>
      <c r="Z46" s="31">
        <f t="shared" si="21"/>
        <v>360</v>
      </c>
      <c r="AA46" s="31" t="e">
        <f t="shared" si="21"/>
        <v>#NUM!</v>
      </c>
      <c r="AB46" s="32">
        <f t="shared" si="25"/>
        <v>2.8500000000000001E-2</v>
      </c>
      <c r="AD46" s="31">
        <f t="shared" si="22"/>
        <v>1080</v>
      </c>
      <c r="AE46" s="31" t="e">
        <f t="shared" si="22"/>
        <v>#NUM!</v>
      </c>
      <c r="AF46" s="32">
        <f>AF11+IF(AND($K$42="CSR",$L$42=AD46), 0.0001, 0)</f>
        <v>0</v>
      </c>
      <c r="AH46" s="31" t="e">
        <f t="shared" si="26"/>
        <v>#NUM!</v>
      </c>
      <c r="AI46" s="32">
        <f t="shared" si="23"/>
        <v>2.8500000000000001E-2</v>
      </c>
      <c r="AK46" s="31" t="e">
        <f>AE46</f>
        <v>#NUM!</v>
      </c>
      <c r="AL46" s="32">
        <f>AF11+IF($K$49="CSR",$L$49,0)*$M$49</f>
        <v>-0.05</v>
      </c>
    </row>
    <row r="47" spans="2:38">
      <c r="I47" s="169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 t="e">
        <f t="shared" si="21"/>
        <v>#NUM!</v>
      </c>
      <c r="AB47" s="32">
        <f t="shared" si="25"/>
        <v>2.7199999999999998E-2</v>
      </c>
      <c r="AD47" s="31">
        <f t="shared" si="22"/>
        <v>1800</v>
      </c>
      <c r="AE47" s="31" t="e">
        <f t="shared" si="22"/>
        <v>#NUM!</v>
      </c>
      <c r="AF47" s="32">
        <f>AF12+IF(AND($K$42="CSR",$L$42=AD47), 0.0001, 0)</f>
        <v>5.0000000000000001E-4</v>
      </c>
      <c r="AH47" s="31" t="e">
        <f t="shared" si="26"/>
        <v>#NUM!</v>
      </c>
      <c r="AI47" s="32">
        <f t="shared" si="23"/>
        <v>2.7199999999999998E-2</v>
      </c>
      <c r="AK47" s="31" t="e">
        <f>AE47</f>
        <v>#NUM!</v>
      </c>
      <c r="AL47" s="32">
        <f>AF12+IF($K$49="CSR",$L$49,0)*$M$49</f>
        <v>-4.9500000000000002E-2</v>
      </c>
    </row>
    <row r="48" spans="2:38">
      <c r="I48" s="165"/>
      <c r="K48" s="13" t="s">
        <v>420</v>
      </c>
      <c r="L48" s="13" t="s">
        <v>423</v>
      </c>
      <c r="M48" s="13" t="s">
        <v>424</v>
      </c>
      <c r="X48" s="18">
        <v>5</v>
      </c>
      <c r="Y48" s="2"/>
      <c r="Z48" s="31">
        <f t="shared" si="21"/>
        <v>1080</v>
      </c>
      <c r="AA48" s="31" t="e">
        <f t="shared" si="21"/>
        <v>#NUM!</v>
      </c>
      <c r="AB48" s="32">
        <f t="shared" si="25"/>
        <v>2.69E-2</v>
      </c>
      <c r="AD48" s="31">
        <f t="shared" si="22"/>
        <v>3600</v>
      </c>
      <c r="AE48" s="31" t="e">
        <f t="shared" si="22"/>
        <v>#NUM!</v>
      </c>
      <c r="AF48" s="32">
        <f>AF13+IF(AND($K$42="CSR",$L$42=AD48), 0.0001, 0)</f>
        <v>1E-3</v>
      </c>
      <c r="AH48" s="31" t="e">
        <f t="shared" si="26"/>
        <v>#NUM!</v>
      </c>
      <c r="AI48" s="32">
        <f t="shared" si="23"/>
        <v>2.69E-2</v>
      </c>
      <c r="AK48" s="31" t="e">
        <f>AE48</f>
        <v>#NUM!</v>
      </c>
      <c r="AL48" s="32">
        <f>AF13+IF($K$49="CSR",$L$49,0)*$M$49</f>
        <v>-4.9000000000000002E-2</v>
      </c>
    </row>
    <row r="49" spans="6:35">
      <c r="F49" s="155" t="s">
        <v>414</v>
      </c>
      <c r="G49" s="152" t="e">
        <f>H49/I49</f>
        <v>#VALUE!</v>
      </c>
      <c r="H49" s="153" t="e">
        <f>I49-J49</f>
        <v>#VALUE!</v>
      </c>
      <c r="I49" s="170">
        <f>IF(K49="GIRR", IF(M49=1, Result!N24, Result!N25), IF(M49=1, Result!K24,Result!K25))</f>
        <v>1830592484.9111242</v>
      </c>
      <c r="J49" s="156" t="e">
        <f>J53-J14</f>
        <v>#VALUE!</v>
      </c>
      <c r="K49" s="140" t="s">
        <v>403</v>
      </c>
      <c r="L49" s="140">
        <f>IF(K49="GIRR", Result!F34, Result!F35)</f>
        <v>0.05</v>
      </c>
      <c r="M49" s="154">
        <v>-1</v>
      </c>
      <c r="N49" s="139" t="s">
        <v>417</v>
      </c>
      <c r="X49" s="18">
        <v>6</v>
      </c>
      <c r="Y49" s="2"/>
      <c r="Z49" s="31">
        <f t="shared" si="21"/>
        <v>1800</v>
      </c>
      <c r="AA49" s="31" t="e">
        <f t="shared" si="21"/>
        <v>#NUM!</v>
      </c>
      <c r="AB49" s="32">
        <f t="shared" si="25"/>
        <v>2.7099999999999999E-2</v>
      </c>
      <c r="AD49" s="31"/>
      <c r="AE49" s="31"/>
      <c r="AF49" s="32"/>
      <c r="AH49" s="31" t="e">
        <f t="shared" si="26"/>
        <v>#NUM!</v>
      </c>
      <c r="AI49" s="32">
        <f t="shared" si="23"/>
        <v>2.7099999999999999E-2</v>
      </c>
    </row>
    <row r="50" spans="6:35">
      <c r="F50" s="79" t="s">
        <v>308</v>
      </c>
      <c r="G50" s="79" t="s">
        <v>309</v>
      </c>
      <c r="H50" s="79" t="s">
        <v>310</v>
      </c>
      <c r="I50" s="167"/>
      <c r="J50" s="79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74" t="e" cm="1">
        <f t="array" ref="N50">lin_int(N5,$AH$44:$AI$53)+lin_int(N5,$AK$44:$AL$48)</f>
        <v>#VALUE!</v>
      </c>
      <c r="O50" s="74" t="e" cm="1">
        <f t="array" ref="O50">lin_int(O5,$AH$44:$AI$53)+lin_int(O5,$AK$44:$AL$48)</f>
        <v>#VALUE!</v>
      </c>
      <c r="P50" s="74" t="e" cm="1">
        <f t="array" ref="P50">lin_int(P5,$AH$44:$AI$53)+lin_int(P5,$AK$44:$AL$48)</f>
        <v>#VALUE!</v>
      </c>
      <c r="Q50" s="74" t="e" cm="1">
        <f t="array" ref="Q50">lin_int(Q5,$AH$44:$AI$53)+lin_int(Q5,$AK$44:$AL$48)</f>
        <v>#VALUE!</v>
      </c>
      <c r="R50" s="74" t="e" cm="1">
        <f t="array" ref="R50">lin_int(R5,$AH$44:$AI$53)+lin_int(R5,$AK$44:$AL$48)</f>
        <v>#VALUE!</v>
      </c>
      <c r="S50" s="74" t="e" cm="1">
        <f t="array" ref="S50">lin_int(S5,$AH$44:$AI$53)+lin_int(S5,$AK$44:$AL$48)</f>
        <v>#VALUE!</v>
      </c>
      <c r="T50" s="74" t="e" cm="1">
        <f t="array" ref="T50">lin_int(T5,$AH$44:$AI$53)+lin_int(T5,$AK$44:$AL$48)</f>
        <v>#VALUE!</v>
      </c>
      <c r="U50" s="74" t="e" cm="1">
        <f t="array" ref="U50">lin_int(U5,$AH$44:$AI$53)+lin_int(U5,$AK$44:$AL$48)</f>
        <v>#VALUE!</v>
      </c>
      <c r="V50" s="74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 t="e">
        <f t="shared" si="21"/>
        <v>#NUM!</v>
      </c>
      <c r="AB50" s="32">
        <f t="shared" si="25"/>
        <v>2.7799999999999998E-2</v>
      </c>
      <c r="AD50" s="31"/>
      <c r="AE50" s="31"/>
      <c r="AF50" s="32"/>
      <c r="AH50" s="31" t="e">
        <f t="shared" si="26"/>
        <v>#NUM!</v>
      </c>
      <c r="AI50" s="32">
        <f t="shared" si="23"/>
        <v>2.7799999999999998E-2</v>
      </c>
    </row>
    <row r="51" spans="6:35">
      <c r="F51" s="3" t="s">
        <v>308</v>
      </c>
      <c r="G51" s="3" t="s">
        <v>318</v>
      </c>
      <c r="H51" s="3" t="s">
        <v>319</v>
      </c>
      <c r="I51" s="165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 t="e">
        <f t="shared" si="21"/>
        <v>#NUM!</v>
      </c>
      <c r="AB51" s="32">
        <f t="shared" si="25"/>
        <v>2.7199999999999998E-2</v>
      </c>
      <c r="AD51" s="31"/>
      <c r="AE51" s="31"/>
      <c r="AF51" s="32"/>
      <c r="AH51" s="31" t="e">
        <f t="shared" si="26"/>
        <v>#NUM!</v>
      </c>
      <c r="AI51" s="32">
        <f t="shared" si="23"/>
        <v>2.7199999999999998E-2</v>
      </c>
    </row>
    <row r="52" spans="6:35">
      <c r="F52" s="3" t="s">
        <v>315</v>
      </c>
      <c r="G52" s="3" t="s">
        <v>320</v>
      </c>
      <c r="H52" s="3" t="s">
        <v>409</v>
      </c>
      <c r="I52" s="165"/>
      <c r="J52" s="145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 t="e">
        <f t="shared" si="21"/>
        <v>#NUM!</v>
      </c>
      <c r="AB52" s="32">
        <f t="shared" si="25"/>
        <v>2.5399999999999999E-2</v>
      </c>
      <c r="AD52" s="31"/>
      <c r="AE52" s="31"/>
      <c r="AF52" s="32"/>
      <c r="AH52" s="31" t="e">
        <f t="shared" si="26"/>
        <v>#NUM!</v>
      </c>
      <c r="AI52" s="32">
        <f t="shared" si="23"/>
        <v>2.5399999999999999E-2</v>
      </c>
    </row>
    <row r="53" spans="6:35">
      <c r="F53" s="80" t="s">
        <v>2</v>
      </c>
      <c r="G53" s="80" t="s">
        <v>321</v>
      </c>
      <c r="H53" s="80" t="s">
        <v>322</v>
      </c>
      <c r="I53" s="168"/>
      <c r="J53" s="138" t="e">
        <f>SUM(K53:V53)</f>
        <v>#VALUE!</v>
      </c>
      <c r="K53" s="83" t="e">
        <f t="shared" ref="K53:V53" si="30">K52*K9</f>
        <v>#VALUE!</v>
      </c>
      <c r="L53" s="83" t="e">
        <f t="shared" si="30"/>
        <v>#VALUE!</v>
      </c>
      <c r="M53" s="83" t="e">
        <f t="shared" si="30"/>
        <v>#VALUE!</v>
      </c>
      <c r="N53" s="83" t="e">
        <f t="shared" si="30"/>
        <v>#VALUE!</v>
      </c>
      <c r="O53" s="83" t="e">
        <f t="shared" si="30"/>
        <v>#VALUE!</v>
      </c>
      <c r="P53" s="83" t="e">
        <f t="shared" si="30"/>
        <v>#VALUE!</v>
      </c>
      <c r="Q53" s="83" t="e">
        <f t="shared" si="30"/>
        <v>#VALUE!</v>
      </c>
      <c r="R53" s="83" t="e">
        <f t="shared" si="30"/>
        <v>#VALUE!</v>
      </c>
      <c r="S53" s="83" t="e">
        <f t="shared" si="30"/>
        <v>#VALUE!</v>
      </c>
      <c r="T53" s="83" t="e">
        <f t="shared" si="30"/>
        <v>#VALUE!</v>
      </c>
      <c r="U53" s="83" t="e">
        <f t="shared" si="30"/>
        <v>#VALUE!</v>
      </c>
      <c r="V53" s="83" t="e">
        <f t="shared" si="30"/>
        <v>#VALUE!</v>
      </c>
      <c r="X53" s="21">
        <v>10</v>
      </c>
      <c r="Y53" s="2"/>
      <c r="Z53" s="31">
        <f t="shared" si="21"/>
        <v>10800</v>
      </c>
      <c r="AA53" s="31" t="e">
        <f t="shared" si="21"/>
        <v>#NUM!</v>
      </c>
      <c r="AB53" s="32">
        <f t="shared" si="25"/>
        <v>2.2200000000000001E-2</v>
      </c>
      <c r="AD53" s="31"/>
      <c r="AE53" s="31"/>
      <c r="AF53" s="32"/>
      <c r="AH53" s="31" t="e">
        <f t="shared" si="26"/>
        <v>#NUM!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13" customWidth="1"/>
    <col min="2" max="2" width="3.6640625" style="113" customWidth="1"/>
    <col min="3" max="7" width="8.6640625" style="113"/>
    <col min="8" max="8" width="18.33203125" style="113" bestFit="1" customWidth="1"/>
    <col min="9" max="256" width="8.6640625" style="113"/>
    <col min="257" max="257" width="6.6640625" style="113" customWidth="1"/>
    <col min="258" max="263" width="8.6640625" style="113"/>
    <col min="264" max="264" width="18.33203125" style="113" bestFit="1" customWidth="1"/>
    <col min="265" max="512" width="8.6640625" style="113"/>
    <col min="513" max="513" width="6.6640625" style="113" customWidth="1"/>
    <col min="514" max="519" width="8.6640625" style="113"/>
    <col min="520" max="520" width="18.33203125" style="113" bestFit="1" customWidth="1"/>
    <col min="521" max="768" width="8.6640625" style="113"/>
    <col min="769" max="769" width="6.6640625" style="113" customWidth="1"/>
    <col min="770" max="775" width="8.6640625" style="113"/>
    <col min="776" max="776" width="18.33203125" style="113" bestFit="1" customWidth="1"/>
    <col min="777" max="1024" width="8.6640625" style="113"/>
    <col min="1025" max="1025" width="6.6640625" style="113" customWidth="1"/>
    <col min="1026" max="1031" width="8.6640625" style="113"/>
    <col min="1032" max="1032" width="18.33203125" style="113" bestFit="1" customWidth="1"/>
    <col min="1033" max="1280" width="8.6640625" style="113"/>
    <col min="1281" max="1281" width="6.6640625" style="113" customWidth="1"/>
    <col min="1282" max="1287" width="8.6640625" style="113"/>
    <col min="1288" max="1288" width="18.33203125" style="113" bestFit="1" customWidth="1"/>
    <col min="1289" max="1536" width="8.6640625" style="113"/>
    <col min="1537" max="1537" width="6.6640625" style="113" customWidth="1"/>
    <col min="1538" max="1543" width="8.6640625" style="113"/>
    <col min="1544" max="1544" width="18.33203125" style="113" bestFit="1" customWidth="1"/>
    <col min="1545" max="1792" width="8.6640625" style="113"/>
    <col min="1793" max="1793" width="6.6640625" style="113" customWidth="1"/>
    <col min="1794" max="1799" width="8.6640625" style="113"/>
    <col min="1800" max="1800" width="18.33203125" style="113" bestFit="1" customWidth="1"/>
    <col min="1801" max="2048" width="8.6640625" style="113"/>
    <col min="2049" max="2049" width="6.6640625" style="113" customWidth="1"/>
    <col min="2050" max="2055" width="8.6640625" style="113"/>
    <col min="2056" max="2056" width="18.33203125" style="113" bestFit="1" customWidth="1"/>
    <col min="2057" max="2304" width="8.6640625" style="113"/>
    <col min="2305" max="2305" width="6.6640625" style="113" customWidth="1"/>
    <col min="2306" max="2311" width="8.6640625" style="113"/>
    <col min="2312" max="2312" width="18.33203125" style="113" bestFit="1" customWidth="1"/>
    <col min="2313" max="2560" width="8.6640625" style="113"/>
    <col min="2561" max="2561" width="6.6640625" style="113" customWidth="1"/>
    <col min="2562" max="2567" width="8.6640625" style="113"/>
    <col min="2568" max="2568" width="18.33203125" style="113" bestFit="1" customWidth="1"/>
    <col min="2569" max="2816" width="8.6640625" style="113"/>
    <col min="2817" max="2817" width="6.6640625" style="113" customWidth="1"/>
    <col min="2818" max="2823" width="8.6640625" style="113"/>
    <col min="2824" max="2824" width="18.33203125" style="113" bestFit="1" customWidth="1"/>
    <col min="2825" max="3072" width="8.6640625" style="113"/>
    <col min="3073" max="3073" width="6.6640625" style="113" customWidth="1"/>
    <col min="3074" max="3079" width="8.6640625" style="113"/>
    <col min="3080" max="3080" width="18.33203125" style="113" bestFit="1" customWidth="1"/>
    <col min="3081" max="3328" width="8.6640625" style="113"/>
    <col min="3329" max="3329" width="6.6640625" style="113" customWidth="1"/>
    <col min="3330" max="3335" width="8.6640625" style="113"/>
    <col min="3336" max="3336" width="18.33203125" style="113" bestFit="1" customWidth="1"/>
    <col min="3337" max="3584" width="8.6640625" style="113"/>
    <col min="3585" max="3585" width="6.6640625" style="113" customWidth="1"/>
    <col min="3586" max="3591" width="8.6640625" style="113"/>
    <col min="3592" max="3592" width="18.33203125" style="113" bestFit="1" customWidth="1"/>
    <col min="3593" max="3840" width="8.6640625" style="113"/>
    <col min="3841" max="3841" width="6.6640625" style="113" customWidth="1"/>
    <col min="3842" max="3847" width="8.6640625" style="113"/>
    <col min="3848" max="3848" width="18.33203125" style="113" bestFit="1" customWidth="1"/>
    <col min="3849" max="4096" width="8.6640625" style="113"/>
    <col min="4097" max="4097" width="6.6640625" style="113" customWidth="1"/>
    <col min="4098" max="4103" width="8.6640625" style="113"/>
    <col min="4104" max="4104" width="18.33203125" style="113" bestFit="1" customWidth="1"/>
    <col min="4105" max="4352" width="8.6640625" style="113"/>
    <col min="4353" max="4353" width="6.6640625" style="113" customWidth="1"/>
    <col min="4354" max="4359" width="8.6640625" style="113"/>
    <col min="4360" max="4360" width="18.33203125" style="113" bestFit="1" customWidth="1"/>
    <col min="4361" max="4608" width="8.6640625" style="113"/>
    <col min="4609" max="4609" width="6.6640625" style="113" customWidth="1"/>
    <col min="4610" max="4615" width="8.6640625" style="113"/>
    <col min="4616" max="4616" width="18.33203125" style="113" bestFit="1" customWidth="1"/>
    <col min="4617" max="4864" width="8.6640625" style="113"/>
    <col min="4865" max="4865" width="6.6640625" style="113" customWidth="1"/>
    <col min="4866" max="4871" width="8.6640625" style="113"/>
    <col min="4872" max="4872" width="18.33203125" style="113" bestFit="1" customWidth="1"/>
    <col min="4873" max="5120" width="8.6640625" style="113"/>
    <col min="5121" max="5121" width="6.6640625" style="113" customWidth="1"/>
    <col min="5122" max="5127" width="8.6640625" style="113"/>
    <col min="5128" max="5128" width="18.33203125" style="113" bestFit="1" customWidth="1"/>
    <col min="5129" max="5376" width="8.6640625" style="113"/>
    <col min="5377" max="5377" width="6.6640625" style="113" customWidth="1"/>
    <col min="5378" max="5383" width="8.6640625" style="113"/>
    <col min="5384" max="5384" width="18.33203125" style="113" bestFit="1" customWidth="1"/>
    <col min="5385" max="5632" width="8.6640625" style="113"/>
    <col min="5633" max="5633" width="6.6640625" style="113" customWidth="1"/>
    <col min="5634" max="5639" width="8.6640625" style="113"/>
    <col min="5640" max="5640" width="18.33203125" style="113" bestFit="1" customWidth="1"/>
    <col min="5641" max="5888" width="8.6640625" style="113"/>
    <col min="5889" max="5889" width="6.6640625" style="113" customWidth="1"/>
    <col min="5890" max="5895" width="8.6640625" style="113"/>
    <col min="5896" max="5896" width="18.33203125" style="113" bestFit="1" customWidth="1"/>
    <col min="5897" max="6144" width="8.6640625" style="113"/>
    <col min="6145" max="6145" width="6.6640625" style="113" customWidth="1"/>
    <col min="6146" max="6151" width="8.6640625" style="113"/>
    <col min="6152" max="6152" width="18.33203125" style="113" bestFit="1" customWidth="1"/>
    <col min="6153" max="6400" width="8.6640625" style="113"/>
    <col min="6401" max="6401" width="6.6640625" style="113" customWidth="1"/>
    <col min="6402" max="6407" width="8.6640625" style="113"/>
    <col min="6408" max="6408" width="18.33203125" style="113" bestFit="1" customWidth="1"/>
    <col min="6409" max="6656" width="8.6640625" style="113"/>
    <col min="6657" max="6657" width="6.6640625" style="113" customWidth="1"/>
    <col min="6658" max="6663" width="8.6640625" style="113"/>
    <col min="6664" max="6664" width="18.33203125" style="113" bestFit="1" customWidth="1"/>
    <col min="6665" max="6912" width="8.6640625" style="113"/>
    <col min="6913" max="6913" width="6.6640625" style="113" customWidth="1"/>
    <col min="6914" max="6919" width="8.6640625" style="113"/>
    <col min="6920" max="6920" width="18.33203125" style="113" bestFit="1" customWidth="1"/>
    <col min="6921" max="7168" width="8.6640625" style="113"/>
    <col min="7169" max="7169" width="6.6640625" style="113" customWidth="1"/>
    <col min="7170" max="7175" width="8.6640625" style="113"/>
    <col min="7176" max="7176" width="18.33203125" style="113" bestFit="1" customWidth="1"/>
    <col min="7177" max="7424" width="8.6640625" style="113"/>
    <col min="7425" max="7425" width="6.6640625" style="113" customWidth="1"/>
    <col min="7426" max="7431" width="8.6640625" style="113"/>
    <col min="7432" max="7432" width="18.33203125" style="113" bestFit="1" customWidth="1"/>
    <col min="7433" max="7680" width="8.6640625" style="113"/>
    <col min="7681" max="7681" width="6.6640625" style="113" customWidth="1"/>
    <col min="7682" max="7687" width="8.6640625" style="113"/>
    <col min="7688" max="7688" width="18.33203125" style="113" bestFit="1" customWidth="1"/>
    <col min="7689" max="7936" width="8.6640625" style="113"/>
    <col min="7937" max="7937" width="6.6640625" style="113" customWidth="1"/>
    <col min="7938" max="7943" width="8.6640625" style="113"/>
    <col min="7944" max="7944" width="18.33203125" style="113" bestFit="1" customWidth="1"/>
    <col min="7945" max="8192" width="8.6640625" style="113"/>
    <col min="8193" max="8193" width="6.6640625" style="113" customWidth="1"/>
    <col min="8194" max="8199" width="8.6640625" style="113"/>
    <col min="8200" max="8200" width="18.33203125" style="113" bestFit="1" customWidth="1"/>
    <col min="8201" max="8448" width="8.6640625" style="113"/>
    <col min="8449" max="8449" width="6.6640625" style="113" customWidth="1"/>
    <col min="8450" max="8455" width="8.6640625" style="113"/>
    <col min="8456" max="8456" width="18.33203125" style="113" bestFit="1" customWidth="1"/>
    <col min="8457" max="8704" width="8.6640625" style="113"/>
    <col min="8705" max="8705" width="6.6640625" style="113" customWidth="1"/>
    <col min="8706" max="8711" width="8.6640625" style="113"/>
    <col min="8712" max="8712" width="18.33203125" style="113" bestFit="1" customWidth="1"/>
    <col min="8713" max="8960" width="8.6640625" style="113"/>
    <col min="8961" max="8961" width="6.6640625" style="113" customWidth="1"/>
    <col min="8962" max="8967" width="8.6640625" style="113"/>
    <col min="8968" max="8968" width="18.33203125" style="113" bestFit="1" customWidth="1"/>
    <col min="8969" max="9216" width="8.6640625" style="113"/>
    <col min="9217" max="9217" width="6.6640625" style="113" customWidth="1"/>
    <col min="9218" max="9223" width="8.6640625" style="113"/>
    <col min="9224" max="9224" width="18.33203125" style="113" bestFit="1" customWidth="1"/>
    <col min="9225" max="9472" width="8.6640625" style="113"/>
    <col min="9473" max="9473" width="6.6640625" style="113" customWidth="1"/>
    <col min="9474" max="9479" width="8.6640625" style="113"/>
    <col min="9480" max="9480" width="18.33203125" style="113" bestFit="1" customWidth="1"/>
    <col min="9481" max="9728" width="8.6640625" style="113"/>
    <col min="9729" max="9729" width="6.6640625" style="113" customWidth="1"/>
    <col min="9730" max="9735" width="8.6640625" style="113"/>
    <col min="9736" max="9736" width="18.33203125" style="113" bestFit="1" customWidth="1"/>
    <col min="9737" max="9984" width="8.6640625" style="113"/>
    <col min="9985" max="9985" width="6.6640625" style="113" customWidth="1"/>
    <col min="9986" max="9991" width="8.6640625" style="113"/>
    <col min="9992" max="9992" width="18.33203125" style="113" bestFit="1" customWidth="1"/>
    <col min="9993" max="10240" width="8.6640625" style="113"/>
    <col min="10241" max="10241" width="6.6640625" style="113" customWidth="1"/>
    <col min="10242" max="10247" width="8.6640625" style="113"/>
    <col min="10248" max="10248" width="18.33203125" style="113" bestFit="1" customWidth="1"/>
    <col min="10249" max="10496" width="8.6640625" style="113"/>
    <col min="10497" max="10497" width="6.6640625" style="113" customWidth="1"/>
    <col min="10498" max="10503" width="8.6640625" style="113"/>
    <col min="10504" max="10504" width="18.33203125" style="113" bestFit="1" customWidth="1"/>
    <col min="10505" max="10752" width="8.6640625" style="113"/>
    <col min="10753" max="10753" width="6.6640625" style="113" customWidth="1"/>
    <col min="10754" max="10759" width="8.6640625" style="113"/>
    <col min="10760" max="10760" width="18.33203125" style="113" bestFit="1" customWidth="1"/>
    <col min="10761" max="11008" width="8.6640625" style="113"/>
    <col min="11009" max="11009" width="6.6640625" style="113" customWidth="1"/>
    <col min="11010" max="11015" width="8.6640625" style="113"/>
    <col min="11016" max="11016" width="18.33203125" style="113" bestFit="1" customWidth="1"/>
    <col min="11017" max="11264" width="8.6640625" style="113"/>
    <col min="11265" max="11265" width="6.6640625" style="113" customWidth="1"/>
    <col min="11266" max="11271" width="8.6640625" style="113"/>
    <col min="11272" max="11272" width="18.33203125" style="113" bestFit="1" customWidth="1"/>
    <col min="11273" max="11520" width="8.6640625" style="113"/>
    <col min="11521" max="11521" width="6.6640625" style="113" customWidth="1"/>
    <col min="11522" max="11527" width="8.6640625" style="113"/>
    <col min="11528" max="11528" width="18.33203125" style="113" bestFit="1" customWidth="1"/>
    <col min="11529" max="11776" width="8.6640625" style="113"/>
    <col min="11777" max="11777" width="6.6640625" style="113" customWidth="1"/>
    <col min="11778" max="11783" width="8.6640625" style="113"/>
    <col min="11784" max="11784" width="18.33203125" style="113" bestFit="1" customWidth="1"/>
    <col min="11785" max="12032" width="8.6640625" style="113"/>
    <col min="12033" max="12033" width="6.6640625" style="113" customWidth="1"/>
    <col min="12034" max="12039" width="8.6640625" style="113"/>
    <col min="12040" max="12040" width="18.33203125" style="113" bestFit="1" customWidth="1"/>
    <col min="12041" max="12288" width="8.6640625" style="113"/>
    <col min="12289" max="12289" width="6.6640625" style="113" customWidth="1"/>
    <col min="12290" max="12295" width="8.6640625" style="113"/>
    <col min="12296" max="12296" width="18.33203125" style="113" bestFit="1" customWidth="1"/>
    <col min="12297" max="12544" width="8.6640625" style="113"/>
    <col min="12545" max="12545" width="6.6640625" style="113" customWidth="1"/>
    <col min="12546" max="12551" width="8.6640625" style="113"/>
    <col min="12552" max="12552" width="18.33203125" style="113" bestFit="1" customWidth="1"/>
    <col min="12553" max="12800" width="8.6640625" style="113"/>
    <col min="12801" max="12801" width="6.6640625" style="113" customWidth="1"/>
    <col min="12802" max="12807" width="8.6640625" style="113"/>
    <col min="12808" max="12808" width="18.33203125" style="113" bestFit="1" customWidth="1"/>
    <col min="12809" max="13056" width="8.6640625" style="113"/>
    <col min="13057" max="13057" width="6.6640625" style="113" customWidth="1"/>
    <col min="13058" max="13063" width="8.6640625" style="113"/>
    <col min="13064" max="13064" width="18.33203125" style="113" bestFit="1" customWidth="1"/>
    <col min="13065" max="13312" width="8.6640625" style="113"/>
    <col min="13313" max="13313" width="6.6640625" style="113" customWidth="1"/>
    <col min="13314" max="13319" width="8.6640625" style="113"/>
    <col min="13320" max="13320" width="18.33203125" style="113" bestFit="1" customWidth="1"/>
    <col min="13321" max="13568" width="8.6640625" style="113"/>
    <col min="13569" max="13569" width="6.6640625" style="113" customWidth="1"/>
    <col min="13570" max="13575" width="8.6640625" style="113"/>
    <col min="13576" max="13576" width="18.33203125" style="113" bestFit="1" customWidth="1"/>
    <col min="13577" max="13824" width="8.6640625" style="113"/>
    <col min="13825" max="13825" width="6.6640625" style="113" customWidth="1"/>
    <col min="13826" max="13831" width="8.6640625" style="113"/>
    <col min="13832" max="13832" width="18.33203125" style="113" bestFit="1" customWidth="1"/>
    <col min="13833" max="14080" width="8.6640625" style="113"/>
    <col min="14081" max="14081" width="6.6640625" style="113" customWidth="1"/>
    <col min="14082" max="14087" width="8.6640625" style="113"/>
    <col min="14088" max="14088" width="18.33203125" style="113" bestFit="1" customWidth="1"/>
    <col min="14089" max="14336" width="8.6640625" style="113"/>
    <col min="14337" max="14337" width="6.6640625" style="113" customWidth="1"/>
    <col min="14338" max="14343" width="8.6640625" style="113"/>
    <col min="14344" max="14344" width="18.33203125" style="113" bestFit="1" customWidth="1"/>
    <col min="14345" max="14592" width="8.6640625" style="113"/>
    <col min="14593" max="14593" width="6.6640625" style="113" customWidth="1"/>
    <col min="14594" max="14599" width="8.6640625" style="113"/>
    <col min="14600" max="14600" width="18.33203125" style="113" bestFit="1" customWidth="1"/>
    <col min="14601" max="14848" width="8.6640625" style="113"/>
    <col min="14849" max="14849" width="6.6640625" style="113" customWidth="1"/>
    <col min="14850" max="14855" width="8.6640625" style="113"/>
    <col min="14856" max="14856" width="18.33203125" style="113" bestFit="1" customWidth="1"/>
    <col min="14857" max="15104" width="8.6640625" style="113"/>
    <col min="15105" max="15105" width="6.6640625" style="113" customWidth="1"/>
    <col min="15106" max="15111" width="8.6640625" style="113"/>
    <col min="15112" max="15112" width="18.33203125" style="113" bestFit="1" customWidth="1"/>
    <col min="15113" max="15360" width="8.6640625" style="113"/>
    <col min="15361" max="15361" width="6.6640625" style="113" customWidth="1"/>
    <col min="15362" max="15367" width="8.6640625" style="113"/>
    <col min="15368" max="15368" width="18.33203125" style="113" bestFit="1" customWidth="1"/>
    <col min="15369" max="15616" width="8.6640625" style="113"/>
    <col min="15617" max="15617" width="6.6640625" style="113" customWidth="1"/>
    <col min="15618" max="15623" width="8.6640625" style="113"/>
    <col min="15624" max="15624" width="18.33203125" style="113" bestFit="1" customWidth="1"/>
    <col min="15625" max="15872" width="8.6640625" style="113"/>
    <col min="15873" max="15873" width="6.6640625" style="113" customWidth="1"/>
    <col min="15874" max="15879" width="8.6640625" style="113"/>
    <col min="15880" max="15880" width="18.33203125" style="113" bestFit="1" customWidth="1"/>
    <col min="15881" max="16128" width="8.6640625" style="113"/>
    <col min="16129" max="16129" width="6.6640625" style="113" customWidth="1"/>
    <col min="16130" max="16135" width="8.6640625" style="113"/>
    <col min="16136" max="16136" width="18.33203125" style="113" bestFit="1" customWidth="1"/>
    <col min="16137" max="16384" width="8.6640625" style="113"/>
  </cols>
  <sheetData>
    <row r="1" spans="2:13">
      <c r="B1" s="112"/>
      <c r="C1" s="112"/>
      <c r="D1" s="112"/>
      <c r="E1" s="112"/>
      <c r="F1" s="112"/>
      <c r="G1" s="112"/>
      <c r="H1" s="112"/>
      <c r="I1" s="112"/>
      <c r="J1" s="112"/>
    </row>
    <row r="2" spans="2:13" ht="21">
      <c r="B2" s="182" t="s">
        <v>398</v>
      </c>
      <c r="C2" s="112"/>
      <c r="D2" s="112"/>
      <c r="E2" s="112"/>
      <c r="F2" s="112"/>
      <c r="G2" s="112"/>
      <c r="H2" s="112"/>
      <c r="I2" s="112"/>
      <c r="J2" s="112"/>
    </row>
    <row r="3" spans="2:13" ht="21">
      <c r="B3" s="114"/>
      <c r="C3" s="112"/>
      <c r="D3" s="112"/>
      <c r="E3" s="112"/>
      <c r="F3" s="112"/>
      <c r="G3" s="112"/>
      <c r="H3" s="112"/>
      <c r="I3" s="112"/>
      <c r="J3" s="112"/>
    </row>
    <row r="4" spans="2:13" s="116" customFormat="1" ht="19.5">
      <c r="B4" s="115" t="s">
        <v>459</v>
      </c>
    </row>
    <row r="5" spans="2:13" ht="81.95" customHeight="1">
      <c r="B5" s="112"/>
      <c r="C5" s="203" t="s">
        <v>460</v>
      </c>
      <c r="D5" s="203"/>
      <c r="E5" s="203"/>
      <c r="F5" s="203"/>
      <c r="G5" s="203"/>
      <c r="H5" s="203"/>
      <c r="I5" s="203"/>
      <c r="J5" s="203"/>
      <c r="K5" s="203"/>
      <c r="L5" s="203"/>
      <c r="M5" s="184"/>
    </row>
    <row r="6" spans="2:13" ht="15.75">
      <c r="B6" s="117"/>
      <c r="C6" s="185" t="s">
        <v>461</v>
      </c>
      <c r="D6" s="185" t="s">
        <v>462</v>
      </c>
      <c r="E6" s="117"/>
      <c r="F6" s="117"/>
      <c r="G6" s="117"/>
      <c r="H6" s="112"/>
      <c r="I6" s="112"/>
      <c r="J6" s="112"/>
    </row>
    <row r="7" spans="2:13" ht="15.75">
      <c r="B7" s="117"/>
      <c r="C7" s="183"/>
      <c r="D7" s="185" t="s">
        <v>463</v>
      </c>
      <c r="E7" s="117"/>
      <c r="F7" s="117"/>
      <c r="G7" s="117"/>
      <c r="H7" s="112"/>
      <c r="I7" s="112"/>
      <c r="J7" s="112"/>
    </row>
    <row r="8" spans="2:13" ht="15.75">
      <c r="B8" s="117"/>
      <c r="C8" s="183"/>
      <c r="D8" s="185" t="s">
        <v>464</v>
      </c>
      <c r="E8" s="117"/>
      <c r="F8" s="117"/>
      <c r="G8" s="117"/>
      <c r="H8" s="112"/>
      <c r="I8" s="112"/>
      <c r="J8" s="112"/>
    </row>
    <row r="9" spans="2:13">
      <c r="B9" s="112"/>
      <c r="C9" s="112"/>
      <c r="D9" s="112"/>
      <c r="E9" s="112"/>
      <c r="F9" s="112"/>
      <c r="G9" s="112"/>
      <c r="H9" s="112"/>
      <c r="I9" s="112"/>
      <c r="J9" s="112"/>
    </row>
    <row r="10" spans="2:13" s="116" customFormat="1" ht="19.5">
      <c r="B10" s="115" t="s">
        <v>372</v>
      </c>
    </row>
    <row r="11" spans="2:13" s="116" customFormat="1" ht="19.5">
      <c r="B11" s="115"/>
    </row>
    <row r="12" spans="2:13" ht="15.75">
      <c r="B12" s="117" t="s">
        <v>373</v>
      </c>
      <c r="C12" s="117"/>
      <c r="D12" s="117"/>
      <c r="E12" s="117"/>
      <c r="F12" s="117"/>
      <c r="G12" s="117"/>
      <c r="H12" s="117"/>
      <c r="I12" s="117"/>
      <c r="J12" s="112"/>
    </row>
    <row r="13" spans="2:13" ht="15.75">
      <c r="B13" s="117" t="s">
        <v>374</v>
      </c>
      <c r="C13" s="117"/>
      <c r="D13" s="117"/>
      <c r="E13" s="117"/>
      <c r="F13" s="117"/>
      <c r="G13" s="117"/>
      <c r="H13" s="117"/>
      <c r="I13" s="117"/>
      <c r="J13" s="112"/>
    </row>
    <row r="14" spans="2:13" ht="15.75">
      <c r="B14" s="117" t="s">
        <v>375</v>
      </c>
      <c r="C14" s="117"/>
      <c r="D14" s="117"/>
      <c r="E14" s="117"/>
      <c r="F14" s="117"/>
      <c r="G14" s="117"/>
      <c r="H14" s="117"/>
      <c r="I14" s="117"/>
      <c r="J14" s="112"/>
    </row>
    <row r="15" spans="2:13" ht="15.75">
      <c r="B15" s="117" t="s">
        <v>376</v>
      </c>
      <c r="C15" s="117"/>
      <c r="D15" s="117"/>
      <c r="E15" s="117"/>
      <c r="F15" s="117"/>
      <c r="G15" s="117"/>
      <c r="H15" s="117"/>
      <c r="I15" s="117"/>
      <c r="J15" s="112"/>
    </row>
    <row r="16" spans="2:13" ht="15.75">
      <c r="B16" s="117" t="s">
        <v>377</v>
      </c>
      <c r="C16" s="117"/>
      <c r="D16" s="117"/>
      <c r="E16" s="117"/>
      <c r="F16" s="117"/>
      <c r="G16" s="117"/>
      <c r="H16" s="117"/>
      <c r="I16" s="117"/>
      <c r="J16" s="112"/>
    </row>
    <row r="17" spans="2:10" ht="15.75">
      <c r="B17" s="117" t="s">
        <v>378</v>
      </c>
      <c r="C17" s="117"/>
      <c r="D17" s="117"/>
      <c r="E17" s="117"/>
      <c r="F17" s="117"/>
      <c r="G17" s="117"/>
      <c r="H17" s="117"/>
      <c r="I17" s="117"/>
      <c r="J17" s="112"/>
    </row>
    <row r="18" spans="2:10" ht="15.75">
      <c r="B18" s="117" t="s">
        <v>379</v>
      </c>
      <c r="C18" s="117"/>
      <c r="D18" s="117"/>
      <c r="E18" s="117"/>
      <c r="F18" s="117"/>
      <c r="G18" s="117"/>
      <c r="H18" s="117"/>
      <c r="I18" s="117"/>
      <c r="J18" s="112"/>
    </row>
    <row r="19" spans="2:10">
      <c r="B19" s="112"/>
      <c r="C19" s="112"/>
      <c r="D19" s="112"/>
      <c r="E19" s="112"/>
      <c r="F19" s="112"/>
      <c r="G19" s="112"/>
      <c r="H19" s="112"/>
      <c r="I19" s="112"/>
      <c r="J19" s="112"/>
    </row>
    <row r="20" spans="2:10">
      <c r="B20" s="112"/>
      <c r="C20" s="112"/>
      <c r="D20" s="112"/>
      <c r="E20" s="112"/>
      <c r="F20" s="112"/>
      <c r="G20" s="112"/>
      <c r="H20" s="112"/>
      <c r="I20" s="112"/>
      <c r="J20" s="112"/>
    </row>
    <row r="21" spans="2:10">
      <c r="B21" s="112"/>
      <c r="C21" s="112"/>
      <c r="D21" s="112"/>
      <c r="E21" s="112"/>
      <c r="F21" s="112"/>
      <c r="G21" s="112"/>
      <c r="H21" s="112"/>
      <c r="I21" s="112"/>
      <c r="J21" s="112"/>
    </row>
    <row r="22" spans="2:10">
      <c r="B22" s="112"/>
      <c r="C22" s="112"/>
      <c r="D22" s="112"/>
      <c r="E22" s="112"/>
      <c r="F22" s="112"/>
      <c r="G22" s="112"/>
      <c r="H22" s="112"/>
      <c r="I22" s="112"/>
      <c r="J22" s="112"/>
    </row>
    <row r="23" spans="2:10">
      <c r="B23" s="112"/>
      <c r="C23" s="112"/>
      <c r="D23" s="112"/>
      <c r="E23" s="112"/>
      <c r="F23" s="112"/>
      <c r="G23" s="112"/>
      <c r="H23" s="112"/>
      <c r="I23" s="112"/>
      <c r="J23" s="112"/>
    </row>
    <row r="24" spans="2:10">
      <c r="B24" s="112"/>
      <c r="C24" s="112"/>
      <c r="D24" s="112"/>
      <c r="E24" s="112"/>
      <c r="F24" s="112"/>
      <c r="G24" s="112"/>
      <c r="H24" s="112"/>
      <c r="I24" s="112"/>
      <c r="J24" s="112"/>
    </row>
    <row r="25" spans="2:10">
      <c r="B25" s="112"/>
      <c r="C25" s="112"/>
      <c r="D25" s="112"/>
      <c r="E25" s="112"/>
      <c r="F25" s="112"/>
      <c r="G25" s="112"/>
      <c r="H25" s="112"/>
      <c r="I25" s="112"/>
      <c r="J25" s="112"/>
    </row>
    <row r="26" spans="2:10">
      <c r="B26" s="112"/>
      <c r="C26" s="112"/>
      <c r="D26" s="112"/>
      <c r="E26" s="112"/>
      <c r="F26" s="112"/>
      <c r="G26" s="112"/>
      <c r="H26" s="112"/>
      <c r="I26" s="112"/>
      <c r="J26" s="112"/>
    </row>
    <row r="27" spans="2:10">
      <c r="B27" s="112"/>
      <c r="C27" s="112"/>
      <c r="D27" s="112"/>
      <c r="E27" s="112"/>
      <c r="F27" s="112"/>
      <c r="G27" s="112"/>
      <c r="H27" s="112"/>
      <c r="I27" s="112"/>
      <c r="J27" s="112"/>
    </row>
    <row r="28" spans="2:10">
      <c r="B28" s="112"/>
      <c r="C28" s="112"/>
      <c r="D28" s="112"/>
      <c r="E28" s="112"/>
      <c r="F28" s="112"/>
      <c r="G28" s="112"/>
      <c r="H28" s="112"/>
      <c r="I28" s="112"/>
      <c r="J28" s="112"/>
    </row>
    <row r="29" spans="2:10">
      <c r="B29" s="112"/>
      <c r="C29" s="112"/>
      <c r="D29" s="112"/>
      <c r="E29" s="112"/>
      <c r="F29" s="112"/>
      <c r="G29" s="112"/>
      <c r="H29" s="112"/>
      <c r="I29" s="112"/>
      <c r="J29" s="112"/>
    </row>
    <row r="30" spans="2:10">
      <c r="B30" s="112"/>
      <c r="C30" s="112"/>
      <c r="D30" s="112"/>
      <c r="E30" s="112"/>
      <c r="F30" s="112"/>
      <c r="G30" s="112"/>
      <c r="H30" s="112"/>
      <c r="I30" s="112"/>
      <c r="J30" s="112"/>
    </row>
    <row r="31" spans="2:10">
      <c r="B31" s="112"/>
      <c r="C31" s="112"/>
      <c r="D31" s="112"/>
      <c r="E31" s="112"/>
      <c r="F31" s="112"/>
      <c r="G31" s="112"/>
      <c r="H31" s="112"/>
      <c r="I31" s="112"/>
      <c r="J31" s="112"/>
    </row>
    <row r="32" spans="2:10">
      <c r="B32" s="112"/>
      <c r="C32" s="112"/>
      <c r="D32" s="112"/>
      <c r="E32" s="112"/>
      <c r="F32" s="112"/>
      <c r="G32" s="112"/>
      <c r="H32" s="112"/>
      <c r="I32" s="112"/>
      <c r="J32" s="112"/>
    </row>
    <row r="33" spans="2:10">
      <c r="B33" s="112"/>
      <c r="C33" s="112"/>
      <c r="D33" s="112"/>
      <c r="E33" s="112"/>
      <c r="F33" s="112"/>
      <c r="G33" s="112"/>
      <c r="H33" s="112"/>
      <c r="I33" s="112"/>
      <c r="J33" s="112"/>
    </row>
    <row r="34" spans="2:10">
      <c r="B34" s="112"/>
      <c r="C34" s="112"/>
      <c r="D34" s="112"/>
      <c r="E34" s="112"/>
      <c r="F34" s="112"/>
      <c r="G34" s="112"/>
      <c r="H34" s="112"/>
      <c r="I34" s="112"/>
      <c r="J34" s="112"/>
    </row>
    <row r="35" spans="2:10">
      <c r="B35" s="112"/>
      <c r="C35" s="112"/>
      <c r="D35" s="112"/>
      <c r="E35" s="112"/>
      <c r="F35" s="112"/>
      <c r="G35" s="112"/>
      <c r="H35" s="112"/>
      <c r="I35" s="112"/>
      <c r="J35" s="112"/>
    </row>
    <row r="36" spans="2:10">
      <c r="B36" s="112"/>
      <c r="C36" s="112"/>
      <c r="D36" s="112"/>
      <c r="E36" s="112"/>
      <c r="F36" s="112"/>
      <c r="G36" s="112"/>
      <c r="H36" s="112"/>
      <c r="I36" s="112"/>
      <c r="J36" s="112"/>
    </row>
    <row r="37" spans="2:10">
      <c r="B37" s="112"/>
      <c r="C37" s="112"/>
      <c r="D37" s="112"/>
      <c r="E37" s="112"/>
      <c r="F37" s="112"/>
      <c r="G37" s="112"/>
      <c r="H37" s="112"/>
      <c r="I37" s="112"/>
      <c r="J37" s="112"/>
    </row>
    <row r="38" spans="2:10">
      <c r="B38" s="112"/>
      <c r="C38" s="112"/>
      <c r="D38" s="112"/>
      <c r="E38" s="112"/>
      <c r="F38" s="112"/>
      <c r="G38" s="112"/>
      <c r="H38" s="112"/>
      <c r="I38" s="112"/>
      <c r="J38" s="112"/>
    </row>
    <row r="39" spans="2:10">
      <c r="B39" s="112"/>
      <c r="C39" s="112"/>
      <c r="D39" s="112"/>
      <c r="E39" s="112"/>
      <c r="F39" s="112"/>
      <c r="G39" s="112"/>
      <c r="H39" s="112"/>
      <c r="I39" s="112"/>
      <c r="J39" s="112"/>
    </row>
    <row r="40" spans="2:10">
      <c r="B40" s="112"/>
      <c r="C40" s="112"/>
      <c r="D40" s="112"/>
      <c r="E40" s="112"/>
      <c r="F40" s="112"/>
      <c r="G40" s="112"/>
      <c r="H40" s="112"/>
      <c r="I40" s="112"/>
      <c r="J40" s="112"/>
    </row>
    <row r="41" spans="2:10">
      <c r="B41" s="112"/>
      <c r="C41" s="112"/>
      <c r="D41" s="112"/>
      <c r="E41" s="112"/>
      <c r="F41" s="112"/>
      <c r="G41" s="112"/>
      <c r="H41" s="112"/>
      <c r="I41" s="112"/>
      <c r="J41" s="112"/>
    </row>
    <row r="42" spans="2:10">
      <c r="B42" s="112"/>
      <c r="C42" s="112"/>
      <c r="D42" s="112"/>
      <c r="E42" s="112"/>
      <c r="F42" s="112"/>
      <c r="G42" s="112"/>
      <c r="H42" s="112"/>
      <c r="I42" s="112"/>
      <c r="J42" s="112"/>
    </row>
    <row r="43" spans="2:10" ht="15.75">
      <c r="B43" s="117" t="s">
        <v>380</v>
      </c>
      <c r="C43" s="112"/>
      <c r="D43" s="112"/>
      <c r="E43" s="112"/>
      <c r="F43" s="112"/>
      <c r="G43" s="112"/>
      <c r="H43" s="112"/>
      <c r="I43" s="112"/>
      <c r="J43" s="112"/>
    </row>
    <row r="44" spans="2:10">
      <c r="B44" s="112"/>
      <c r="C44" s="58" t="s">
        <v>381</v>
      </c>
      <c r="D44" s="118">
        <v>36381</v>
      </c>
      <c r="E44" s="58" t="s">
        <v>382</v>
      </c>
      <c r="F44" s="119">
        <v>0.08</v>
      </c>
      <c r="G44" s="120"/>
      <c r="H44" s="121"/>
      <c r="I44" s="112"/>
      <c r="J44" s="112"/>
    </row>
    <row r="45" spans="2:10">
      <c r="B45" s="112"/>
      <c r="C45" s="58" t="s">
        <v>383</v>
      </c>
      <c r="D45" s="118">
        <v>37477</v>
      </c>
      <c r="E45" s="122" t="s">
        <v>384</v>
      </c>
      <c r="F45" s="58" t="s">
        <v>385</v>
      </c>
      <c r="G45" s="120"/>
      <c r="H45" s="121"/>
      <c r="I45" s="112"/>
      <c r="J45" s="112"/>
    </row>
    <row r="46" spans="2:10">
      <c r="B46" s="112"/>
      <c r="C46" s="123"/>
      <c r="D46" s="124"/>
      <c r="E46" s="125"/>
      <c r="F46" s="123"/>
      <c r="G46" s="120"/>
      <c r="H46" s="121"/>
      <c r="I46" s="112"/>
      <c r="J46" s="112"/>
    </row>
    <row r="47" spans="2:10" ht="15.75">
      <c r="B47" s="117" t="s">
        <v>386</v>
      </c>
      <c r="C47" s="112"/>
      <c r="D47" s="112"/>
      <c r="E47" s="112"/>
      <c r="F47" s="112"/>
      <c r="G47" s="112"/>
      <c r="H47" s="112"/>
      <c r="I47" s="112"/>
      <c r="J47" s="112"/>
    </row>
    <row r="48" spans="2:10">
      <c r="B48" s="112"/>
      <c r="C48" s="58" t="s">
        <v>387</v>
      </c>
      <c r="D48" s="118">
        <v>36803</v>
      </c>
      <c r="E48" s="58" t="s">
        <v>388</v>
      </c>
      <c r="F48" s="119">
        <v>0.10299999999999999</v>
      </c>
      <c r="G48" s="58" t="s">
        <v>389</v>
      </c>
      <c r="H48" s="126">
        <v>20000000000</v>
      </c>
      <c r="I48" s="112"/>
      <c r="J48" s="112"/>
    </row>
    <row r="49" spans="2:10">
      <c r="B49" s="112"/>
      <c r="C49" s="58" t="s">
        <v>390</v>
      </c>
      <c r="D49" s="127">
        <v>36</v>
      </c>
      <c r="E49" s="58" t="s">
        <v>391</v>
      </c>
      <c r="F49" s="127">
        <v>92</v>
      </c>
      <c r="G49" s="128" t="s">
        <v>392</v>
      </c>
      <c r="H49" s="129">
        <f>+H48*0.9737</f>
        <v>19474000000</v>
      </c>
      <c r="I49" s="112"/>
      <c r="J49" s="112"/>
    </row>
    <row r="50" spans="2:10">
      <c r="B50" s="112"/>
      <c r="C50" s="123"/>
      <c r="D50" s="130"/>
      <c r="E50" s="123"/>
      <c r="F50" s="130"/>
      <c r="G50" s="130"/>
      <c r="H50" s="130"/>
      <c r="I50" s="130"/>
      <c r="J50" s="112"/>
    </row>
    <row r="51" spans="2:10" ht="15.75">
      <c r="B51" s="117" t="s">
        <v>393</v>
      </c>
      <c r="C51" s="123"/>
      <c r="D51" s="130"/>
      <c r="E51" s="123"/>
      <c r="F51" s="131"/>
      <c r="G51" s="201"/>
      <c r="H51" s="202"/>
      <c r="I51" s="112"/>
      <c r="J51" s="112"/>
    </row>
    <row r="52" spans="2:10">
      <c r="B52" s="112"/>
      <c r="C52" s="123"/>
      <c r="D52" s="130"/>
      <c r="E52" s="123"/>
      <c r="F52" s="131"/>
      <c r="G52" s="132"/>
      <c r="H52" s="123"/>
      <c r="I52" s="112"/>
      <c r="J52" s="112"/>
    </row>
    <row r="53" spans="2:10">
      <c r="B53" s="112"/>
      <c r="C53" s="123"/>
      <c r="D53" s="130"/>
      <c r="E53" s="123"/>
      <c r="F53" s="131"/>
      <c r="G53" s="132"/>
      <c r="H53" s="123"/>
      <c r="I53" s="112"/>
      <c r="J53" s="112"/>
    </row>
    <row r="54" spans="2:10">
      <c r="B54" s="112"/>
      <c r="C54" s="123"/>
      <c r="D54" s="130"/>
      <c r="E54" s="123"/>
      <c r="F54" s="131"/>
      <c r="G54" s="132"/>
      <c r="H54" s="123"/>
      <c r="I54" s="112"/>
      <c r="J54" s="112"/>
    </row>
    <row r="55" spans="2:10">
      <c r="B55" s="112"/>
      <c r="C55" s="123"/>
      <c r="D55" s="130"/>
      <c r="E55" s="123"/>
      <c r="F55" s="131"/>
      <c r="G55" s="132"/>
      <c r="H55" s="123"/>
      <c r="I55" s="112"/>
      <c r="J55" s="112"/>
    </row>
    <row r="56" spans="2:10">
      <c r="B56" s="112"/>
      <c r="C56" s="123"/>
      <c r="D56" s="130"/>
      <c r="E56" s="123"/>
      <c r="F56" s="131"/>
      <c r="G56" s="132"/>
      <c r="H56" s="123"/>
      <c r="I56" s="112"/>
      <c r="J56" s="112"/>
    </row>
    <row r="57" spans="2:10">
      <c r="B57" s="112" t="s">
        <v>394</v>
      </c>
      <c r="C57" s="112"/>
      <c r="D57" s="112"/>
      <c r="E57" s="112"/>
      <c r="F57" s="112"/>
      <c r="G57" s="112"/>
      <c r="H57" s="112"/>
      <c r="I57" s="112"/>
      <c r="J57" s="112"/>
    </row>
    <row r="58" spans="2:10">
      <c r="B58" s="112" t="s">
        <v>395</v>
      </c>
      <c r="C58" s="112"/>
      <c r="D58" s="112"/>
      <c r="E58" s="112"/>
      <c r="F58" s="112"/>
      <c r="G58" s="112"/>
      <c r="H58" s="112"/>
      <c r="I58" s="112"/>
      <c r="J58" s="112"/>
    </row>
    <row r="59" spans="2:10">
      <c r="B59" s="112" t="s">
        <v>396</v>
      </c>
      <c r="C59" s="112"/>
      <c r="D59" s="112"/>
      <c r="E59" s="112"/>
      <c r="F59" s="112"/>
      <c r="G59" s="112"/>
      <c r="H59" s="112"/>
      <c r="I59" s="112"/>
      <c r="J59" s="112"/>
    </row>
    <row r="60" spans="2:10">
      <c r="B60" s="112" t="s">
        <v>397</v>
      </c>
      <c r="C60" s="112"/>
      <c r="D60" s="112"/>
      <c r="E60" s="112"/>
      <c r="F60" s="112"/>
      <c r="G60" s="112"/>
      <c r="H60" s="112"/>
      <c r="I60" s="112"/>
      <c r="J60" s="112"/>
    </row>
    <row r="61" spans="2:10">
      <c r="B61" s="112"/>
      <c r="C61" s="112"/>
      <c r="D61" s="112"/>
      <c r="E61" s="112"/>
      <c r="F61" s="112"/>
      <c r="G61" s="112"/>
      <c r="H61" s="112"/>
      <c r="I61" s="112"/>
      <c r="J61" s="112"/>
    </row>
    <row r="120" spans="2:9">
      <c r="B120" s="133"/>
      <c r="C120" s="133"/>
      <c r="D120" s="133"/>
      <c r="E120" s="133"/>
      <c r="F120" s="133"/>
      <c r="G120" s="133"/>
      <c r="H120" s="133"/>
      <c r="I120" s="133"/>
    </row>
    <row r="121" spans="2:9">
      <c r="B121" s="133"/>
      <c r="C121" s="133"/>
      <c r="D121" s="133"/>
      <c r="E121" s="133"/>
      <c r="F121" s="133"/>
      <c r="G121" s="133"/>
      <c r="H121" s="133"/>
      <c r="I121" s="133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13"/>
  <sheetViews>
    <sheetView topLeftCell="A13" zoomScale="99" zoomScaleNormal="99" workbookViewId="0">
      <selection activeCell="B2" sqref="B2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34"/>
    </row>
    <row r="5" spans="2:6" ht="13.5">
      <c r="B5" s="186" t="s">
        <v>124</v>
      </c>
      <c r="C5" s="186" t="s">
        <v>2</v>
      </c>
      <c r="D5" s="187" t="s">
        <v>125</v>
      </c>
      <c r="E5" s="186" t="s">
        <v>474</v>
      </c>
      <c r="F5" s="186" t="s">
        <v>475</v>
      </c>
    </row>
    <row r="6" spans="2:6" ht="13.5">
      <c r="B6" s="188" t="s">
        <v>107</v>
      </c>
      <c r="C6" s="112" t="s">
        <v>476</v>
      </c>
      <c r="D6" s="133">
        <v>0</v>
      </c>
      <c r="E6" s="133" t="s">
        <v>181</v>
      </c>
      <c r="F6" s="133" t="s">
        <v>477</v>
      </c>
    </row>
    <row r="7" spans="2:6" ht="13.5">
      <c r="B7" s="188" t="s">
        <v>107</v>
      </c>
      <c r="C7" s="112" t="s">
        <v>478</v>
      </c>
      <c r="D7" s="133">
        <v>1</v>
      </c>
      <c r="E7" s="133" t="s">
        <v>182</v>
      </c>
      <c r="F7" s="133" t="s">
        <v>479</v>
      </c>
    </row>
    <row r="8" spans="2:6" ht="13.5">
      <c r="B8" s="188" t="s">
        <v>107</v>
      </c>
      <c r="C8" s="112" t="s">
        <v>480</v>
      </c>
      <c r="D8" s="133">
        <v>2</v>
      </c>
      <c r="E8" s="133" t="s">
        <v>183</v>
      </c>
      <c r="F8" s="133" t="s">
        <v>481</v>
      </c>
    </row>
    <row r="9" spans="2:6" ht="13.5">
      <c r="B9" s="188" t="s">
        <v>107</v>
      </c>
      <c r="C9" s="112" t="s">
        <v>482</v>
      </c>
      <c r="D9" s="133">
        <v>3</v>
      </c>
      <c r="E9" s="133" t="s">
        <v>184</v>
      </c>
      <c r="F9" s="133" t="s">
        <v>483</v>
      </c>
    </row>
    <row r="10" spans="2:6" ht="13.5">
      <c r="B10" s="188" t="s">
        <v>107</v>
      </c>
      <c r="C10" s="112" t="s">
        <v>484</v>
      </c>
      <c r="D10" s="133">
        <v>4</v>
      </c>
      <c r="E10" s="133" t="s">
        <v>185</v>
      </c>
      <c r="F10" s="133" t="s">
        <v>485</v>
      </c>
    </row>
    <row r="11" spans="2:6" ht="13.5">
      <c r="B11" s="188" t="s">
        <v>107</v>
      </c>
      <c r="C11" s="112" t="s">
        <v>486</v>
      </c>
      <c r="D11" s="133">
        <v>5</v>
      </c>
      <c r="E11" s="133" t="s">
        <v>186</v>
      </c>
      <c r="F11" s="133" t="s">
        <v>487</v>
      </c>
    </row>
    <row r="12" spans="2:6" ht="13.5">
      <c r="B12" s="188" t="s">
        <v>107</v>
      </c>
      <c r="C12" s="112" t="s">
        <v>488</v>
      </c>
      <c r="D12" s="133">
        <v>6</v>
      </c>
      <c r="E12" s="133" t="s">
        <v>187</v>
      </c>
      <c r="F12" s="133" t="s">
        <v>489</v>
      </c>
    </row>
    <row r="13" spans="2:6" ht="13.5">
      <c r="B13" s="188" t="s">
        <v>107</v>
      </c>
      <c r="C13" s="112" t="s">
        <v>490</v>
      </c>
      <c r="D13" s="133">
        <v>7</v>
      </c>
      <c r="E13" s="133" t="s">
        <v>188</v>
      </c>
      <c r="F13" s="133" t="s">
        <v>491</v>
      </c>
    </row>
    <row r="14" spans="2:6" ht="13.5">
      <c r="B14" s="112" t="s">
        <v>492</v>
      </c>
      <c r="C14" s="112" t="s">
        <v>493</v>
      </c>
      <c r="D14" s="133">
        <v>0</v>
      </c>
      <c r="E14" s="133" t="s">
        <v>189</v>
      </c>
      <c r="F14" s="133" t="s">
        <v>189</v>
      </c>
    </row>
    <row r="15" spans="2:6" ht="13.5">
      <c r="B15" s="112" t="s">
        <v>492</v>
      </c>
      <c r="C15" s="112" t="s">
        <v>494</v>
      </c>
      <c r="D15" s="133">
        <v>1</v>
      </c>
      <c r="E15" s="133" t="s">
        <v>190</v>
      </c>
      <c r="F15" s="133" t="s">
        <v>190</v>
      </c>
    </row>
    <row r="16" spans="2:6" ht="13.5">
      <c r="B16" s="112" t="s">
        <v>492</v>
      </c>
      <c r="C16" s="112" t="s">
        <v>495</v>
      </c>
      <c r="D16" s="133">
        <v>2</v>
      </c>
      <c r="E16" s="133" t="s">
        <v>191</v>
      </c>
      <c r="F16" s="133" t="s">
        <v>191</v>
      </c>
    </row>
    <row r="17" spans="2:6" ht="13.5">
      <c r="B17" s="112" t="s">
        <v>492</v>
      </c>
      <c r="C17" s="112" t="s">
        <v>496</v>
      </c>
      <c r="D17" s="133">
        <v>3</v>
      </c>
      <c r="E17" s="133" t="s">
        <v>192</v>
      </c>
      <c r="F17" s="133" t="s">
        <v>192</v>
      </c>
    </row>
    <row r="18" spans="2:6" ht="13.5">
      <c r="B18" s="112" t="s">
        <v>492</v>
      </c>
      <c r="C18" s="112" t="s">
        <v>497</v>
      </c>
      <c r="D18" s="133">
        <v>4</v>
      </c>
      <c r="E18" s="133" t="s">
        <v>193</v>
      </c>
      <c r="F18" s="133" t="s">
        <v>193</v>
      </c>
    </row>
    <row r="19" spans="2:6" ht="13.5">
      <c r="B19" s="112" t="s">
        <v>492</v>
      </c>
      <c r="C19" s="112" t="s">
        <v>498</v>
      </c>
      <c r="D19" s="133">
        <v>5</v>
      </c>
      <c r="E19" s="133" t="s">
        <v>194</v>
      </c>
      <c r="F19" s="133" t="s">
        <v>194</v>
      </c>
    </row>
    <row r="20" spans="2:6" ht="13.5">
      <c r="B20" s="112" t="s">
        <v>492</v>
      </c>
      <c r="C20" s="112" t="s">
        <v>499</v>
      </c>
      <c r="D20" s="133">
        <v>6</v>
      </c>
      <c r="E20" s="133" t="s">
        <v>195</v>
      </c>
      <c r="F20" s="133" t="s">
        <v>195</v>
      </c>
    </row>
    <row r="21" spans="2:6" ht="13.5">
      <c r="B21" s="112" t="s">
        <v>492</v>
      </c>
      <c r="C21" s="112" t="s">
        <v>500</v>
      </c>
      <c r="D21" s="133">
        <v>7</v>
      </c>
      <c r="E21" s="133" t="s">
        <v>196</v>
      </c>
      <c r="F21" s="133" t="s">
        <v>196</v>
      </c>
    </row>
    <row r="22" spans="2:6" ht="13.5">
      <c r="B22" s="112" t="s">
        <v>492</v>
      </c>
      <c r="C22" s="112" t="s">
        <v>501</v>
      </c>
      <c r="D22" s="133">
        <v>8</v>
      </c>
      <c r="E22" s="133" t="s">
        <v>197</v>
      </c>
      <c r="F22" s="133" t="s">
        <v>197</v>
      </c>
    </row>
    <row r="23" spans="2:6" ht="13.5">
      <c r="B23" s="112" t="s">
        <v>492</v>
      </c>
      <c r="C23" s="112" t="s">
        <v>502</v>
      </c>
      <c r="D23" s="133">
        <v>9</v>
      </c>
      <c r="E23" s="133" t="s">
        <v>198</v>
      </c>
      <c r="F23" s="133" t="s">
        <v>198</v>
      </c>
    </row>
    <row r="24" spans="2:6" ht="13.5">
      <c r="B24" s="112" t="s">
        <v>492</v>
      </c>
      <c r="C24" s="112" t="s">
        <v>503</v>
      </c>
      <c r="D24" s="133">
        <v>10</v>
      </c>
      <c r="E24" s="133" t="s">
        <v>199</v>
      </c>
      <c r="F24" s="133" t="s">
        <v>199</v>
      </c>
    </row>
    <row r="25" spans="2:6" ht="13.5">
      <c r="B25" s="112" t="s">
        <v>492</v>
      </c>
      <c r="C25" s="112" t="s">
        <v>504</v>
      </c>
      <c r="D25" s="133">
        <v>11</v>
      </c>
      <c r="E25" s="133" t="s">
        <v>200</v>
      </c>
      <c r="F25" s="133" t="s">
        <v>200</v>
      </c>
    </row>
    <row r="26" spans="2:6" ht="13.5">
      <c r="B26" s="112" t="s">
        <v>492</v>
      </c>
      <c r="C26" s="112" t="s">
        <v>505</v>
      </c>
      <c r="D26" s="133">
        <v>12</v>
      </c>
      <c r="E26" s="133" t="s">
        <v>201</v>
      </c>
      <c r="F26" s="133" t="s">
        <v>201</v>
      </c>
    </row>
    <row r="27" spans="2:6" ht="13.5">
      <c r="B27" s="112" t="s">
        <v>492</v>
      </c>
      <c r="C27" s="112" t="s">
        <v>506</v>
      </c>
      <c r="D27" s="133">
        <v>13</v>
      </c>
      <c r="E27" s="133" t="s">
        <v>202</v>
      </c>
      <c r="F27" s="133" t="s">
        <v>202</v>
      </c>
    </row>
    <row r="28" spans="2:6" ht="13.5">
      <c r="B28" s="112" t="s">
        <v>492</v>
      </c>
      <c r="C28" s="112" t="s">
        <v>507</v>
      </c>
      <c r="D28" s="133">
        <v>14</v>
      </c>
      <c r="E28" s="133" t="s">
        <v>203</v>
      </c>
      <c r="F28" s="133" t="s">
        <v>203</v>
      </c>
    </row>
    <row r="29" spans="2:6" ht="13.5">
      <c r="B29" s="112" t="s">
        <v>492</v>
      </c>
      <c r="C29" s="112" t="s">
        <v>508</v>
      </c>
      <c r="D29" s="133">
        <v>15</v>
      </c>
      <c r="E29" s="133" t="s">
        <v>204</v>
      </c>
      <c r="F29" s="133" t="s">
        <v>204</v>
      </c>
    </row>
    <row r="30" spans="2:6" ht="13.5">
      <c r="B30" s="112" t="s">
        <v>492</v>
      </c>
      <c r="C30" s="112" t="s">
        <v>509</v>
      </c>
      <c r="D30" s="133">
        <v>16</v>
      </c>
      <c r="E30" s="133" t="s">
        <v>205</v>
      </c>
      <c r="F30" s="133" t="s">
        <v>205</v>
      </c>
    </row>
    <row r="31" spans="2:6" ht="13.5">
      <c r="B31" s="112" t="s">
        <v>492</v>
      </c>
      <c r="C31" s="112" t="s">
        <v>510</v>
      </c>
      <c r="D31" s="133">
        <v>17</v>
      </c>
      <c r="E31" s="133" t="s">
        <v>206</v>
      </c>
      <c r="F31" s="133" t="s">
        <v>206</v>
      </c>
    </row>
    <row r="32" spans="2:6" ht="13.5">
      <c r="B32" s="112" t="s">
        <v>492</v>
      </c>
      <c r="C32" s="112" t="s">
        <v>511</v>
      </c>
      <c r="D32" s="133">
        <v>18</v>
      </c>
      <c r="E32" s="133" t="s">
        <v>207</v>
      </c>
      <c r="F32" s="133" t="s">
        <v>207</v>
      </c>
    </row>
    <row r="33" spans="2:6" ht="13.5">
      <c r="B33" s="133" t="s">
        <v>136</v>
      </c>
      <c r="C33" s="112" t="s">
        <v>512</v>
      </c>
      <c r="D33" s="133">
        <v>0</v>
      </c>
      <c r="E33" s="133" t="s">
        <v>113</v>
      </c>
      <c r="F33" s="133" t="s">
        <v>513</v>
      </c>
    </row>
    <row r="34" spans="2:6" ht="13.5">
      <c r="B34" s="133" t="s">
        <v>138</v>
      </c>
      <c r="C34" s="112" t="s">
        <v>514</v>
      </c>
      <c r="D34" s="133">
        <v>0</v>
      </c>
      <c r="E34" s="133" t="s">
        <v>208</v>
      </c>
      <c r="F34" s="133" t="s">
        <v>515</v>
      </c>
    </row>
    <row r="35" spans="2:6" ht="13.5">
      <c r="B35" s="133" t="s">
        <v>138</v>
      </c>
      <c r="C35" s="112" t="s">
        <v>501</v>
      </c>
      <c r="D35" s="133">
        <v>1</v>
      </c>
      <c r="E35" s="133" t="s">
        <v>209</v>
      </c>
      <c r="F35" s="133" t="s">
        <v>516</v>
      </c>
    </row>
    <row r="36" spans="2:6" ht="13.5">
      <c r="B36" s="133" t="s">
        <v>138</v>
      </c>
      <c r="C36" s="112" t="s">
        <v>517</v>
      </c>
      <c r="D36" s="133">
        <v>2</v>
      </c>
      <c r="E36" s="133" t="s">
        <v>210</v>
      </c>
      <c r="F36" s="133" t="s">
        <v>518</v>
      </c>
    </row>
    <row r="37" spans="2:6" ht="13.5">
      <c r="B37" s="133" t="s">
        <v>138</v>
      </c>
      <c r="C37" s="112" t="s">
        <v>519</v>
      </c>
      <c r="D37" s="133">
        <v>3</v>
      </c>
      <c r="E37" s="133" t="s">
        <v>211</v>
      </c>
      <c r="F37" s="133" t="s">
        <v>520</v>
      </c>
    </row>
    <row r="38" spans="2:6" ht="13.5">
      <c r="B38" s="133" t="s">
        <v>138</v>
      </c>
      <c r="C38" s="112" t="s">
        <v>521</v>
      </c>
      <c r="D38" s="133">
        <v>4</v>
      </c>
      <c r="E38" s="133" t="s">
        <v>212</v>
      </c>
      <c r="F38" s="133" t="s">
        <v>522</v>
      </c>
    </row>
    <row r="39" spans="2:6" ht="13.5">
      <c r="B39" s="133" t="s">
        <v>140</v>
      </c>
      <c r="C39" s="112" t="s">
        <v>523</v>
      </c>
      <c r="D39" s="133">
        <v>0</v>
      </c>
      <c r="E39" s="133" t="s">
        <v>213</v>
      </c>
      <c r="F39" s="133" t="s">
        <v>524</v>
      </c>
    </row>
    <row r="40" spans="2:6" ht="13.5">
      <c r="B40" s="133" t="s">
        <v>140</v>
      </c>
      <c r="C40" s="112" t="s">
        <v>525</v>
      </c>
      <c r="D40" s="133">
        <v>1</v>
      </c>
      <c r="E40" s="133" t="s">
        <v>214</v>
      </c>
      <c r="F40" s="133" t="s">
        <v>526</v>
      </c>
    </row>
    <row r="41" spans="2:6" ht="13.5">
      <c r="B41" s="133" t="s">
        <v>140</v>
      </c>
      <c r="C41" s="112" t="s">
        <v>527</v>
      </c>
      <c r="D41" s="133">
        <v>2</v>
      </c>
      <c r="E41" s="133" t="s">
        <v>215</v>
      </c>
      <c r="F41" s="133" t="s">
        <v>528</v>
      </c>
    </row>
    <row r="42" spans="2:6" ht="13.5">
      <c r="B42" s="133" t="s">
        <v>140</v>
      </c>
      <c r="C42" s="112" t="s">
        <v>529</v>
      </c>
      <c r="D42" s="133">
        <v>3</v>
      </c>
      <c r="E42" s="133" t="s">
        <v>216</v>
      </c>
      <c r="F42" s="133" t="s">
        <v>530</v>
      </c>
    </row>
    <row r="43" spans="2:6" ht="13.5">
      <c r="B43" s="133" t="s">
        <v>140</v>
      </c>
      <c r="C43" s="112" t="s">
        <v>531</v>
      </c>
      <c r="D43" s="133">
        <v>4</v>
      </c>
      <c r="E43" s="133" t="s">
        <v>217</v>
      </c>
      <c r="F43" s="133" t="s">
        <v>532</v>
      </c>
    </row>
    <row r="44" spans="2:6" ht="13.5">
      <c r="B44" s="133" t="s">
        <v>140</v>
      </c>
      <c r="C44" s="112" t="s">
        <v>533</v>
      </c>
      <c r="D44" s="133">
        <v>5</v>
      </c>
      <c r="E44" s="133" t="s">
        <v>218</v>
      </c>
      <c r="F44" s="133" t="s">
        <v>534</v>
      </c>
    </row>
    <row r="45" spans="2:6" ht="13.5">
      <c r="B45" s="133" t="s">
        <v>140</v>
      </c>
      <c r="C45" s="112" t="s">
        <v>535</v>
      </c>
      <c r="D45" s="133">
        <v>6</v>
      </c>
      <c r="E45" s="133" t="s">
        <v>219</v>
      </c>
      <c r="F45" s="133" t="s">
        <v>536</v>
      </c>
    </row>
    <row r="46" spans="2:6" ht="13.5">
      <c r="B46" s="133" t="s">
        <v>140</v>
      </c>
      <c r="C46" s="112" t="s">
        <v>537</v>
      </c>
      <c r="D46" s="133">
        <v>7</v>
      </c>
      <c r="E46" s="133" t="s">
        <v>220</v>
      </c>
      <c r="F46" s="133" t="s">
        <v>538</v>
      </c>
    </row>
    <row r="47" spans="2:6" ht="13.5">
      <c r="B47" s="133" t="s">
        <v>140</v>
      </c>
      <c r="C47" s="112" t="s">
        <v>539</v>
      </c>
      <c r="D47" s="133">
        <v>8</v>
      </c>
      <c r="E47" s="133" t="s">
        <v>221</v>
      </c>
      <c r="F47" s="133" t="s">
        <v>540</v>
      </c>
    </row>
    <row r="48" spans="2:6" ht="13.5">
      <c r="B48" s="133" t="s">
        <v>140</v>
      </c>
      <c r="C48" s="112" t="s">
        <v>541</v>
      </c>
      <c r="D48" s="133">
        <v>9</v>
      </c>
      <c r="E48" s="133" t="s">
        <v>222</v>
      </c>
      <c r="F48" s="133" t="s">
        <v>542</v>
      </c>
    </row>
    <row r="49" spans="2:6" ht="13.5">
      <c r="B49" s="133" t="s">
        <v>140</v>
      </c>
      <c r="C49" s="112" t="s">
        <v>543</v>
      </c>
      <c r="D49" s="133">
        <v>10</v>
      </c>
      <c r="E49" s="133" t="s">
        <v>223</v>
      </c>
      <c r="F49" s="133" t="s">
        <v>544</v>
      </c>
    </row>
    <row r="50" spans="2:6" ht="13.5">
      <c r="B50" s="133" t="s">
        <v>140</v>
      </c>
      <c r="C50" s="112" t="s">
        <v>545</v>
      </c>
      <c r="D50" s="133">
        <v>11</v>
      </c>
      <c r="E50" s="133" t="s">
        <v>224</v>
      </c>
      <c r="F50" s="133" t="s">
        <v>270</v>
      </c>
    </row>
    <row r="51" spans="2:6" ht="13.5">
      <c r="B51" s="133" t="s">
        <v>104</v>
      </c>
      <c r="C51" s="112" t="s">
        <v>546</v>
      </c>
      <c r="D51" s="133">
        <v>0</v>
      </c>
      <c r="E51" s="133" t="s">
        <v>225</v>
      </c>
      <c r="F51" s="133" t="s">
        <v>225</v>
      </c>
    </row>
    <row r="52" spans="2:6" ht="13.5">
      <c r="B52" s="133" t="s">
        <v>104</v>
      </c>
      <c r="C52" s="112" t="s">
        <v>547</v>
      </c>
      <c r="D52" s="133">
        <v>1</v>
      </c>
      <c r="E52" s="133" t="s">
        <v>226</v>
      </c>
      <c r="F52" s="133" t="s">
        <v>226</v>
      </c>
    </row>
    <row r="53" spans="2:6" ht="13.5">
      <c r="B53" s="133" t="s">
        <v>104</v>
      </c>
      <c r="C53" s="112" t="s">
        <v>548</v>
      </c>
      <c r="D53" s="133">
        <v>2</v>
      </c>
      <c r="E53" s="133" t="s">
        <v>227</v>
      </c>
      <c r="F53" s="133" t="s">
        <v>227</v>
      </c>
    </row>
    <row r="54" spans="2:6" ht="13.5">
      <c r="B54" s="133" t="s">
        <v>104</v>
      </c>
      <c r="C54" s="112" t="s">
        <v>549</v>
      </c>
      <c r="D54" s="133">
        <v>3</v>
      </c>
      <c r="E54" s="133" t="s">
        <v>228</v>
      </c>
      <c r="F54" s="133" t="s">
        <v>228</v>
      </c>
    </row>
    <row r="55" spans="2:6" ht="13.5">
      <c r="B55" s="133" t="s">
        <v>104</v>
      </c>
      <c r="C55" s="112" t="s">
        <v>550</v>
      </c>
      <c r="D55" s="133">
        <v>4</v>
      </c>
      <c r="E55" s="133" t="s">
        <v>229</v>
      </c>
      <c r="F55" s="133" t="s">
        <v>229</v>
      </c>
    </row>
    <row r="56" spans="2:6" ht="13.5">
      <c r="B56" s="133" t="s">
        <v>104</v>
      </c>
      <c r="C56" s="112" t="s">
        <v>551</v>
      </c>
      <c r="D56" s="133">
        <v>5</v>
      </c>
      <c r="E56" s="133" t="s">
        <v>230</v>
      </c>
      <c r="F56" s="133" t="s">
        <v>230</v>
      </c>
    </row>
    <row r="57" spans="2:6" ht="13.5">
      <c r="B57" s="133" t="s">
        <v>104</v>
      </c>
      <c r="C57" s="112" t="s">
        <v>552</v>
      </c>
      <c r="D57" s="133">
        <v>6</v>
      </c>
      <c r="E57" s="133" t="s">
        <v>231</v>
      </c>
      <c r="F57" s="133" t="s">
        <v>230</v>
      </c>
    </row>
    <row r="58" spans="2:6" ht="13.5">
      <c r="B58" s="133" t="s">
        <v>86</v>
      </c>
      <c r="C58" s="112" t="s">
        <v>553</v>
      </c>
      <c r="D58" s="133">
        <v>0</v>
      </c>
      <c r="E58" s="112" t="s">
        <v>553</v>
      </c>
      <c r="F58" s="133" t="s">
        <v>554</v>
      </c>
    </row>
    <row r="59" spans="2:6" ht="13.5">
      <c r="B59" s="133" t="s">
        <v>86</v>
      </c>
      <c r="C59" s="112" t="s">
        <v>555</v>
      </c>
      <c r="D59" s="133">
        <v>1</v>
      </c>
      <c r="E59" s="112" t="s">
        <v>555</v>
      </c>
      <c r="F59" s="133" t="s">
        <v>556</v>
      </c>
    </row>
    <row r="60" spans="2:6" ht="13.5">
      <c r="B60" s="133" t="s">
        <v>86</v>
      </c>
      <c r="C60" s="112" t="s">
        <v>557</v>
      </c>
      <c r="D60" s="133">
        <v>2</v>
      </c>
      <c r="E60" s="112" t="s">
        <v>557</v>
      </c>
      <c r="F60" s="133" t="s">
        <v>558</v>
      </c>
    </row>
    <row r="61" spans="2:6" ht="13.5">
      <c r="B61" s="133" t="s">
        <v>86</v>
      </c>
      <c r="C61" s="112" t="s">
        <v>559</v>
      </c>
      <c r="D61" s="133">
        <v>3</v>
      </c>
      <c r="E61" s="112" t="s">
        <v>559</v>
      </c>
      <c r="F61" s="133" t="s">
        <v>560</v>
      </c>
    </row>
    <row r="62" spans="2:6" ht="13.5">
      <c r="B62" s="133" t="s">
        <v>86</v>
      </c>
      <c r="C62" s="112" t="s">
        <v>561</v>
      </c>
      <c r="D62" s="133">
        <v>4</v>
      </c>
      <c r="E62" s="112" t="s">
        <v>561</v>
      </c>
      <c r="F62" s="133" t="s">
        <v>562</v>
      </c>
    </row>
    <row r="63" spans="2:6" ht="13.5">
      <c r="B63" s="133" t="s">
        <v>168</v>
      </c>
      <c r="C63" s="189" t="s">
        <v>563</v>
      </c>
      <c r="D63" s="133">
        <v>0</v>
      </c>
      <c r="E63" s="189" t="b">
        <v>0</v>
      </c>
      <c r="F63" s="189" t="s">
        <v>564</v>
      </c>
    </row>
    <row r="64" spans="2:6" ht="13.5">
      <c r="B64" s="133" t="s">
        <v>168</v>
      </c>
      <c r="C64" s="189" t="s">
        <v>565</v>
      </c>
      <c r="D64" s="133">
        <v>1</v>
      </c>
      <c r="E64" s="189" t="b">
        <v>1</v>
      </c>
      <c r="F64" s="189" t="s">
        <v>566</v>
      </c>
    </row>
    <row r="65" spans="2:6" ht="13.5">
      <c r="B65" s="133" t="s">
        <v>169</v>
      </c>
      <c r="C65" s="112" t="s">
        <v>567</v>
      </c>
      <c r="D65" s="133">
        <v>0</v>
      </c>
      <c r="E65" s="133" t="s">
        <v>232</v>
      </c>
      <c r="F65" s="133" t="s">
        <v>568</v>
      </c>
    </row>
    <row r="66" spans="2:6" ht="13.5">
      <c r="B66" s="133" t="s">
        <v>169</v>
      </c>
      <c r="C66" s="112" t="s">
        <v>569</v>
      </c>
      <c r="D66" s="133">
        <v>1</v>
      </c>
      <c r="E66" s="133" t="s">
        <v>233</v>
      </c>
      <c r="F66" s="133" t="s">
        <v>570</v>
      </c>
    </row>
    <row r="67" spans="2:6" ht="13.5">
      <c r="B67" s="133" t="s">
        <v>170</v>
      </c>
      <c r="C67" s="112" t="s">
        <v>501</v>
      </c>
      <c r="D67" s="133">
        <v>0</v>
      </c>
      <c r="E67" s="133" t="s">
        <v>209</v>
      </c>
      <c r="F67" s="133" t="s">
        <v>516</v>
      </c>
    </row>
    <row r="68" spans="2:6" ht="13.5">
      <c r="B68" s="133" t="s">
        <v>170</v>
      </c>
      <c r="C68" s="112" t="s">
        <v>517</v>
      </c>
      <c r="D68" s="133">
        <v>1</v>
      </c>
      <c r="E68" s="133" t="s">
        <v>234</v>
      </c>
      <c r="F68" s="133" t="s">
        <v>518</v>
      </c>
    </row>
    <row r="69" spans="2:6" ht="13.5">
      <c r="B69" s="133" t="s">
        <v>171</v>
      </c>
      <c r="C69" s="112" t="s">
        <v>548</v>
      </c>
      <c r="D69" s="133">
        <v>0</v>
      </c>
      <c r="E69" s="133" t="s">
        <v>235</v>
      </c>
      <c r="F69" s="133" t="s">
        <v>571</v>
      </c>
    </row>
    <row r="70" spans="2:6" ht="13.5">
      <c r="B70" s="133" t="s">
        <v>171</v>
      </c>
      <c r="C70" s="112" t="s">
        <v>572</v>
      </c>
      <c r="D70" s="133">
        <v>1</v>
      </c>
      <c r="E70" s="133" t="s">
        <v>236</v>
      </c>
      <c r="F70" s="133" t="s">
        <v>573</v>
      </c>
    </row>
    <row r="71" spans="2:6" ht="13.5">
      <c r="B71" s="133" t="s">
        <v>172</v>
      </c>
      <c r="C71" s="112" t="s">
        <v>478</v>
      </c>
      <c r="D71" s="133">
        <v>0</v>
      </c>
      <c r="E71" s="112" t="s">
        <v>574</v>
      </c>
      <c r="F71" s="133" t="s">
        <v>575</v>
      </c>
    </row>
    <row r="72" spans="2:6" ht="13.5">
      <c r="B72" s="133" t="s">
        <v>172</v>
      </c>
      <c r="C72" s="112" t="s">
        <v>576</v>
      </c>
      <c r="D72" s="133">
        <v>1</v>
      </c>
      <c r="E72" s="133" t="s">
        <v>237</v>
      </c>
      <c r="F72" s="133" t="s">
        <v>577</v>
      </c>
    </row>
    <row r="73" spans="2:6" ht="13.5">
      <c r="B73" s="133" t="s">
        <v>173</v>
      </c>
      <c r="C73" s="133" t="s">
        <v>238</v>
      </c>
      <c r="D73" s="133">
        <v>0</v>
      </c>
      <c r="E73" s="112" t="s">
        <v>11</v>
      </c>
      <c r="F73" s="133" t="s">
        <v>578</v>
      </c>
    </row>
    <row r="74" spans="2:6" ht="13.5">
      <c r="B74" s="133" t="s">
        <v>173</v>
      </c>
      <c r="C74" s="133" t="s">
        <v>239</v>
      </c>
      <c r="D74" s="133">
        <v>1</v>
      </c>
      <c r="E74" s="112" t="s">
        <v>579</v>
      </c>
      <c r="F74" s="133" t="s">
        <v>530</v>
      </c>
    </row>
    <row r="75" spans="2:6" ht="13.5">
      <c r="B75" s="133" t="s">
        <v>173</v>
      </c>
      <c r="C75" s="133" t="s">
        <v>240</v>
      </c>
      <c r="D75" s="133">
        <v>2</v>
      </c>
      <c r="E75" s="112" t="s">
        <v>580</v>
      </c>
      <c r="F75" s="133" t="s">
        <v>524</v>
      </c>
    </row>
    <row r="76" spans="2:6" ht="13.5">
      <c r="B76" s="133" t="s">
        <v>174</v>
      </c>
      <c r="C76" s="190" t="s">
        <v>581</v>
      </c>
      <c r="D76" s="133">
        <v>0</v>
      </c>
      <c r="E76" s="112" t="s">
        <v>582</v>
      </c>
      <c r="F76" s="133" t="s">
        <v>241</v>
      </c>
    </row>
    <row r="77" spans="2:6" ht="13.5">
      <c r="B77" s="133" t="s">
        <v>174</v>
      </c>
      <c r="C77" s="190" t="s">
        <v>583</v>
      </c>
      <c r="D77" s="133">
        <v>1</v>
      </c>
      <c r="E77" s="133" t="s">
        <v>242</v>
      </c>
      <c r="F77" s="133" t="s">
        <v>242</v>
      </c>
    </row>
    <row r="78" spans="2:6" ht="13.5">
      <c r="B78" s="133" t="s">
        <v>174</v>
      </c>
      <c r="C78" s="190" t="s">
        <v>584</v>
      </c>
      <c r="D78" s="133">
        <v>2</v>
      </c>
      <c r="E78" s="133" t="s">
        <v>243</v>
      </c>
      <c r="F78" s="133" t="s">
        <v>243</v>
      </c>
    </row>
    <row r="79" spans="2:6" ht="13.5">
      <c r="B79" s="133" t="s">
        <v>174</v>
      </c>
      <c r="C79" s="190" t="s">
        <v>585</v>
      </c>
      <c r="D79" s="133">
        <v>3</v>
      </c>
      <c r="E79" s="133" t="s">
        <v>244</v>
      </c>
      <c r="F79" s="133" t="s">
        <v>244</v>
      </c>
    </row>
    <row r="80" spans="2:6" ht="13.5">
      <c r="B80" s="133" t="s">
        <v>174</v>
      </c>
      <c r="C80" s="190" t="s">
        <v>586</v>
      </c>
      <c r="D80" s="133">
        <v>4</v>
      </c>
      <c r="E80" s="133" t="s">
        <v>245</v>
      </c>
      <c r="F80" s="133" t="s">
        <v>245</v>
      </c>
    </row>
    <row r="81" spans="2:6" ht="13.5">
      <c r="B81" s="133" t="s">
        <v>174</v>
      </c>
      <c r="C81" s="190" t="s">
        <v>587</v>
      </c>
      <c r="D81" s="133">
        <v>5</v>
      </c>
      <c r="E81" s="133" t="s">
        <v>246</v>
      </c>
      <c r="F81" s="133" t="s">
        <v>246</v>
      </c>
    </row>
    <row r="82" spans="2:6" ht="13.5">
      <c r="B82" s="133" t="s">
        <v>174</v>
      </c>
      <c r="C82" s="190" t="s">
        <v>588</v>
      </c>
      <c r="D82" s="133">
        <v>6</v>
      </c>
      <c r="E82" s="133" t="s">
        <v>247</v>
      </c>
      <c r="F82" s="133" t="s">
        <v>247</v>
      </c>
    </row>
    <row r="83" spans="2:6" ht="13.5">
      <c r="B83" s="133" t="s">
        <v>175</v>
      </c>
      <c r="C83" s="112" t="s">
        <v>589</v>
      </c>
      <c r="D83" s="133">
        <v>0</v>
      </c>
      <c r="E83" s="133" t="s">
        <v>248</v>
      </c>
      <c r="F83" s="133" t="s">
        <v>248</v>
      </c>
    </row>
    <row r="84" spans="2:6" ht="13.5">
      <c r="B84" s="133" t="s">
        <v>175</v>
      </c>
      <c r="C84" s="112" t="s">
        <v>548</v>
      </c>
      <c r="D84" s="133">
        <v>1</v>
      </c>
      <c r="E84" s="133" t="s">
        <v>249</v>
      </c>
      <c r="F84" s="133" t="s">
        <v>249</v>
      </c>
    </row>
    <row r="85" spans="2:6" ht="13.5">
      <c r="B85" s="133" t="s">
        <v>176</v>
      </c>
      <c r="C85" s="112" t="s">
        <v>590</v>
      </c>
      <c r="D85" s="133">
        <v>0</v>
      </c>
      <c r="E85" s="133" t="s">
        <v>250</v>
      </c>
      <c r="F85" s="133" t="s">
        <v>591</v>
      </c>
    </row>
    <row r="86" spans="2:6" ht="13.5">
      <c r="B86" s="133" t="s">
        <v>176</v>
      </c>
      <c r="C86" s="112" t="s">
        <v>592</v>
      </c>
      <c r="D86" s="133">
        <v>1</v>
      </c>
      <c r="E86" s="133" t="s">
        <v>251</v>
      </c>
      <c r="F86" s="133" t="s">
        <v>593</v>
      </c>
    </row>
    <row r="87" spans="2:6" ht="13.5">
      <c r="B87" s="133" t="s">
        <v>177</v>
      </c>
      <c r="C87" s="112" t="s">
        <v>594</v>
      </c>
      <c r="D87" s="133">
        <v>0</v>
      </c>
      <c r="E87" s="133" t="s">
        <v>252</v>
      </c>
      <c r="F87" s="133" t="s">
        <v>595</v>
      </c>
    </row>
    <row r="88" spans="2:6" ht="13.5">
      <c r="B88" s="133" t="s">
        <v>177</v>
      </c>
      <c r="C88" s="112" t="s">
        <v>596</v>
      </c>
      <c r="D88" s="133">
        <v>1</v>
      </c>
      <c r="E88" s="133" t="s">
        <v>253</v>
      </c>
      <c r="F88" s="133" t="s">
        <v>597</v>
      </c>
    </row>
    <row r="89" spans="2:6" ht="13.5">
      <c r="B89" s="133" t="s">
        <v>178</v>
      </c>
      <c r="C89" s="112" t="s">
        <v>598</v>
      </c>
      <c r="D89" s="133">
        <v>0</v>
      </c>
      <c r="E89" s="133" t="s">
        <v>254</v>
      </c>
      <c r="F89" s="133" t="s">
        <v>599</v>
      </c>
    </row>
    <row r="90" spans="2:6" ht="13.5">
      <c r="B90" s="133" t="s">
        <v>178</v>
      </c>
      <c r="C90" s="112" t="s">
        <v>600</v>
      </c>
      <c r="D90" s="133">
        <v>1</v>
      </c>
      <c r="E90" s="133" t="s">
        <v>255</v>
      </c>
      <c r="F90" s="133" t="s">
        <v>601</v>
      </c>
    </row>
    <row r="91" spans="2:6" ht="13.5">
      <c r="B91" s="133" t="s">
        <v>179</v>
      </c>
      <c r="C91" s="112" t="s">
        <v>602</v>
      </c>
      <c r="D91" s="133">
        <v>0</v>
      </c>
      <c r="E91" s="133" t="s">
        <v>256</v>
      </c>
      <c r="F91" s="133" t="s">
        <v>256</v>
      </c>
    </row>
    <row r="92" spans="2:6" ht="13.5">
      <c r="B92" s="133" t="s">
        <v>179</v>
      </c>
      <c r="C92" s="112" t="s">
        <v>603</v>
      </c>
      <c r="D92" s="133">
        <v>1</v>
      </c>
      <c r="E92" s="133" t="s">
        <v>257</v>
      </c>
      <c r="F92" s="133" t="s">
        <v>257</v>
      </c>
    </row>
    <row r="93" spans="2:6" ht="13.5">
      <c r="B93" s="133" t="s">
        <v>179</v>
      </c>
      <c r="C93" s="112" t="s">
        <v>604</v>
      </c>
      <c r="D93" s="133">
        <v>2</v>
      </c>
      <c r="E93" s="133" t="s">
        <v>258</v>
      </c>
      <c r="F93" s="133" t="s">
        <v>258</v>
      </c>
    </row>
    <row r="94" spans="2:6" ht="13.5">
      <c r="B94" s="133" t="s">
        <v>179</v>
      </c>
      <c r="C94" s="112" t="s">
        <v>605</v>
      </c>
      <c r="D94" s="133">
        <v>3</v>
      </c>
      <c r="E94" s="133" t="s">
        <v>259</v>
      </c>
      <c r="F94" s="133" t="s">
        <v>259</v>
      </c>
    </row>
    <row r="95" spans="2:6" ht="13.5">
      <c r="B95" s="133" t="s">
        <v>179</v>
      </c>
      <c r="C95" s="112" t="s">
        <v>606</v>
      </c>
      <c r="D95" s="133">
        <v>4</v>
      </c>
      <c r="E95" s="133" t="s">
        <v>260</v>
      </c>
      <c r="F95" s="133" t="s">
        <v>260</v>
      </c>
    </row>
    <row r="96" spans="2:6" ht="13.5">
      <c r="B96" s="133" t="s">
        <v>180</v>
      </c>
      <c r="C96" s="112" t="s">
        <v>607</v>
      </c>
      <c r="D96" s="133">
        <v>0</v>
      </c>
      <c r="E96" s="133" t="s">
        <v>261</v>
      </c>
      <c r="F96" s="133" t="s">
        <v>261</v>
      </c>
    </row>
    <row r="97" spans="2:6" ht="13.5">
      <c r="B97" s="133" t="s">
        <v>180</v>
      </c>
      <c r="C97" s="112" t="s">
        <v>608</v>
      </c>
      <c r="D97" s="133">
        <v>1</v>
      </c>
      <c r="E97" s="133" t="s">
        <v>262</v>
      </c>
      <c r="F97" s="133" t="s">
        <v>262</v>
      </c>
    </row>
    <row r="98" spans="2:6" ht="13.5">
      <c r="B98" s="133" t="s">
        <v>180</v>
      </c>
      <c r="C98" s="112" t="s">
        <v>609</v>
      </c>
      <c r="D98" s="133">
        <v>2</v>
      </c>
      <c r="E98" s="133" t="s">
        <v>263</v>
      </c>
      <c r="F98" s="133" t="s">
        <v>263</v>
      </c>
    </row>
    <row r="99" spans="2:6" ht="13.5">
      <c r="B99" s="133" t="s">
        <v>180</v>
      </c>
      <c r="C99" s="112" t="s">
        <v>610</v>
      </c>
      <c r="D99" s="133">
        <v>3</v>
      </c>
      <c r="E99" s="133" t="s">
        <v>264</v>
      </c>
      <c r="F99" s="133" t="s">
        <v>264</v>
      </c>
    </row>
    <row r="100" spans="2:6" ht="13.5">
      <c r="B100" s="133" t="s">
        <v>180</v>
      </c>
      <c r="C100" s="112" t="s">
        <v>611</v>
      </c>
      <c r="D100" s="133">
        <v>4</v>
      </c>
      <c r="E100" s="133" t="s">
        <v>265</v>
      </c>
      <c r="F100" s="133" t="s">
        <v>265</v>
      </c>
    </row>
    <row r="101" spans="2:6" ht="13.5">
      <c r="B101" s="133" t="s">
        <v>180</v>
      </c>
      <c r="C101" s="112" t="s">
        <v>612</v>
      </c>
      <c r="D101" s="133">
        <v>5</v>
      </c>
      <c r="E101" s="133" t="s">
        <v>266</v>
      </c>
      <c r="F101" s="133" t="s">
        <v>266</v>
      </c>
    </row>
    <row r="102" spans="2:6" ht="13.5">
      <c r="B102" s="133" t="s">
        <v>180</v>
      </c>
      <c r="C102" s="112" t="s">
        <v>613</v>
      </c>
      <c r="D102" s="133">
        <v>6</v>
      </c>
      <c r="E102" s="133" t="s">
        <v>267</v>
      </c>
      <c r="F102" s="133" t="s">
        <v>267</v>
      </c>
    </row>
    <row r="103" spans="2:6" ht="13.5">
      <c r="B103" s="133" t="s">
        <v>103</v>
      </c>
      <c r="C103" s="112" t="s">
        <v>614</v>
      </c>
      <c r="D103" s="133">
        <v>0</v>
      </c>
      <c r="E103" s="133" t="s">
        <v>142</v>
      </c>
      <c r="F103" s="133" t="s">
        <v>615</v>
      </c>
    </row>
    <row r="104" spans="2:6" ht="13.5">
      <c r="B104" s="133" t="s">
        <v>103</v>
      </c>
      <c r="C104" s="112" t="s">
        <v>616</v>
      </c>
      <c r="D104" s="133">
        <v>0</v>
      </c>
      <c r="E104" s="133" t="s">
        <v>143</v>
      </c>
      <c r="F104" s="133" t="s">
        <v>617</v>
      </c>
    </row>
    <row r="105" spans="2:6" ht="13.5">
      <c r="B105" s="133" t="s">
        <v>103</v>
      </c>
      <c r="C105" s="112" t="s">
        <v>618</v>
      </c>
      <c r="D105" s="133">
        <v>1</v>
      </c>
      <c r="E105" s="133" t="s">
        <v>144</v>
      </c>
      <c r="F105" s="133" t="s">
        <v>619</v>
      </c>
    </row>
    <row r="106" spans="2:6" ht="13.5">
      <c r="B106" s="133" t="s">
        <v>103</v>
      </c>
      <c r="C106" s="112" t="s">
        <v>620</v>
      </c>
      <c r="D106" s="133">
        <v>2</v>
      </c>
      <c r="E106" s="133" t="s">
        <v>145</v>
      </c>
      <c r="F106" s="133" t="s">
        <v>621</v>
      </c>
    </row>
    <row r="107" spans="2:6" ht="13.5">
      <c r="B107" s="133" t="s">
        <v>103</v>
      </c>
      <c r="C107" s="112" t="s">
        <v>622</v>
      </c>
      <c r="D107" s="133">
        <v>3</v>
      </c>
      <c r="E107" s="133" t="s">
        <v>146</v>
      </c>
      <c r="F107" s="133" t="s">
        <v>623</v>
      </c>
    </row>
    <row r="108" spans="2:6" ht="13.5">
      <c r="B108" s="133" t="s">
        <v>103</v>
      </c>
      <c r="C108" s="112" t="s">
        <v>624</v>
      </c>
      <c r="D108" s="133">
        <v>4</v>
      </c>
      <c r="E108" s="133" t="s">
        <v>147</v>
      </c>
      <c r="F108" s="133" t="s">
        <v>625</v>
      </c>
    </row>
    <row r="109" spans="2:6" ht="13.5">
      <c r="B109" s="133" t="s">
        <v>103</v>
      </c>
      <c r="C109" s="112" t="s">
        <v>626</v>
      </c>
      <c r="D109" s="133">
        <v>5</v>
      </c>
      <c r="E109" s="133" t="s">
        <v>148</v>
      </c>
      <c r="F109" s="133" t="s">
        <v>627</v>
      </c>
    </row>
    <row r="110" spans="2:6" ht="13.5">
      <c r="B110" s="133" t="s">
        <v>103</v>
      </c>
      <c r="C110" s="112" t="s">
        <v>628</v>
      </c>
      <c r="D110" s="133">
        <v>6</v>
      </c>
      <c r="E110" s="133" t="s">
        <v>149</v>
      </c>
      <c r="F110" s="133" t="s">
        <v>629</v>
      </c>
    </row>
    <row r="111" spans="2:6" ht="13.5">
      <c r="B111" s="133" t="s">
        <v>103</v>
      </c>
      <c r="C111" s="112" t="s">
        <v>630</v>
      </c>
      <c r="D111" s="133">
        <v>7</v>
      </c>
      <c r="E111" s="133" t="s">
        <v>150</v>
      </c>
      <c r="F111" s="133" t="s">
        <v>631</v>
      </c>
    </row>
    <row r="112" spans="2:6" ht="13.5">
      <c r="B112" s="189" t="s">
        <v>151</v>
      </c>
      <c r="C112" s="112" t="s">
        <v>547</v>
      </c>
      <c r="D112" s="191">
        <v>0</v>
      </c>
      <c r="E112" s="188" t="b">
        <v>0</v>
      </c>
      <c r="F112" s="133" t="s">
        <v>632</v>
      </c>
    </row>
    <row r="113" spans="2:6" ht="13.5">
      <c r="B113" s="189" t="s">
        <v>151</v>
      </c>
      <c r="C113" s="112" t="s">
        <v>633</v>
      </c>
      <c r="D113" s="191">
        <v>1</v>
      </c>
      <c r="E113" s="188" t="b">
        <v>1</v>
      </c>
      <c r="F113" s="133" t="s">
        <v>634</v>
      </c>
    </row>
  </sheetData>
  <dataConsolidate/>
  <phoneticPr fontId="1" type="noConversion"/>
  <conditionalFormatting sqref="B63:B64 E73:E76">
    <cfRule type="expression" dxfId="29" priority="29">
      <formula>$K63="GROUP"</formula>
    </cfRule>
  </conditionalFormatting>
  <conditionalFormatting sqref="B65:B66">
    <cfRule type="expression" dxfId="28" priority="28">
      <formula>$K65="GROUP"</formula>
    </cfRule>
  </conditionalFormatting>
  <conditionalFormatting sqref="B67:B68">
    <cfRule type="expression" dxfId="27" priority="27">
      <formula>$K67="GROUP"</formula>
    </cfRule>
  </conditionalFormatting>
  <conditionalFormatting sqref="B69:B70">
    <cfRule type="expression" dxfId="26" priority="26">
      <formula>$K69="GROUP"</formula>
    </cfRule>
  </conditionalFormatting>
  <conditionalFormatting sqref="B71:B72">
    <cfRule type="expression" dxfId="25" priority="25">
      <formula>$K71="GROUP"</formula>
    </cfRule>
  </conditionalFormatting>
  <conditionalFormatting sqref="B73:B75">
    <cfRule type="expression" dxfId="24" priority="24">
      <formula>$K73="GROUP"</formula>
    </cfRule>
  </conditionalFormatting>
  <conditionalFormatting sqref="C6:C13">
    <cfRule type="expression" dxfId="23" priority="23">
      <formula>$K6="GROUP"</formula>
    </cfRule>
  </conditionalFormatting>
  <conditionalFormatting sqref="B14:B32">
    <cfRule type="expression" dxfId="22" priority="22">
      <formula>$K14="GROUP"</formula>
    </cfRule>
  </conditionalFormatting>
  <conditionalFormatting sqref="C14:C21">
    <cfRule type="expression" dxfId="21" priority="21">
      <formula>$K14="GROUP"</formula>
    </cfRule>
  </conditionalFormatting>
  <conditionalFormatting sqref="C33">
    <cfRule type="expression" dxfId="20" priority="20">
      <formula>$K33="GROUP"</formula>
    </cfRule>
  </conditionalFormatting>
  <conditionalFormatting sqref="C34:C38">
    <cfRule type="expression" dxfId="19" priority="19">
      <formula>$K34="GROUP"</formula>
    </cfRule>
  </conditionalFormatting>
  <conditionalFormatting sqref="C39:C46">
    <cfRule type="expression" dxfId="18" priority="18">
      <formula>$K39="GROUP"</formula>
    </cfRule>
  </conditionalFormatting>
  <conditionalFormatting sqref="C51:C57">
    <cfRule type="expression" dxfId="17" priority="17">
      <formula>$K51="GROUP"</formula>
    </cfRule>
  </conditionalFormatting>
  <conditionalFormatting sqref="C58:C62">
    <cfRule type="expression" dxfId="16" priority="16">
      <formula>$K58="GROUP"</formula>
    </cfRule>
  </conditionalFormatting>
  <conditionalFormatting sqref="C65:C66">
    <cfRule type="expression" dxfId="15" priority="15">
      <formula>$K65="GROUP"</formula>
    </cfRule>
  </conditionalFormatting>
  <conditionalFormatting sqref="C67:C68">
    <cfRule type="expression" dxfId="14" priority="14">
      <formula>$K67="GROUP"</formula>
    </cfRule>
  </conditionalFormatting>
  <conditionalFormatting sqref="C69:C70">
    <cfRule type="expression" dxfId="13" priority="13">
      <formula>$K69="GROUP"</formula>
    </cfRule>
  </conditionalFormatting>
  <conditionalFormatting sqref="C71:C72">
    <cfRule type="expression" dxfId="12" priority="12">
      <formula>$K71="GROUP"</formula>
    </cfRule>
  </conditionalFormatting>
  <conditionalFormatting sqref="C83:C84">
    <cfRule type="expression" dxfId="11" priority="11">
      <formula>$K83="GROUP"</formula>
    </cfRule>
  </conditionalFormatting>
  <conditionalFormatting sqref="C85:C86">
    <cfRule type="expression" dxfId="10" priority="10">
      <formula>$K85="GROUP"</formula>
    </cfRule>
  </conditionalFormatting>
  <conditionalFormatting sqref="C87:C88">
    <cfRule type="expression" dxfId="9" priority="9">
      <formula>$K87="GROUP"</formula>
    </cfRule>
  </conditionalFormatting>
  <conditionalFormatting sqref="C89:C90">
    <cfRule type="expression" dxfId="8" priority="8">
      <formula>$K89="GROUP"</formula>
    </cfRule>
  </conditionalFormatting>
  <conditionalFormatting sqref="C91:C95">
    <cfRule type="expression" dxfId="7" priority="7">
      <formula>$K91="GROUP"</formula>
    </cfRule>
  </conditionalFormatting>
  <conditionalFormatting sqref="C96:C102">
    <cfRule type="expression" dxfId="6" priority="6">
      <formula>$K96="GROUP"</formula>
    </cfRule>
  </conditionalFormatting>
  <conditionalFormatting sqref="C103:C111">
    <cfRule type="expression" dxfId="5" priority="5">
      <formula>$K103="GROUP"</formula>
    </cfRule>
  </conditionalFormatting>
  <conditionalFormatting sqref="C112:C113">
    <cfRule type="expression" dxfId="4" priority="4">
      <formula>$K112="GROUP"</formula>
    </cfRule>
  </conditionalFormatting>
  <conditionalFormatting sqref="E58:E62">
    <cfRule type="expression" dxfId="3" priority="3">
      <formula>$K58="GROUP"</formula>
    </cfRule>
  </conditionalFormatting>
  <conditionalFormatting sqref="C76:C82">
    <cfRule type="expression" dxfId="2" priority="1">
      <formula>$K76="GROUP"</formula>
    </cfRule>
  </conditionalFormatting>
  <conditionalFormatting sqref="C76:C82">
    <cfRule type="expression" dxfId="1" priority="2">
      <formula>$K76="GROUP"</formula>
    </cfRule>
  </conditionalFormatting>
  <conditionalFormatting sqref="E71">
    <cfRule type="expression" dxfId="0" priority="30">
      <formula>$K72="GROUP"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2025-07-28T04:36:19Z</dcterms:modified>
</cp:coreProperties>
</file>