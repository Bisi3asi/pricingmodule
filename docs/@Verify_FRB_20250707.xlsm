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icis\Desktop\Storage\1_Work\1_Dev\1_Repository\pricingmodule\excel_verify\"/>
    </mc:Choice>
  </mc:AlternateContent>
  <xr:revisionPtr revIDLastSave="0" documentId="13_ncr:1_{AF90F181-3E2A-4402-B578-04CEF85999C5}" xr6:coauthVersionLast="47" xr6:coauthVersionMax="47" xr10:uidLastSave="{00000000-0000-0000-0000-000000000000}"/>
  <bookViews>
    <workbookView xWindow="-105" yWindow="0" windowWidth="14610" windowHeight="15585" activeTab="4" xr2:uid="{C823104A-F605-4FED-B28E-5F229F6706E8}"/>
  </bookViews>
  <sheets>
    <sheet name="Trade" sheetId="21" r:id="rId1"/>
    <sheet name="Result" sheetId="23" r:id="rId2"/>
    <sheet name="Desc" sheetId="19" r:id="rId3"/>
    <sheet name="Verify" sheetId="22" r:id="rId4"/>
    <sheet name="ConvData" sheetId="2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23" l="1"/>
</calcChain>
</file>

<file path=xl/sharedStrings.xml><?xml version="1.0" encoding="utf-8"?>
<sst xmlns="http://schemas.openxmlformats.org/spreadsheetml/2006/main" count="641" uniqueCount="340">
  <si>
    <t>MATU_DT</t>
    <phoneticPr fontId="1" type="noConversion"/>
  </si>
  <si>
    <t>CASHFLOW</t>
    <phoneticPr fontId="1" type="noConversion"/>
  </si>
  <si>
    <t>Value</t>
    <phoneticPr fontId="1" type="noConversion"/>
  </si>
  <si>
    <t>SEQ</t>
    <phoneticPr fontId="1" type="noConversion"/>
  </si>
  <si>
    <t>FFW : Forex future</t>
    <phoneticPr fontId="2" type="noConversion"/>
  </si>
  <si>
    <t>Position Information</t>
    <phoneticPr fontId="2" type="noConversion"/>
  </si>
  <si>
    <t>Curve / Volatility(T)</t>
    <phoneticPr fontId="2" type="noConversion"/>
  </si>
  <si>
    <t>IRKRW-IRS</t>
    <phoneticPr fontId="2" type="noConversion"/>
  </si>
  <si>
    <t>SEQ</t>
    <phoneticPr fontId="2" type="noConversion"/>
  </si>
  <si>
    <t>Attribute</t>
    <phoneticPr fontId="2" type="noConversion"/>
  </si>
  <si>
    <t xml:space="preserve"> </t>
    <phoneticPr fontId="2" type="noConversion"/>
  </si>
  <si>
    <t>No</t>
    <phoneticPr fontId="2" type="noConversion"/>
  </si>
  <si>
    <t>Day</t>
    <phoneticPr fontId="2" type="noConversion"/>
  </si>
  <si>
    <t>Value</t>
    <phoneticPr fontId="2" type="noConversion"/>
  </si>
  <si>
    <t>Schedule</t>
    <phoneticPr fontId="2" type="noConversion"/>
  </si>
  <si>
    <t>Delta</t>
    <phoneticPr fontId="2" type="noConversion"/>
  </si>
  <si>
    <t>Calcu Y/N</t>
    <phoneticPr fontId="2" type="noConversion"/>
  </si>
  <si>
    <t>Tenor</t>
    <phoneticPr fontId="2" type="noConversion"/>
  </si>
  <si>
    <t>THEO/Value</t>
    <phoneticPr fontId="2" type="noConversion"/>
  </si>
  <si>
    <t>Vega</t>
    <phoneticPr fontId="2" type="noConversion"/>
  </si>
  <si>
    <t>Gamma</t>
    <phoneticPr fontId="2" type="noConversion"/>
  </si>
  <si>
    <t>Curvature/Gamma</t>
    <phoneticPr fontId="2" type="noConversion"/>
  </si>
  <si>
    <t>REV_CF</t>
    <phoneticPr fontId="2" type="noConversion"/>
  </si>
  <si>
    <t>RATE</t>
    <phoneticPr fontId="2" type="noConversion"/>
  </si>
  <si>
    <t>CF_VAL</t>
    <phoneticPr fontId="2" type="noConversion"/>
  </si>
  <si>
    <t>DF</t>
    <phoneticPr fontId="2" type="noConversion"/>
  </si>
  <si>
    <t>DF1</t>
    <phoneticPr fontId="2" type="noConversion"/>
  </si>
  <si>
    <t>PAY_CF</t>
    <phoneticPr fontId="2" type="noConversion"/>
  </si>
  <si>
    <t>FRTB_DELTA_GIRR</t>
    <phoneticPr fontId="1" type="noConversion"/>
  </si>
  <si>
    <t>FRTB_DELTA_FX</t>
    <phoneticPr fontId="1" type="noConversion"/>
  </si>
  <si>
    <t>만기일</t>
  </si>
  <si>
    <t>결제일 OFFSET</t>
  </si>
  <si>
    <t>발행일</t>
  </si>
  <si>
    <t>원금</t>
  </si>
  <si>
    <t>CURVE_IR_ZERO_RATES</t>
  </si>
  <si>
    <t>CURVE_IR_CSR_CNT</t>
  </si>
  <si>
    <t>CURVE_IR_CSR_TENORDAYS</t>
  </si>
  <si>
    <t>CURVE_IR_CSR_RATES</t>
  </si>
  <si>
    <t>ISSU_DT</t>
    <phoneticPr fontId="1" type="noConversion"/>
  </si>
  <si>
    <t>DLL Prameter Information</t>
    <phoneticPr fontId="2" type="noConversion"/>
  </si>
  <si>
    <t>COUP_RATE</t>
    <phoneticPr fontId="1" type="noConversion"/>
  </si>
  <si>
    <t>시장가격</t>
    <phoneticPr fontId="1" type="noConversion"/>
  </si>
  <si>
    <t>Duration</t>
    <phoneticPr fontId="2" type="noConversion"/>
  </si>
  <si>
    <t>PV01</t>
    <phoneticPr fontId="2" type="noConversion"/>
  </si>
  <si>
    <t>FRTB_DELTA_CSR</t>
    <phoneticPr fontId="1" type="noConversion"/>
  </si>
  <si>
    <t>FRTB_DELTA_EQ</t>
    <phoneticPr fontId="1" type="noConversion"/>
  </si>
  <si>
    <t>FRTB_DELTA_CM</t>
    <phoneticPr fontId="1" type="noConversion"/>
  </si>
  <si>
    <t>FRTB_VEGA_GIRR</t>
  </si>
  <si>
    <t>FRTB_VEGA_FX</t>
  </si>
  <si>
    <t>FRTB_VEGA_EQ</t>
  </si>
  <si>
    <t>FRTB_VEGA_CM</t>
  </si>
  <si>
    <t>FRTB_CVR_GIRR</t>
    <phoneticPr fontId="1" type="noConversion"/>
  </si>
  <si>
    <t>FRTB_CVR_FX</t>
    <phoneticPr fontId="1" type="noConversion"/>
  </si>
  <si>
    <t>FRTB_CVR_EQ</t>
    <phoneticPr fontId="1" type="noConversion"/>
  </si>
  <si>
    <t>FRTB_CVR_CM</t>
    <phoneticPr fontId="1" type="noConversion"/>
  </si>
  <si>
    <t>FRTB_JTD</t>
    <phoneticPr fontId="1" type="noConversion"/>
  </si>
  <si>
    <t>KRW</t>
    <phoneticPr fontId="1" type="noConversion"/>
  </si>
  <si>
    <t>FRB: Fixed Rate Bond</t>
    <phoneticPr fontId="2" type="noConversion"/>
  </si>
  <si>
    <t>평가일</t>
    <phoneticPr fontId="1" type="noConversion"/>
  </si>
  <si>
    <t>쿠폰달력 코드</t>
    <phoneticPr fontId="1" type="noConversion"/>
  </si>
  <si>
    <t>쿠폰지급주기 코드</t>
    <phoneticPr fontId="1" type="noConversion"/>
  </si>
  <si>
    <t>쿠폰 개수</t>
    <phoneticPr fontId="1" type="noConversion"/>
  </si>
  <si>
    <t>쿠폰 지급일</t>
    <phoneticPr fontId="1" type="noConversion"/>
  </si>
  <si>
    <t>쿠폰 시작일</t>
    <phoneticPr fontId="1" type="noConversion"/>
  </si>
  <si>
    <t>쿠폰 종료일</t>
    <phoneticPr fontId="1" type="noConversion"/>
  </si>
  <si>
    <t>쿠폰이율</t>
    <phoneticPr fontId="1" type="noConversion"/>
  </si>
  <si>
    <t>GIRR 커브 데이터 사이즈</t>
    <phoneticPr fontId="1" type="noConversion"/>
  </si>
  <si>
    <t>GIRR 만기일수</t>
    <phoneticPr fontId="1" type="noConversion"/>
  </si>
  <si>
    <t>GIRR 금리</t>
    <phoneticPr fontId="1" type="noConversion"/>
  </si>
  <si>
    <t>GIRR 보간방식 코드</t>
    <phoneticPr fontId="1" type="noConversion"/>
  </si>
  <si>
    <t>CSR 커브 데이터사이즈</t>
    <phoneticPr fontId="1" type="noConversion"/>
  </si>
  <si>
    <t>CSR 만기일수</t>
    <phoneticPr fontId="1" type="noConversion"/>
  </si>
  <si>
    <t>CSR 스프레드 금리</t>
    <phoneticPr fontId="1" type="noConversion"/>
  </si>
  <si>
    <t>CSR 위험가중치</t>
    <phoneticPr fontId="1" type="noConversion"/>
  </si>
  <si>
    <t>측정구분</t>
    <phoneticPr fontId="1" type="noConversion"/>
  </si>
  <si>
    <t>로깅여부</t>
    <phoneticPr fontId="1" type="noConversion"/>
  </si>
  <si>
    <t>SETTLEMENT_DAYS</t>
    <phoneticPr fontId="1" type="noConversion"/>
  </si>
  <si>
    <t>NOTI_AMT</t>
    <phoneticPr fontId="1" type="noConversion"/>
  </si>
  <si>
    <t>COUP_DCB_CD</t>
    <phoneticPr fontId="1" type="noConversion"/>
  </si>
  <si>
    <t>ZERO_DCB_CD</t>
    <phoneticPr fontId="1" type="noConversion"/>
  </si>
  <si>
    <t>ZERO_INTERPOLATOR_CD</t>
    <phoneticPr fontId="1" type="noConversion"/>
  </si>
  <si>
    <t>ZERO_COMPOUNDING_CD</t>
    <phoneticPr fontId="1" type="noConversion"/>
  </si>
  <si>
    <t>ZERO_FREQUENCY_CD</t>
    <phoneticPr fontId="1" type="noConversion"/>
  </si>
  <si>
    <t>SPREAD_COMPOUNDING_CD</t>
    <phoneticPr fontId="1" type="noConversion"/>
  </si>
  <si>
    <t>SPREAD_DCB_CD</t>
    <phoneticPr fontId="1" type="noConversion"/>
  </si>
  <si>
    <t>SPOT_PRIC</t>
    <phoneticPr fontId="1" type="noConversion"/>
  </si>
  <si>
    <t>CAL_TYPE</t>
    <phoneticPr fontId="1" type="noConversion"/>
  </si>
  <si>
    <t>LOG_YN</t>
    <phoneticPr fontId="1" type="noConversion"/>
  </si>
  <si>
    <t>SCH_001</t>
    <phoneticPr fontId="2" type="noConversion"/>
  </si>
  <si>
    <t>지급일</t>
    <phoneticPr fontId="1" type="noConversion"/>
  </si>
  <si>
    <t>시작일</t>
    <phoneticPr fontId="1" type="noConversion"/>
  </si>
  <si>
    <t>종료일</t>
    <phoneticPr fontId="1" type="noConversion"/>
  </si>
  <si>
    <t>45818,46001,46183,46366,46548,46731,46916,47098,47280,47462,47644,47827</t>
  </si>
  <si>
    <t>45636,45818,46001,46183,46366,46548,46731,46916,47098,47280,47462,47644</t>
  </si>
  <si>
    <t>91,183,365,730,1095,1825,3650,5475,7300,10950</t>
  </si>
  <si>
    <t>0.0337,0.0317,0.0285,0.0272,0.0269,0.0271,0.0278,0.0272,0.0254,0.0222</t>
  </si>
  <si>
    <t>183,365,1095,1825,3650</t>
  </si>
  <si>
    <t>GIRR 커브</t>
    <phoneticPr fontId="1" type="noConversion"/>
  </si>
  <si>
    <t>CSR 커브</t>
    <phoneticPr fontId="1" type="noConversion"/>
  </si>
  <si>
    <t>쿠폰 스케줄</t>
    <phoneticPr fontId="1" type="noConversion"/>
  </si>
  <si>
    <t>COUP_SCH_ID</t>
    <phoneticPr fontId="1" type="noConversion"/>
  </si>
  <si>
    <t>FRB000001</t>
    <phoneticPr fontId="2" type="noConversion"/>
  </si>
  <si>
    <t>IRKRW-IRS</t>
    <phoneticPr fontId="1" type="noConversion"/>
  </si>
  <si>
    <t>SCH_001</t>
    <phoneticPr fontId="1" type="noConversion"/>
  </si>
  <si>
    <t>CURVE_IR_ZERO_CNT</t>
    <phoneticPr fontId="1" type="noConversion"/>
  </si>
  <si>
    <t>COUP_CNT</t>
    <phoneticPr fontId="1" type="noConversion"/>
  </si>
  <si>
    <t>COUP_PAYMENT_DT</t>
    <phoneticPr fontId="1" type="noConversion"/>
  </si>
  <si>
    <t>COUP_START_DT</t>
    <phoneticPr fontId="1" type="noConversion"/>
  </si>
  <si>
    <t>COUP_END_DT</t>
    <phoneticPr fontId="1" type="noConversion"/>
  </si>
  <si>
    <t>CURVE_IR_ZERO_TENORDAYS</t>
    <phoneticPr fontId="1" type="noConversion"/>
  </si>
  <si>
    <t>0,0,0,0.0005,0.001</t>
  </si>
  <si>
    <t>CSR_RISKWEIGHT</t>
    <phoneticPr fontId="1" type="noConversion"/>
  </si>
  <si>
    <t>COUP_CALEN_CD</t>
    <phoneticPr fontId="1" type="noConversion"/>
  </si>
  <si>
    <t>COUP_FREQUENCY_CD</t>
    <phoneticPr fontId="1" type="noConversion"/>
  </si>
  <si>
    <t>EVALU_DT</t>
    <phoneticPr fontId="1" type="noConversion"/>
  </si>
  <si>
    <t>GIRR 위험가중치</t>
    <phoneticPr fontId="1" type="noConversion"/>
  </si>
  <si>
    <t>GIRR_RISKWEIGHT</t>
    <phoneticPr fontId="1" type="noConversion"/>
  </si>
  <si>
    <t>SOY</t>
    <phoneticPr fontId="1" type="noConversion"/>
  </si>
  <si>
    <t>로깅파일 생성여부</t>
    <phoneticPr fontId="1" type="noConversion"/>
  </si>
  <si>
    <t>NOTI_CCY</t>
    <phoneticPr fontId="1" type="noConversion"/>
  </si>
  <si>
    <t>GIRR 금리지급주기 코드</t>
    <phoneticPr fontId="1" type="noConversion"/>
  </si>
  <si>
    <t>쿠폰일수산출방식 코드</t>
    <phoneticPr fontId="1" type="noConversion"/>
  </si>
  <si>
    <t>스프레드 금리산출방식 코드</t>
  </si>
  <si>
    <t>스프레드 일수산출방식 코드</t>
  </si>
  <si>
    <t>쿠폰일수산출방식 코드</t>
  </si>
  <si>
    <t>GIRR 일수산출방식 코드</t>
  </si>
  <si>
    <t>GIRR 금리산출방식 코드</t>
  </si>
  <si>
    <t>COL_NM</t>
    <phoneticPr fontId="1" type="noConversion"/>
  </si>
  <si>
    <t>FRB : Fixed Rate Bond</t>
    <phoneticPr fontId="2" type="noConversion"/>
  </si>
  <si>
    <r>
      <t>C</t>
    </r>
    <r>
      <rPr>
        <b/>
        <sz val="9"/>
        <color theme="0" tint="-4.9989318521683403E-2"/>
        <rFont val="맑은 고딕"/>
        <family val="3"/>
        <charset val="129"/>
      </rPr>
      <t>a</t>
    </r>
    <r>
      <rPr>
        <b/>
        <sz val="9"/>
        <color theme="0" tint="-4.9989318521683403E-2"/>
        <rFont val="나눔바른펜"/>
        <family val="3"/>
        <charset val="129"/>
      </rPr>
      <t>shflow</t>
    </r>
    <phoneticPr fontId="2" type="noConversion"/>
  </si>
  <si>
    <t>Convexity</t>
    <phoneticPr fontId="2" type="noConversion"/>
  </si>
  <si>
    <t>Y</t>
  </si>
  <si>
    <t>N</t>
  </si>
  <si>
    <t>Curvature</t>
    <phoneticPr fontId="2" type="noConversion"/>
  </si>
  <si>
    <t>Up</t>
    <phoneticPr fontId="2" type="noConversion"/>
  </si>
  <si>
    <t>Down</t>
    <phoneticPr fontId="2" type="noConversion"/>
  </si>
  <si>
    <t>GIRR/IRKRW-IRS</t>
    <phoneticPr fontId="2" type="noConversion"/>
  </si>
  <si>
    <t>Calculation Option</t>
    <phoneticPr fontId="2" type="noConversion"/>
  </si>
  <si>
    <t>IRKRW-Treasury-CSR</t>
    <phoneticPr fontId="1" type="noConversion"/>
  </si>
  <si>
    <t>BASE_DT</t>
    <phoneticPr fontId="1" type="noConversion"/>
  </si>
  <si>
    <t>COUP_TERM</t>
    <phoneticPr fontId="1" type="noConversion"/>
  </si>
  <si>
    <t>M006</t>
    <phoneticPr fontId="1" type="noConversion"/>
  </si>
  <si>
    <t>CalKRW</t>
    <phoneticPr fontId="1" type="noConversion"/>
  </si>
  <si>
    <t>ACT/ACT</t>
    <phoneticPr fontId="1" type="noConversion"/>
  </si>
  <si>
    <t>ACT/360</t>
    <phoneticPr fontId="1" type="noConversion"/>
  </si>
  <si>
    <t>지급통화</t>
    <phoneticPr fontId="1" type="noConversion"/>
  </si>
  <si>
    <t>LGD</t>
    <phoneticPr fontId="1" type="noConversion"/>
  </si>
  <si>
    <t>선순위채권</t>
    <phoneticPr fontId="1" type="noConversion"/>
  </si>
  <si>
    <t>COUP_GEN_METH</t>
    <phoneticPr fontId="1" type="noConversion"/>
  </si>
  <si>
    <t>F,[B]</t>
    <phoneticPr fontId="1" type="noConversion"/>
  </si>
  <si>
    <t>BDAY_RULE</t>
    <phoneticPr fontId="1" type="noConversion"/>
  </si>
  <si>
    <t>MF,MP, RF,RP</t>
    <phoneticPr fontId="1" type="noConversion"/>
  </si>
  <si>
    <t>DSC_CURVE</t>
    <phoneticPr fontId="1" type="noConversion"/>
  </si>
  <si>
    <t>CSR_CURVE</t>
    <phoneticPr fontId="1" type="noConversion"/>
  </si>
  <si>
    <t>FRTB Configuration (FX,JTD,..)</t>
    <phoneticPr fontId="2" type="noConversion"/>
  </si>
  <si>
    <t>BDAY_RULE_DAYS</t>
    <phoneticPr fontId="1" type="noConversion"/>
  </si>
  <si>
    <t>BDAY_RULE_CALEN</t>
    <phoneticPr fontId="1" type="noConversion"/>
  </si>
  <si>
    <t>지급지연적용일수</t>
  </si>
  <si>
    <t>PMT_DLY_DAYS</t>
  </si>
  <si>
    <t>COUP_DAYC_BASIS</t>
    <phoneticPr fontId="1" type="noConversion"/>
  </si>
  <si>
    <t>MF</t>
    <phoneticPr fontId="1" type="noConversion"/>
  </si>
  <si>
    <t>extern "C" double EXPORT pricing(</t>
  </si>
  <si>
    <t xml:space="preserve">    // ===================================================================================================</t>
  </si>
  <si>
    <t xml:space="preserve">    const int evaluationDate                // INPUT 1. 평가일 (serial number)</t>
  </si>
  <si>
    <t xml:space="preserve">    , const int settlementDays              // INPUT 2. 결제일 offset</t>
  </si>
  <si>
    <t xml:space="preserve">    , const int issueDate                   // INPUT 3. 발행일 (serial number)</t>
  </si>
  <si>
    <t xml:space="preserve">    , const int maturityDate                // INPUT 4. 만기일 (serial number)</t>
  </si>
  <si>
    <t xml:space="preserve">    , const double notional                 // INPUT 5. 채권 원금</t>
  </si>
  <si>
    <t xml:space="preserve">    , const double couponRate               // INPUT 6. 쿠폰 이율</t>
  </si>
  <si>
    <t xml:space="preserve">    , const int couponDayCounter            // INPUT 7. DayCounter code (TODO)</t>
  </si>
  <si>
    <t xml:space="preserve">    , const int numberOfCoupons             // INPUT 8. 쿠폰 개수</t>
  </si>
  <si>
    <t xml:space="preserve">    , const int* paymentDates               // INPUT 9. 지급일 배열</t>
  </si>
  <si>
    <t xml:space="preserve">    , const int* realStartDates             // INPUT 10. 각 구간 시작일</t>
  </si>
  <si>
    <t xml:space="preserve">    , const int* realEndDates               // INPUT 11. 각 구간 종료일</t>
  </si>
  <si>
    <t xml:space="preserve">    , const int numberOfGirrTenors          // INPUT 12. GIRR 만기 수</t>
  </si>
  <si>
    <t xml:space="preserve">    , const int* girrTenorDays              // INPUT 13. GIRR 만기 (startDate로부터의 일수)</t>
  </si>
  <si>
    <t xml:space="preserve">    , const double* girrRates               // INPUT 14. GIRR 금리</t>
  </si>
  <si>
    <t xml:space="preserve">    , const int girrDayCounter              // INPUT 15. GIRR DayCountern (TODO)</t>
  </si>
  <si>
    <t xml:space="preserve">    , const int girrInterpolator            // INPUT 16. 보간법 (TODO)</t>
  </si>
  <si>
    <t xml:space="preserve">    , const int girrCompounding             // INPUT 17. 이자 계산 방식 (TODO)</t>
  </si>
  <si>
    <t xml:space="preserve">    , const int girrFrequency               // INPUT 18. 이자 빈도 (TODO)</t>
  </si>
  <si>
    <t xml:space="preserve">    , const double spreadOverYield          // INPUT 19. 채권의 종목 Credit Spread</t>
  </si>
  <si>
    <t xml:space="preserve">    , const int spreadOverYieldCompounding  // INPUT 20. 이자 계산 방식 (TODO)</t>
  </si>
  <si>
    <t xml:space="preserve">    , const int spreadOverYieldDayCounter   // INPUT 21. DCB (TODO)</t>
  </si>
  <si>
    <t xml:space="preserve">    , const int numberOfCsrTenors           // INPUT 22. CSR 만기 수</t>
  </si>
  <si>
    <t xml:space="preserve">    , const int* csrTenorDays               // INPUT 23. CSR 만기 (startDate로부터의 일수)</t>
  </si>
  <si>
    <t xml:space="preserve">    , const double* csrRates                // INPUT 24. CSR 스프레드 (금리 차이)</t>
  </si>
  <si>
    <t xml:space="preserve">    , const int calType</t>
  </si>
  <si>
    <t xml:space="preserve">            // INPUT 25. 계산 타입 (1: Price, 2. BASEL 2 Delta, 3. BASEL 3 GIRR / CSR)    </t>
  </si>
  <si>
    <t xml:space="preserve">    , const int logYn                       // INPUT 26. 로그 파일 생성 여부 (0: No, 1: Yes)</t>
  </si>
  <si>
    <t xml:space="preserve">                                            // OUTPUT 1. Net PV (리턴값)</t>
  </si>
  <si>
    <t>, double* resultGirrDelta               // OUTPUT 2. GIRR Delta [index 0: size, index 1 ~ size + 1: tenor, index size + 2 ~ 2 * size + 1: sensitivity]</t>
  </si>
  <si>
    <t xml:space="preserve">    , double* resultCsrDelta</t>
  </si>
  <si>
    <t xml:space="preserve">    // OUTPUT 3. CSR Delta [index 0: size, index 1 ~ size + 1: tenor, index size + 2 ~ 2 * size + 1: sensitivity]</t>
  </si>
  <si>
    <t>판단기중</t>
    <phoneticPr fontId="1" type="noConversion"/>
  </si>
  <si>
    <t>일자산출방식</t>
    <phoneticPr fontId="1" type="noConversion"/>
  </si>
  <si>
    <t>보간방식</t>
    <phoneticPr fontId="1" type="noConversion"/>
  </si>
  <si>
    <t>Linear</t>
    <phoneticPr fontId="1" type="noConversion"/>
  </si>
  <si>
    <t>금리산출방식</t>
    <phoneticPr fontId="1" type="noConversion"/>
  </si>
  <si>
    <t>CONT</t>
    <phoneticPr fontId="1" type="noConversion"/>
  </si>
  <si>
    <t>ANNU</t>
    <phoneticPr fontId="1" type="noConversion"/>
  </si>
  <si>
    <t>복리주기</t>
    <phoneticPr fontId="1" type="noConversion"/>
  </si>
  <si>
    <t>휴일조정방식</t>
    <phoneticPr fontId="1" type="noConversion"/>
  </si>
  <si>
    <t>휴일조정일수</t>
    <phoneticPr fontId="1" type="noConversion"/>
  </si>
  <si>
    <t>캘린더</t>
    <phoneticPr fontId="1" type="noConversion"/>
  </si>
  <si>
    <t>SpreadOverYield ( CONT ACT/365 )</t>
    <phoneticPr fontId="1" type="noConversion"/>
  </si>
  <si>
    <t>이자생성방식</t>
  </si>
  <si>
    <t>B</t>
    <phoneticPr fontId="1" type="noConversion"/>
  </si>
  <si>
    <t>CSR 위험가중치 (버킷별)</t>
    <phoneticPr fontId="1" type="noConversion"/>
  </si>
  <si>
    <t>이자생성장식</t>
    <phoneticPr fontId="1" type="noConversion"/>
  </si>
  <si>
    <t>BBAY_RULE</t>
    <phoneticPr fontId="1" type="noConversion"/>
  </si>
  <si>
    <t>지급지연적용일수</t>
    <phoneticPr fontId="1" type="noConversion"/>
  </si>
  <si>
    <t>PMT_DLY_DAYS</t>
    <phoneticPr fontId="1" type="noConversion"/>
  </si>
  <si>
    <t>SpreadOverYield( CONT ACT/365)</t>
    <phoneticPr fontId="1" type="noConversion"/>
  </si>
  <si>
    <t>GIRR_CONV</t>
    <phoneticPr fontId="1" type="noConversion"/>
  </si>
  <si>
    <t>1|2|1|1</t>
    <phoneticPr fontId="1" type="noConversion"/>
  </si>
  <si>
    <t>FRTB_CVR_CSR</t>
    <phoneticPr fontId="1" type="noConversion"/>
  </si>
  <si>
    <t>Attribute</t>
    <phoneticPr fontId="1" type="noConversion"/>
  </si>
  <si>
    <t>Enum</t>
    <phoneticPr fontId="1" type="noConversion"/>
  </si>
  <si>
    <t>20241231</t>
    <phoneticPr fontId="1" type="noConversion"/>
  </si>
  <si>
    <t>20201210</t>
    <phoneticPr fontId="1" type="noConversion"/>
  </si>
  <si>
    <t>20301210</t>
    <phoneticPr fontId="1" type="noConversion"/>
  </si>
  <si>
    <t>Pricing Option</t>
    <phoneticPr fontId="2" type="noConversion"/>
  </si>
  <si>
    <t>LGD For JTD</t>
    <phoneticPr fontId="1" type="noConversion"/>
  </si>
  <si>
    <t>GIRR 위험가중치 For CVR</t>
    <phoneticPr fontId="1" type="noConversion"/>
  </si>
  <si>
    <t xml:space="preserve">LGD  </t>
    <phoneticPr fontId="1" type="noConversion"/>
  </si>
  <si>
    <t>CSR 버킷</t>
    <phoneticPr fontId="1" type="noConversion"/>
  </si>
  <si>
    <t>02</t>
    <phoneticPr fontId="1" type="noConversion"/>
  </si>
  <si>
    <t>CSR_BUCKET</t>
    <phoneticPr fontId="1" type="noConversion"/>
  </si>
  <si>
    <t>Description</t>
    <phoneticPr fontId="1" type="noConversion"/>
  </si>
  <si>
    <t>DAYC_BASIS</t>
    <phoneticPr fontId="1" type="noConversion"/>
  </si>
  <si>
    <t>KRKRW-AAA-CSR</t>
    <phoneticPr fontId="1" type="noConversion"/>
  </si>
  <si>
    <t>KRKRW_KDB-CSR</t>
    <phoneticPr fontId="1" type="noConversion"/>
  </si>
  <si>
    <t>* Rate (금리 등) 정보 입수시 평가모듈에서 요구하는 단위로 입수요.   1.5%일 경우 1.5가 아닌 0.015 또는 1.5% 로 입수</t>
    <phoneticPr fontId="1" type="noConversion"/>
  </si>
  <si>
    <t>CSR/IRKRW-Treasury-CSR</t>
    <phoneticPr fontId="2" type="noConversion"/>
  </si>
  <si>
    <t>1</t>
    <phoneticPr fontId="1" type="noConversion"/>
  </si>
  <si>
    <t>TTTTT</t>
    <phoneticPr fontId="1" type="noConversion"/>
  </si>
  <si>
    <t xml:space="preserve">CALL XXX( CEL(1,1), </t>
    <phoneticPr fontId="1" type="noConversion"/>
  </si>
  <si>
    <t>FNCONVPTR(CEL(1,2))</t>
  </si>
  <si>
    <t xml:space="preserve">, </t>
    <phoneticPr fontId="1" type="noConversion"/>
  </si>
  <si>
    <t>,</t>
    <phoneticPr fontId="1" type="noConversion"/>
  </si>
  <si>
    <t>Actual365Fixed</t>
  </si>
  <si>
    <t>Actual360</t>
  </si>
  <si>
    <t>Actual364</t>
  </si>
  <si>
    <t>Actual36525</t>
  </si>
  <si>
    <t>Actual366</t>
  </si>
  <si>
    <t>ActualActual</t>
  </si>
  <si>
    <t>Business252</t>
  </si>
  <si>
    <t>one</t>
  </si>
  <si>
    <t>simpleDayCounter</t>
  </si>
  <si>
    <t>Thirty360::USA</t>
  </si>
  <si>
    <t>Thirty360::BondBasis</t>
  </si>
  <si>
    <t>Thirty360::European</t>
  </si>
  <si>
    <t>Thirty360::EurobondBasis</t>
  </si>
  <si>
    <t>Thirty360::Italian</t>
  </si>
  <si>
    <t>Thirty360::German</t>
  </si>
  <si>
    <t>Thirty360::ISMA</t>
  </si>
  <si>
    <t>Thirty360::ISDA</t>
  </si>
  <si>
    <t>Thirty360::NASD</t>
  </si>
  <si>
    <t>Thirty365</t>
    <phoneticPr fontId="2" type="noConversion"/>
  </si>
  <si>
    <t>INTP_TYPE</t>
    <phoneticPr fontId="1" type="noConversion"/>
  </si>
  <si>
    <t>Linear</t>
  </si>
  <si>
    <t>COMP_TYPE</t>
    <phoneticPr fontId="1" type="noConversion"/>
  </si>
  <si>
    <t>Continuous</t>
  </si>
  <si>
    <t>Simple</t>
  </si>
  <si>
    <t>Compounded</t>
  </si>
  <si>
    <t>SimpleThenCompounded</t>
  </si>
  <si>
    <t>CompoundedThenSimple</t>
  </si>
  <si>
    <t>COMP_TERM</t>
    <phoneticPr fontId="1" type="noConversion"/>
  </si>
  <si>
    <t>Annual</t>
  </si>
  <si>
    <t>Semiannual</t>
  </si>
  <si>
    <t>Quarterly</t>
  </si>
  <si>
    <t>Monthly</t>
  </si>
  <si>
    <t>Bimonthly</t>
  </si>
  <si>
    <t>Weekly</t>
  </si>
  <si>
    <t>Biweekly</t>
  </si>
  <si>
    <t>Daily</t>
  </si>
  <si>
    <t>NoFrequency</t>
  </si>
  <si>
    <t>Once</t>
  </si>
  <si>
    <t>EveryFourthMonth</t>
  </si>
  <si>
    <t>EveryFourthWeek</t>
  </si>
  <si>
    <t>BusinessDayConvention</t>
  </si>
  <si>
    <t>ModifiedFollowing</t>
  </si>
  <si>
    <t>Following</t>
  </si>
  <si>
    <t>Preceding</t>
  </si>
  <si>
    <t>ModifiedPreceding</t>
  </si>
  <si>
    <t>Unadjusted</t>
  </si>
  <si>
    <t>HalfMonthModifiedFollowing</t>
  </si>
  <si>
    <t>Nearest</t>
  </si>
  <si>
    <t>CCY</t>
    <phoneticPr fontId="1" type="noConversion"/>
  </si>
  <si>
    <t>Currency</t>
    <phoneticPr fontId="2" type="noConversion"/>
  </si>
  <si>
    <t>Bool</t>
    <phoneticPr fontId="2" type="noConversion"/>
  </si>
  <si>
    <t>VolatilityType</t>
  </si>
  <si>
    <t>ShiftedLognormal</t>
  </si>
  <si>
    <t>Normal</t>
  </si>
  <si>
    <t>RateAveragingType</t>
  </si>
  <si>
    <t>Compound</t>
  </si>
  <si>
    <t>SwapType</t>
  </si>
  <si>
    <t>PAY</t>
  </si>
  <si>
    <t>RCV</t>
  </si>
  <si>
    <t>OptionOwner</t>
  </si>
  <si>
    <t>Them</t>
  </si>
  <si>
    <t>Us</t>
  </si>
  <si>
    <t>Period</t>
  </si>
  <si>
    <t>D</t>
  </si>
  <si>
    <t>M</t>
  </si>
  <si>
    <t>CompoundingRule</t>
    <phoneticPr fontId="2" type="noConversion"/>
  </si>
  <si>
    <t>IMatIM</t>
  </si>
  <si>
    <t>IMatI</t>
  </si>
  <si>
    <t>IatIplusM</t>
  </si>
  <si>
    <t>IatIM</t>
  </si>
  <si>
    <t>IatIMplusM</t>
  </si>
  <si>
    <t>NoCompounding</t>
  </si>
  <si>
    <t>IM1atIM2</t>
  </si>
  <si>
    <t>OptionType</t>
    <phoneticPr fontId="2" type="noConversion"/>
  </si>
  <si>
    <t>StrikeType</t>
    <phoneticPr fontId="2" type="noConversion"/>
  </si>
  <si>
    <t>AverageType</t>
    <phoneticPr fontId="2" type="noConversion"/>
  </si>
  <si>
    <t>AccumulationDirection</t>
  </si>
  <si>
    <t>BarrierType</t>
    <phoneticPr fontId="2" type="noConversion"/>
  </si>
  <si>
    <t>StrikedTypePayoff</t>
  </si>
  <si>
    <t>Call</t>
    <phoneticPr fontId="2" type="noConversion"/>
  </si>
  <si>
    <t>Put</t>
    <phoneticPr fontId="2" type="noConversion"/>
  </si>
  <si>
    <t>FixedStrike</t>
    <phoneticPr fontId="2" type="noConversion"/>
  </si>
  <si>
    <t>FloatingStrike</t>
    <phoneticPr fontId="2" type="noConversion"/>
  </si>
  <si>
    <t>Arithmetic</t>
    <phoneticPr fontId="2" type="noConversion"/>
  </si>
  <si>
    <t>Geometric</t>
    <phoneticPr fontId="2" type="noConversion"/>
  </si>
  <si>
    <t>ProfitOnly</t>
    <phoneticPr fontId="2" type="noConversion"/>
  </si>
  <si>
    <t>LossOnly</t>
    <phoneticPr fontId="2" type="noConversion"/>
  </si>
  <si>
    <t>DownIn</t>
    <phoneticPr fontId="2" type="noConversion"/>
  </si>
  <si>
    <t>UpIn</t>
    <phoneticPr fontId="2" type="noConversion"/>
  </si>
  <si>
    <t>DownOut</t>
    <phoneticPr fontId="2" type="noConversion"/>
  </si>
  <si>
    <t>UpOut</t>
    <phoneticPr fontId="2" type="noConversion"/>
  </si>
  <si>
    <t>None</t>
    <phoneticPr fontId="2" type="noConversion"/>
  </si>
  <si>
    <t>PlainVanilla</t>
    <phoneticPr fontId="2" type="noConversion"/>
  </si>
  <si>
    <t>PercentageStrike</t>
    <phoneticPr fontId="2" type="noConversion"/>
  </si>
  <si>
    <t>AssetOrNothing</t>
    <phoneticPr fontId="2" type="noConversion"/>
  </si>
  <si>
    <t>CashOrNothing</t>
    <phoneticPr fontId="2" type="noConversion"/>
  </si>
  <si>
    <t>Gap</t>
    <phoneticPr fontId="2" type="noConversion"/>
  </si>
  <si>
    <t>SuperFund</t>
    <phoneticPr fontId="2" type="noConversion"/>
  </si>
  <si>
    <t>SuperShare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</si>
</sst>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0_ "/>
    <numFmt numFmtId="177" formatCode="0.0000_ "/>
    <numFmt numFmtId="178" formatCode="_-* #,##0.000000_-;\-* #,##0.000000_-;_-* &quot;-&quot;_-;_-@_-"/>
    <numFmt numFmtId="179" formatCode="0.000"/>
  </numFmts>
  <fonts count="18" x14ac:knownFonts="1">
    <font>
      <sz val="10"/>
      <color theme="1"/>
      <name val="나눔바른펜"/>
      <family val="2"/>
      <charset val="129"/>
    </font>
    <font>
      <sz val="8"/>
      <name val="나눔바른펜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나눔바른펜"/>
      <family val="3"/>
      <charset val="129"/>
    </font>
    <font>
      <b/>
      <sz val="9"/>
      <color theme="1"/>
      <name val="나눔바른펜"/>
      <family val="3"/>
      <charset val="129"/>
    </font>
    <font>
      <sz val="9"/>
      <name val="나눔바른펜"/>
      <family val="3"/>
      <charset val="129"/>
    </font>
    <font>
      <b/>
      <sz val="9"/>
      <name val="나눔바른펜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FFFF00"/>
      <name val="나눔바른펜"/>
      <family val="3"/>
      <charset val="129"/>
    </font>
    <font>
      <sz val="11"/>
      <color rgb="FFFFFF00"/>
      <name val="나눔바른펜"/>
      <family val="3"/>
      <charset val="129"/>
    </font>
    <font>
      <b/>
      <sz val="9"/>
      <color theme="0" tint="-4.9989318521683403E-2"/>
      <name val="나눔바른펜"/>
      <family val="3"/>
      <charset val="129"/>
    </font>
    <font>
      <sz val="9"/>
      <color theme="0" tint="-4.9989318521683403E-2"/>
      <name val="나눔바른펜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0" tint="-4.9989318521683403E-2"/>
      <name val="맑은 고딕"/>
      <family val="3"/>
      <charset val="129"/>
    </font>
    <font>
      <sz val="10"/>
      <color theme="1"/>
      <name val="나눔바른펜"/>
      <family val="2"/>
      <charset val="129"/>
    </font>
    <font>
      <sz val="9"/>
      <color theme="8" tint="0.39997558519241921"/>
      <name val="나눔바른펜"/>
      <family val="3"/>
      <charset val="129"/>
    </font>
    <font>
      <sz val="9"/>
      <color theme="5" tint="-0.249977111117893"/>
      <name val="나눔바른펜"/>
      <family val="3"/>
      <charset val="129"/>
    </font>
    <font>
      <b/>
      <sz val="10"/>
      <color theme="0"/>
      <name val="나눔바른펜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4">
    <xf numFmtId="0" fontId="0" fillId="0" borderId="0">
      <alignment vertical="center"/>
    </xf>
    <xf numFmtId="0" fontId="7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87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1" xfId="0" applyFont="1" applyFill="1" applyBorder="1">
      <alignment vertical="center"/>
    </xf>
    <xf numFmtId="0" fontId="9" fillId="6" borderId="0" xfId="0" applyFont="1" applyFill="1">
      <alignment vertical="center"/>
    </xf>
    <xf numFmtId="0" fontId="9" fillId="0" borderId="0" xfId="0" applyFont="1">
      <alignment vertical="center"/>
    </xf>
    <xf numFmtId="0" fontId="10" fillId="6" borderId="0" xfId="0" applyFont="1" applyFill="1">
      <alignment vertical="center"/>
    </xf>
    <xf numFmtId="0" fontId="10" fillId="6" borderId="0" xfId="0" applyFont="1" applyFill="1" applyAlignment="1">
      <alignment horizontal="center" vertical="center"/>
    </xf>
    <xf numFmtId="0" fontId="11" fillId="6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0" xfId="0" applyFont="1" applyFill="1">
      <alignment vertical="center"/>
    </xf>
    <xf numFmtId="0" fontId="3" fillId="7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7" borderId="0" xfId="0" applyFont="1" applyFill="1">
      <alignment vertical="center"/>
    </xf>
    <xf numFmtId="0" fontId="11" fillId="6" borderId="0" xfId="0" applyFont="1" applyFill="1" applyAlignment="1">
      <alignment horizontal="left" vertical="center"/>
    </xf>
    <xf numFmtId="0" fontId="3" fillId="3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14" fontId="3" fillId="0" borderId="1" xfId="0" quotePrefix="1" applyNumberFormat="1" applyFont="1" applyBorder="1" applyAlignment="1">
      <alignment horizontal="left" vertical="center"/>
    </xf>
    <xf numFmtId="0" fontId="3" fillId="5" borderId="1" xfId="0" applyFont="1" applyFill="1" applyBorder="1">
      <alignment vertical="center"/>
    </xf>
    <xf numFmtId="0" fontId="3" fillId="3" borderId="1" xfId="0" applyFont="1" applyFill="1" applyBorder="1" applyAlignment="1">
      <alignment horizontal="left" vertical="center"/>
    </xf>
    <xf numFmtId="49" fontId="3" fillId="0" borderId="1" xfId="0" quotePrefix="1" applyNumberFormat="1" applyFont="1" applyBorder="1" applyAlignment="1">
      <alignment horizontal="left" vertical="center"/>
    </xf>
    <xf numFmtId="176" fontId="3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3" fillId="7" borderId="6" xfId="0" applyFont="1" applyFill="1" applyBorder="1">
      <alignment vertical="center"/>
    </xf>
    <xf numFmtId="0" fontId="3" fillId="7" borderId="7" xfId="0" applyFont="1" applyFill="1" applyBorder="1">
      <alignment vertical="center"/>
    </xf>
    <xf numFmtId="0" fontId="4" fillId="7" borderId="5" xfId="0" applyFont="1" applyFill="1" applyBorder="1">
      <alignment vertical="center"/>
    </xf>
    <xf numFmtId="0" fontId="3" fillId="4" borderId="1" xfId="0" applyFont="1" applyFill="1" applyBorder="1">
      <alignment vertical="center"/>
    </xf>
    <xf numFmtId="14" fontId="3" fillId="0" borderId="1" xfId="0" applyNumberFormat="1" applyFont="1" applyBorder="1">
      <alignment vertical="center"/>
    </xf>
    <xf numFmtId="0" fontId="5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>
      <alignment vertical="center"/>
    </xf>
    <xf numFmtId="2" fontId="3" fillId="0" borderId="1" xfId="0" quotePrefix="1" applyNumberFormat="1" applyFont="1" applyBorder="1" applyAlignment="1">
      <alignment horizontal="left" vertical="center"/>
    </xf>
    <xf numFmtId="0" fontId="10" fillId="6" borderId="0" xfId="0" applyFont="1" applyFill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3" fillId="4" borderId="0" xfId="0" applyFont="1" applyFill="1">
      <alignment vertical="center"/>
    </xf>
    <xf numFmtId="0" fontId="3" fillId="4" borderId="1" xfId="0" applyFont="1" applyFill="1" applyBorder="1" applyAlignment="1">
      <alignment horizontal="center" vertical="center"/>
    </xf>
    <xf numFmtId="49" fontId="3" fillId="5" borderId="1" xfId="0" applyNumberFormat="1" applyFont="1" applyFill="1" applyBorder="1" applyAlignment="1">
      <alignment horizontal="left" vertical="center"/>
    </xf>
    <xf numFmtId="49" fontId="3" fillId="4" borderId="1" xfId="0" applyNumberFormat="1" applyFont="1" applyFill="1" applyBorder="1" applyAlignment="1">
      <alignment horizontal="left" vertical="center"/>
    </xf>
    <xf numFmtId="0" fontId="15" fillId="0" borderId="1" xfId="0" quotePrefix="1" applyFont="1" applyBorder="1" applyAlignment="1">
      <alignment horizontal="center" vertical="center"/>
    </xf>
    <xf numFmtId="0" fontId="15" fillId="0" borderId="1" xfId="0" applyFont="1" applyBorder="1">
      <alignment vertical="center"/>
    </xf>
    <xf numFmtId="0" fontId="15" fillId="0" borderId="1" xfId="0" quotePrefix="1" applyFont="1" applyBorder="1" applyAlignment="1">
      <alignment horizontal="left" vertical="center"/>
    </xf>
    <xf numFmtId="9" fontId="3" fillId="0" borderId="1" xfId="0" applyNumberFormat="1" applyFont="1" applyBorder="1">
      <alignment vertical="center"/>
    </xf>
    <xf numFmtId="9" fontId="3" fillId="0" borderId="1" xfId="0" applyNumberFormat="1" applyFont="1" applyBorder="1" applyAlignment="1">
      <alignment horizontal="left" vertical="center"/>
    </xf>
    <xf numFmtId="0" fontId="4" fillId="0" borderId="9" xfId="0" applyFont="1" applyBorder="1">
      <alignment vertical="center"/>
    </xf>
    <xf numFmtId="14" fontId="5" fillId="0" borderId="1" xfId="0" quotePrefix="1" applyNumberFormat="1" applyFont="1" applyBorder="1" applyAlignment="1">
      <alignment horizontal="left" vertical="center"/>
    </xf>
    <xf numFmtId="41" fontId="5" fillId="0" borderId="1" xfId="2" quotePrefix="1" applyFont="1" applyBorder="1" applyAlignment="1">
      <alignment horizontal="left" vertical="center"/>
    </xf>
    <xf numFmtId="10" fontId="5" fillId="0" borderId="1" xfId="3" quotePrefix="1" applyNumberFormat="1" applyFont="1" applyBorder="1" applyAlignment="1">
      <alignment horizontal="right" vertical="center"/>
    </xf>
    <xf numFmtId="0" fontId="5" fillId="0" borderId="1" xfId="0" quotePrefix="1" applyFont="1" applyBorder="1" applyAlignment="1">
      <alignment horizontal="left" vertical="center"/>
    </xf>
    <xf numFmtId="2" fontId="5" fillId="0" borderId="1" xfId="0" quotePrefix="1" applyNumberFormat="1" applyFont="1" applyBorder="1" applyAlignment="1">
      <alignment horizontal="left" vertical="center"/>
    </xf>
    <xf numFmtId="0" fontId="6" fillId="0" borderId="1" xfId="0" applyFont="1" applyBorder="1">
      <alignment vertical="center"/>
    </xf>
    <xf numFmtId="3" fontId="6" fillId="0" borderId="1" xfId="0" quotePrefix="1" applyNumberFormat="1" applyFont="1" applyBorder="1" applyAlignment="1">
      <alignment horizontal="left" vertical="center"/>
    </xf>
    <xf numFmtId="178" fontId="5" fillId="0" borderId="1" xfId="2" quotePrefix="1" applyNumberFormat="1" applyFont="1" applyBorder="1" applyAlignment="1">
      <alignment horizontal="left" vertical="center"/>
    </xf>
    <xf numFmtId="0" fontId="6" fillId="0" borderId="1" xfId="0" quotePrefix="1" applyFont="1" applyBorder="1" applyAlignment="1">
      <alignment horizontal="left" vertical="center"/>
    </xf>
    <xf numFmtId="179" fontId="15" fillId="0" borderId="1" xfId="0" quotePrefix="1" applyNumberFormat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Border="1">
      <alignment vertical="center"/>
    </xf>
    <xf numFmtId="49" fontId="16" fillId="0" borderId="1" xfId="0" quotePrefix="1" applyNumberFormat="1" applyFont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>
      <alignment vertical="center"/>
    </xf>
    <xf numFmtId="9" fontId="5" fillId="0" borderId="1" xfId="0" applyNumberFormat="1" applyFont="1" applyBorder="1" applyAlignment="1">
      <alignment horizontal="left" vertical="center"/>
    </xf>
    <xf numFmtId="179" fontId="5" fillId="0" borderId="1" xfId="0" quotePrefix="1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7" fillId="6" borderId="0" xfId="0" applyFont="1" applyFill="1">
      <alignment vertical="center"/>
    </xf>
    <xf numFmtId="0" fontId="17" fillId="6" borderId="0" xfId="0" applyFont="1" applyFill="1" applyAlignment="1">
      <alignment horizontal="left" vertical="center"/>
    </xf>
    <xf numFmtId="0" fontId="4" fillId="7" borderId="5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left" vertical="center"/>
    </xf>
    <xf numFmtId="0" fontId="4" fillId="7" borderId="8" xfId="0" applyFont="1" applyFill="1" applyBorder="1">
      <alignment vertical="center"/>
    </xf>
    <xf numFmtId="0" fontId="4" fillId="7" borderId="6" xfId="0" applyFont="1" applyFill="1" applyBorder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0" fontId="4" fillId="7" borderId="6" xfId="0" applyFont="1" applyFill="1" applyBorder="1" applyAlignment="1">
      <alignment horizontal="center" vertical="center"/>
    </xf>
  </cellXfs>
  <cellStyles count="4">
    <cellStyle name="백분율" xfId="3" builtinId="5"/>
    <cellStyle name="쉼표 [0]" xfId="2" builtinId="6"/>
    <cellStyle name="표준" xfId="0" builtinId="0"/>
    <cellStyle name="표준 2" xfId="1" xr:uid="{BAE2891E-E58E-4F54-9F8D-9ACED42215CE}"/>
  </cellStyles>
  <dxfs count="45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3</xdr:row>
          <xdr:rowOff>9525</xdr:rowOff>
        </xdr:from>
        <xdr:to>
          <xdr:col>5</xdr:col>
          <xdr:colOff>1400175</xdr:colOff>
          <xdr:row>3</xdr:row>
          <xdr:rowOff>152400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6142-7F45-4E63-9B1B-0CF91072515A}">
  <sheetPr codeName="Sheet12"/>
  <dimension ref="B1:AD75"/>
  <sheetViews>
    <sheetView workbookViewId="0">
      <selection activeCell="J26" sqref="J26"/>
    </sheetView>
  </sheetViews>
  <sheetFormatPr defaultColWidth="8.6640625" defaultRowHeight="12.75" x14ac:dyDescent="0.25"/>
  <cols>
    <col min="1" max="1" width="3.1640625" style="1" customWidth="1"/>
    <col min="2" max="2" width="2.5" style="1" customWidth="1"/>
    <col min="3" max="3" width="5.5" style="2" customWidth="1"/>
    <col min="4" max="4" width="32.1640625" style="1" customWidth="1"/>
    <col min="5" max="5" width="25.6640625" style="1" customWidth="1"/>
    <col min="6" max="6" width="25.6640625" style="4" customWidth="1"/>
    <col min="7" max="7" width="4.5" style="1" customWidth="1"/>
    <col min="8" max="9" width="4.6640625" style="1" customWidth="1"/>
    <col min="10" max="30" width="10" style="1" customWidth="1"/>
    <col min="31" max="16384" width="8.6640625" style="1"/>
  </cols>
  <sheetData>
    <row r="1" spans="2:20" x14ac:dyDescent="0.25">
      <c r="H1" s="1" t="s">
        <v>233</v>
      </c>
    </row>
    <row r="2" spans="2:20" s="8" customFormat="1" ht="15.75" x14ac:dyDescent="0.25">
      <c r="B2" s="82" t="s">
        <v>57</v>
      </c>
      <c r="C2" s="82"/>
      <c r="D2" s="82"/>
      <c r="E2" s="82"/>
      <c r="F2" s="82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4" spans="2:20" x14ac:dyDescent="0.25">
      <c r="B4" s="9" t="s">
        <v>5</v>
      </c>
      <c r="C4" s="10"/>
      <c r="D4" s="11"/>
      <c r="E4" s="11"/>
      <c r="F4" s="26"/>
      <c r="H4" s="9" t="s">
        <v>6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2:20" s="3" customFormat="1" x14ac:dyDescent="0.25">
      <c r="C5" s="83" t="s">
        <v>101</v>
      </c>
      <c r="D5" s="83"/>
      <c r="E5" s="83"/>
      <c r="F5" s="83"/>
      <c r="J5" s="80" t="s">
        <v>7</v>
      </c>
      <c r="K5" s="81"/>
      <c r="M5" s="80" t="s">
        <v>138</v>
      </c>
      <c r="N5" s="81"/>
      <c r="P5" s="3" t="s">
        <v>231</v>
      </c>
    </row>
    <row r="6" spans="2:20" s="12" customFormat="1" x14ac:dyDescent="0.25">
      <c r="C6" s="13" t="s">
        <v>3</v>
      </c>
      <c r="D6" s="14" t="s">
        <v>9</v>
      </c>
      <c r="E6" s="14" t="s">
        <v>127</v>
      </c>
      <c r="F6" s="14" t="s">
        <v>2</v>
      </c>
      <c r="G6" s="12" t="s">
        <v>10</v>
      </c>
      <c r="I6" s="3"/>
      <c r="J6" s="5" t="s">
        <v>195</v>
      </c>
      <c r="K6" s="5" t="s">
        <v>144</v>
      </c>
      <c r="L6" s="66"/>
      <c r="M6" s="20"/>
      <c r="N6" s="20"/>
      <c r="P6" s="66" t="s">
        <v>232</v>
      </c>
    </row>
    <row r="7" spans="2:20" x14ac:dyDescent="0.25">
      <c r="C7" s="16">
        <v>1</v>
      </c>
      <c r="D7" s="40" t="s">
        <v>58</v>
      </c>
      <c r="E7" s="40" t="s">
        <v>139</v>
      </c>
      <c r="F7" s="56" t="s">
        <v>219</v>
      </c>
      <c r="G7" s="1" t="s">
        <v>10</v>
      </c>
      <c r="J7" s="5" t="s">
        <v>196</v>
      </c>
      <c r="K7" s="5" t="s">
        <v>197</v>
      </c>
      <c r="L7" s="4"/>
      <c r="M7" s="17"/>
      <c r="N7" s="17"/>
      <c r="P7" s="2"/>
      <c r="Q7" s="2"/>
    </row>
    <row r="8" spans="2:20" x14ac:dyDescent="0.25">
      <c r="C8" s="16">
        <v>2</v>
      </c>
      <c r="D8" s="40" t="s">
        <v>32</v>
      </c>
      <c r="E8" s="40" t="s">
        <v>38</v>
      </c>
      <c r="F8" s="56" t="s">
        <v>220</v>
      </c>
      <c r="G8" s="1" t="s">
        <v>10</v>
      </c>
      <c r="J8" s="5" t="s">
        <v>198</v>
      </c>
      <c r="K8" s="5" t="s">
        <v>199</v>
      </c>
      <c r="L8" s="4"/>
      <c r="M8" s="17"/>
      <c r="N8" s="17"/>
      <c r="P8" s="2"/>
      <c r="Q8" s="2"/>
    </row>
    <row r="9" spans="2:20" x14ac:dyDescent="0.25">
      <c r="C9" s="16">
        <v>3</v>
      </c>
      <c r="D9" s="40" t="s">
        <v>30</v>
      </c>
      <c r="E9" s="40" t="s">
        <v>0</v>
      </c>
      <c r="F9" s="56" t="s">
        <v>221</v>
      </c>
      <c r="G9" s="1" t="s">
        <v>10</v>
      </c>
      <c r="J9" s="5" t="s">
        <v>201</v>
      </c>
      <c r="K9" s="5" t="s">
        <v>200</v>
      </c>
      <c r="L9" s="4"/>
      <c r="M9" s="17"/>
      <c r="N9" s="17"/>
      <c r="P9" s="2"/>
      <c r="Q9" s="2"/>
    </row>
    <row r="10" spans="2:20" x14ac:dyDescent="0.25">
      <c r="B10" s="3"/>
      <c r="C10" s="16">
        <v>4</v>
      </c>
      <c r="D10" s="40" t="s">
        <v>33</v>
      </c>
      <c r="E10" s="40" t="s">
        <v>77</v>
      </c>
      <c r="F10" s="57">
        <v>6000000000</v>
      </c>
      <c r="G10" s="1" t="s">
        <v>10</v>
      </c>
      <c r="J10" s="17"/>
      <c r="K10" s="17"/>
      <c r="P10" s="2"/>
      <c r="Q10" s="2"/>
    </row>
    <row r="11" spans="2:20" x14ac:dyDescent="0.25">
      <c r="C11" s="16">
        <v>5</v>
      </c>
      <c r="D11" s="40" t="s">
        <v>65</v>
      </c>
      <c r="E11" s="40" t="s">
        <v>40</v>
      </c>
      <c r="F11" s="58">
        <v>1.4999999999999999E-2</v>
      </c>
      <c r="G11" s="1" t="s">
        <v>10</v>
      </c>
      <c r="H11" s="15" t="s">
        <v>11</v>
      </c>
      <c r="I11" s="12"/>
      <c r="J11" s="13" t="s">
        <v>12</v>
      </c>
      <c r="K11" s="13" t="s">
        <v>13</v>
      </c>
      <c r="M11" s="13" t="s">
        <v>12</v>
      </c>
      <c r="N11" s="13" t="s">
        <v>13</v>
      </c>
      <c r="P11" s="2"/>
      <c r="Q11" s="2"/>
    </row>
    <row r="12" spans="2:20" x14ac:dyDescent="0.25">
      <c r="C12" s="16">
        <v>6</v>
      </c>
      <c r="D12" s="40" t="s">
        <v>121</v>
      </c>
      <c r="E12" s="40" t="s">
        <v>159</v>
      </c>
      <c r="F12" s="59" t="s">
        <v>143</v>
      </c>
      <c r="G12" s="1" t="s">
        <v>10</v>
      </c>
      <c r="H12" s="18">
        <v>1</v>
      </c>
      <c r="I12" s="2"/>
      <c r="J12" s="33">
        <v>90</v>
      </c>
      <c r="K12" s="34">
        <v>3.3700000000000001E-2</v>
      </c>
      <c r="M12" s="33">
        <v>180</v>
      </c>
      <c r="N12" s="34">
        <v>0</v>
      </c>
    </row>
    <row r="13" spans="2:20" x14ac:dyDescent="0.25">
      <c r="C13" s="16">
        <v>7</v>
      </c>
      <c r="D13" s="60" t="s">
        <v>60</v>
      </c>
      <c r="E13" s="60" t="s">
        <v>140</v>
      </c>
      <c r="F13" s="59" t="s">
        <v>141</v>
      </c>
      <c r="G13" s="1" t="s">
        <v>10</v>
      </c>
      <c r="H13" s="18">
        <v>2</v>
      </c>
      <c r="I13" s="2"/>
      <c r="J13" s="33">
        <v>180</v>
      </c>
      <c r="K13" s="34">
        <v>3.1699999999999999E-2</v>
      </c>
      <c r="M13" s="33">
        <v>360</v>
      </c>
      <c r="N13" s="34">
        <v>0</v>
      </c>
    </row>
    <row r="14" spans="2:20" x14ac:dyDescent="0.25">
      <c r="C14" s="16">
        <v>8</v>
      </c>
      <c r="D14" s="40" t="s">
        <v>206</v>
      </c>
      <c r="E14" s="60" t="s">
        <v>148</v>
      </c>
      <c r="F14" s="59" t="s">
        <v>207</v>
      </c>
      <c r="G14" s="1" t="s">
        <v>10</v>
      </c>
      <c r="H14" s="18">
        <v>3</v>
      </c>
      <c r="I14" s="2"/>
      <c r="J14" s="33">
        <v>360</v>
      </c>
      <c r="K14" s="34">
        <v>2.8500000000000001E-2</v>
      </c>
      <c r="M14" s="33">
        <v>1080</v>
      </c>
      <c r="N14" s="34">
        <v>0</v>
      </c>
    </row>
    <row r="15" spans="2:20" x14ac:dyDescent="0.25">
      <c r="C15" s="16">
        <v>9</v>
      </c>
      <c r="D15" s="40" t="s">
        <v>202</v>
      </c>
      <c r="E15" s="60" t="s">
        <v>150</v>
      </c>
      <c r="F15" s="59" t="s">
        <v>160</v>
      </c>
      <c r="G15" s="1" t="s">
        <v>10</v>
      </c>
      <c r="H15" s="18">
        <v>4</v>
      </c>
      <c r="I15" s="2"/>
      <c r="J15" s="33">
        <v>720</v>
      </c>
      <c r="K15" s="34">
        <v>2.7199999999999998E-2</v>
      </c>
      <c r="M15" s="33">
        <v>1800</v>
      </c>
      <c r="N15" s="34">
        <v>5.0000000000000001E-4</v>
      </c>
    </row>
    <row r="16" spans="2:20" x14ac:dyDescent="0.25">
      <c r="C16" s="16">
        <v>10</v>
      </c>
      <c r="D16" s="40" t="s">
        <v>203</v>
      </c>
      <c r="E16" s="40" t="s">
        <v>155</v>
      </c>
      <c r="F16" s="59">
        <v>0</v>
      </c>
      <c r="G16" s="1" t="s">
        <v>10</v>
      </c>
      <c r="H16" s="18">
        <v>5</v>
      </c>
      <c r="I16" s="2"/>
      <c r="J16" s="33">
        <v>1080</v>
      </c>
      <c r="K16" s="34">
        <v>2.69E-2</v>
      </c>
      <c r="M16" s="33">
        <v>3600</v>
      </c>
      <c r="N16" s="34">
        <v>1E-3</v>
      </c>
    </row>
    <row r="17" spans="2:30" x14ac:dyDescent="0.25">
      <c r="B17" s="3"/>
      <c r="C17" s="16">
        <v>11</v>
      </c>
      <c r="D17" s="40" t="s">
        <v>204</v>
      </c>
      <c r="E17" s="40" t="s">
        <v>156</v>
      </c>
      <c r="F17" s="60" t="s">
        <v>142</v>
      </c>
      <c r="G17" s="1" t="s">
        <v>10</v>
      </c>
      <c r="H17" s="18">
        <v>6</v>
      </c>
      <c r="I17" s="2"/>
      <c r="J17" s="33">
        <v>1800</v>
      </c>
      <c r="K17" s="34">
        <v>2.7099999999999999E-2</v>
      </c>
    </row>
    <row r="18" spans="2:30" x14ac:dyDescent="0.25">
      <c r="C18" s="16">
        <v>12</v>
      </c>
      <c r="D18" s="40" t="s">
        <v>157</v>
      </c>
      <c r="E18" s="40" t="s">
        <v>158</v>
      </c>
      <c r="F18" s="59">
        <v>0</v>
      </c>
      <c r="G18" s="1" t="s">
        <v>10</v>
      </c>
      <c r="H18" s="18">
        <v>7</v>
      </c>
      <c r="I18" s="2"/>
      <c r="J18" s="33">
        <v>3600</v>
      </c>
      <c r="K18" s="34">
        <v>2.7799999999999998E-2</v>
      </c>
    </row>
    <row r="19" spans="2:30" x14ac:dyDescent="0.25">
      <c r="C19" s="16">
        <v>13</v>
      </c>
      <c r="D19" s="40" t="s">
        <v>99</v>
      </c>
      <c r="E19" s="40" t="s">
        <v>100</v>
      </c>
      <c r="F19" s="64" t="s">
        <v>103</v>
      </c>
      <c r="G19" s="1" t="s">
        <v>10</v>
      </c>
      <c r="H19" s="18">
        <v>8</v>
      </c>
      <c r="I19" s="2"/>
      <c r="J19" s="33">
        <v>5400</v>
      </c>
      <c r="K19" s="34">
        <v>2.7199999999999998E-2</v>
      </c>
    </row>
    <row r="20" spans="2:30" x14ac:dyDescent="0.25">
      <c r="B20" s="3"/>
      <c r="C20" s="16">
        <v>14</v>
      </c>
      <c r="D20" s="61" t="s">
        <v>97</v>
      </c>
      <c r="E20" s="61" t="s">
        <v>152</v>
      </c>
      <c r="F20" s="64" t="s">
        <v>102</v>
      </c>
      <c r="G20" s="1" t="s">
        <v>10</v>
      </c>
      <c r="H20" s="18">
        <v>9</v>
      </c>
      <c r="I20" s="2"/>
      <c r="J20" s="33">
        <v>7200</v>
      </c>
      <c r="K20" s="34">
        <v>2.5399999999999999E-2</v>
      </c>
    </row>
    <row r="21" spans="2:30" x14ac:dyDescent="0.25">
      <c r="C21" s="16">
        <v>15</v>
      </c>
      <c r="D21" s="61" t="s">
        <v>98</v>
      </c>
      <c r="E21" s="61" t="s">
        <v>153</v>
      </c>
      <c r="F21" s="62" t="s">
        <v>138</v>
      </c>
      <c r="G21" s="1" t="s">
        <v>10</v>
      </c>
      <c r="H21" s="21">
        <v>10</v>
      </c>
      <c r="I21" s="2"/>
      <c r="J21" s="33">
        <v>10800</v>
      </c>
      <c r="K21" s="34">
        <v>2.2200000000000001E-2</v>
      </c>
    </row>
    <row r="22" spans="2:30" x14ac:dyDescent="0.25">
      <c r="C22" s="16">
        <v>16</v>
      </c>
      <c r="D22" s="40" t="s">
        <v>205</v>
      </c>
      <c r="E22" s="40" t="s">
        <v>117</v>
      </c>
      <c r="F22" s="63">
        <v>1.389E-2</v>
      </c>
      <c r="G22" s="1" t="s">
        <v>10</v>
      </c>
    </row>
    <row r="23" spans="2:30" x14ac:dyDescent="0.25">
      <c r="C23" s="16">
        <v>17</v>
      </c>
      <c r="D23" s="40" t="s">
        <v>41</v>
      </c>
      <c r="E23" s="40" t="s">
        <v>85</v>
      </c>
      <c r="F23" s="57">
        <v>5536303734.6883898</v>
      </c>
      <c r="G23" s="1" t="s">
        <v>10</v>
      </c>
    </row>
    <row r="24" spans="2:30" x14ac:dyDescent="0.25">
      <c r="C24" s="16">
        <v>18</v>
      </c>
      <c r="D24" s="17" t="s">
        <v>145</v>
      </c>
      <c r="E24" s="17" t="s">
        <v>119</v>
      </c>
      <c r="F24" s="17" t="s">
        <v>56</v>
      </c>
      <c r="G24" s="1" t="s">
        <v>10</v>
      </c>
    </row>
    <row r="25" spans="2:30" x14ac:dyDescent="0.25">
      <c r="C25" s="16">
        <v>19</v>
      </c>
      <c r="D25" s="17" t="s">
        <v>223</v>
      </c>
      <c r="E25" s="53" t="s">
        <v>225</v>
      </c>
      <c r="F25" s="54">
        <v>0.75</v>
      </c>
      <c r="G25" s="1" t="s">
        <v>10</v>
      </c>
      <c r="H25" s="9" t="s">
        <v>14</v>
      </c>
      <c r="I25" s="9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</row>
    <row r="26" spans="2:30" x14ac:dyDescent="0.25">
      <c r="C26" s="16">
        <v>20</v>
      </c>
      <c r="D26" s="51" t="s">
        <v>226</v>
      </c>
      <c r="E26" s="51" t="s">
        <v>228</v>
      </c>
      <c r="F26" s="52" t="s">
        <v>227</v>
      </c>
      <c r="J26" s="37" t="s">
        <v>88</v>
      </c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6"/>
    </row>
    <row r="27" spans="2:30" x14ac:dyDescent="0.25">
      <c r="C27" s="1"/>
      <c r="E27" s="1" t="s">
        <v>148</v>
      </c>
      <c r="F27" s="1" t="s">
        <v>149</v>
      </c>
      <c r="G27" s="1" t="s">
        <v>10</v>
      </c>
      <c r="H27" s="15" t="s">
        <v>11</v>
      </c>
      <c r="J27" s="24" t="s">
        <v>11</v>
      </c>
      <c r="K27" s="6">
        <v>1</v>
      </c>
      <c r="L27" s="6">
        <v>2</v>
      </c>
      <c r="M27" s="6">
        <v>3</v>
      </c>
      <c r="N27" s="6">
        <v>4</v>
      </c>
      <c r="O27" s="6">
        <v>5</v>
      </c>
      <c r="P27" s="6">
        <v>6</v>
      </c>
      <c r="Q27" s="6">
        <v>7</v>
      </c>
      <c r="R27" s="6">
        <v>8</v>
      </c>
      <c r="S27" s="38">
        <v>9</v>
      </c>
      <c r="T27" s="38">
        <v>10</v>
      </c>
      <c r="U27" s="38">
        <v>11</v>
      </c>
      <c r="V27" s="38">
        <v>12</v>
      </c>
      <c r="W27" s="38">
        <v>13</v>
      </c>
      <c r="X27" s="38">
        <v>14</v>
      </c>
      <c r="Y27" s="38">
        <v>15</v>
      </c>
      <c r="Z27" s="38">
        <v>16</v>
      </c>
      <c r="AA27" s="38">
        <v>17</v>
      </c>
      <c r="AB27" s="38">
        <v>18</v>
      </c>
      <c r="AC27" s="38">
        <v>19</v>
      </c>
      <c r="AD27" s="38">
        <v>20</v>
      </c>
    </row>
    <row r="28" spans="2:30" x14ac:dyDescent="0.25">
      <c r="C28" s="1"/>
      <c r="E28" s="1" t="s">
        <v>150</v>
      </c>
      <c r="F28" s="1" t="s">
        <v>151</v>
      </c>
      <c r="G28" s="1" t="s">
        <v>10</v>
      </c>
      <c r="H28" s="18">
        <v>1</v>
      </c>
      <c r="J28" s="24" t="s">
        <v>89</v>
      </c>
      <c r="K28" s="29">
        <v>45818</v>
      </c>
      <c r="L28" s="39">
        <v>46001</v>
      </c>
      <c r="M28" s="39">
        <v>46183</v>
      </c>
      <c r="N28" s="39">
        <v>46366</v>
      </c>
      <c r="O28" s="39">
        <v>46548</v>
      </c>
      <c r="P28" s="39">
        <v>46731</v>
      </c>
      <c r="Q28" s="39">
        <v>46916</v>
      </c>
      <c r="R28" s="39">
        <v>47098</v>
      </c>
      <c r="S28" s="39">
        <v>47280</v>
      </c>
      <c r="T28" s="39">
        <v>47462</v>
      </c>
      <c r="U28" s="39">
        <v>47644</v>
      </c>
      <c r="V28" s="39">
        <v>47827</v>
      </c>
      <c r="W28" s="33"/>
      <c r="X28" s="33"/>
      <c r="Y28" s="33"/>
      <c r="Z28" s="33"/>
      <c r="AA28" s="33"/>
      <c r="AB28" s="33"/>
      <c r="AC28" s="33"/>
      <c r="AD28" s="33"/>
    </row>
    <row r="29" spans="2:30" x14ac:dyDescent="0.25">
      <c r="E29" s="1" t="s">
        <v>155</v>
      </c>
      <c r="F29" s="1"/>
      <c r="G29" s="1" t="s">
        <v>10</v>
      </c>
      <c r="H29" s="18">
        <v>2</v>
      </c>
      <c r="J29" s="24" t="s">
        <v>90</v>
      </c>
      <c r="K29" s="29">
        <v>45636</v>
      </c>
      <c r="L29" s="39">
        <v>45818</v>
      </c>
      <c r="M29" s="39">
        <v>46001</v>
      </c>
      <c r="N29" s="39">
        <v>46183</v>
      </c>
      <c r="O29" s="39">
        <v>46366</v>
      </c>
      <c r="P29" s="39">
        <v>46548</v>
      </c>
      <c r="Q29" s="39">
        <v>46731</v>
      </c>
      <c r="R29" s="39">
        <v>46916</v>
      </c>
      <c r="S29" s="39">
        <v>47098</v>
      </c>
      <c r="T29" s="39">
        <v>47280</v>
      </c>
      <c r="U29" s="39">
        <v>47462</v>
      </c>
      <c r="V29" s="39">
        <v>47644</v>
      </c>
      <c r="W29" s="33"/>
      <c r="X29" s="33"/>
      <c r="Y29" s="33"/>
      <c r="Z29" s="33"/>
      <c r="AA29" s="33"/>
      <c r="AB29" s="33"/>
      <c r="AC29" s="33"/>
      <c r="AD29" s="33"/>
    </row>
    <row r="30" spans="2:30" x14ac:dyDescent="0.25">
      <c r="E30" s="1" t="s">
        <v>156</v>
      </c>
      <c r="F30" s="1"/>
      <c r="H30" s="21">
        <v>3</v>
      </c>
      <c r="J30" s="24" t="s">
        <v>91</v>
      </c>
      <c r="K30" s="29">
        <v>45818</v>
      </c>
      <c r="L30" s="39">
        <v>46001</v>
      </c>
      <c r="M30" s="39">
        <v>46183</v>
      </c>
      <c r="N30" s="39">
        <v>46366</v>
      </c>
      <c r="O30" s="39">
        <v>46548</v>
      </c>
      <c r="P30" s="39">
        <v>46731</v>
      </c>
      <c r="Q30" s="39">
        <v>46916</v>
      </c>
      <c r="R30" s="39">
        <v>47098</v>
      </c>
      <c r="S30" s="39">
        <v>47280</v>
      </c>
      <c r="T30" s="39">
        <v>47462</v>
      </c>
      <c r="U30" s="39">
        <v>47644</v>
      </c>
      <c r="V30" s="39">
        <v>47827</v>
      </c>
      <c r="W30" s="33"/>
      <c r="X30" s="33"/>
      <c r="Y30" s="33"/>
      <c r="Z30" s="33"/>
      <c r="AA30" s="33"/>
      <c r="AB30" s="33"/>
      <c r="AC30" s="33"/>
      <c r="AD30" s="33"/>
    </row>
    <row r="31" spans="2:30" x14ac:dyDescent="0.25">
      <c r="C31" s="1"/>
      <c r="D31" s="55" t="s">
        <v>157</v>
      </c>
      <c r="E31" s="55" t="s">
        <v>158</v>
      </c>
      <c r="F31" s="1"/>
    </row>
    <row r="32" spans="2:30" x14ac:dyDescent="0.25">
      <c r="C32" s="1"/>
      <c r="F32" s="1"/>
    </row>
    <row r="33" spans="3:6" x14ac:dyDescent="0.25">
      <c r="C33" s="1"/>
      <c r="F33" s="1"/>
    </row>
    <row r="34" spans="3:6" x14ac:dyDescent="0.25">
      <c r="C34" s="1"/>
      <c r="F34" s="1"/>
    </row>
    <row r="35" spans="3:6" x14ac:dyDescent="0.25">
      <c r="C35" s="1"/>
      <c r="F35" s="1"/>
    </row>
    <row r="36" spans="3:6" x14ac:dyDescent="0.25">
      <c r="C36" s="1"/>
      <c r="F36" s="1"/>
    </row>
    <row r="37" spans="3:6" x14ac:dyDescent="0.25">
      <c r="C37" s="1"/>
      <c r="F37" s="1"/>
    </row>
    <row r="38" spans="3:6" x14ac:dyDescent="0.25">
      <c r="C38" s="1"/>
      <c r="F38" s="1"/>
    </row>
    <row r="39" spans="3:6" x14ac:dyDescent="0.25">
      <c r="C39" s="1"/>
      <c r="F39" s="1"/>
    </row>
    <row r="40" spans="3:6" x14ac:dyDescent="0.25">
      <c r="C40" s="1"/>
      <c r="F40" s="1"/>
    </row>
    <row r="41" spans="3:6" x14ac:dyDescent="0.25">
      <c r="C41" s="1"/>
      <c r="F41" s="1"/>
    </row>
    <row r="42" spans="3:6" x14ac:dyDescent="0.25">
      <c r="C42" s="1"/>
    </row>
    <row r="43" spans="3:6" x14ac:dyDescent="0.25">
      <c r="C43" s="1"/>
      <c r="F43" s="1"/>
    </row>
    <row r="44" spans="3:6" x14ac:dyDescent="0.25">
      <c r="C44" s="1"/>
      <c r="F44" s="1"/>
    </row>
    <row r="45" spans="3:6" x14ac:dyDescent="0.25">
      <c r="C45" s="1"/>
      <c r="F45" s="1"/>
    </row>
    <row r="46" spans="3:6" x14ac:dyDescent="0.25">
      <c r="C46" s="1"/>
      <c r="F46" s="1"/>
    </row>
    <row r="47" spans="3:6" x14ac:dyDescent="0.25">
      <c r="C47" s="1"/>
      <c r="F47" s="1"/>
    </row>
    <row r="48" spans="3:6" x14ac:dyDescent="0.25">
      <c r="C48" s="1"/>
      <c r="F48" s="1"/>
    </row>
    <row r="49" spans="3:6" x14ac:dyDescent="0.25">
      <c r="C49" s="1"/>
      <c r="F49" s="1"/>
    </row>
    <row r="50" spans="3:6" x14ac:dyDescent="0.25">
      <c r="C50" s="1"/>
      <c r="F50" s="1"/>
    </row>
    <row r="51" spans="3:6" x14ac:dyDescent="0.25">
      <c r="C51" s="1"/>
      <c r="F51" s="1"/>
    </row>
    <row r="52" spans="3:6" x14ac:dyDescent="0.25">
      <c r="C52" s="1"/>
      <c r="F52" s="1"/>
    </row>
    <row r="53" spans="3:6" x14ac:dyDescent="0.25">
      <c r="C53" s="1"/>
      <c r="F53" s="1"/>
    </row>
    <row r="54" spans="3:6" x14ac:dyDescent="0.25">
      <c r="C54" s="1"/>
      <c r="F54" s="1"/>
    </row>
    <row r="55" spans="3:6" x14ac:dyDescent="0.25">
      <c r="C55" s="1"/>
      <c r="F55" s="1"/>
    </row>
    <row r="56" spans="3:6" x14ac:dyDescent="0.25">
      <c r="C56" s="1"/>
      <c r="F56" s="1"/>
    </row>
    <row r="57" spans="3:6" x14ac:dyDescent="0.25">
      <c r="C57" s="1"/>
      <c r="F57" s="1"/>
    </row>
    <row r="58" spans="3:6" x14ac:dyDescent="0.25">
      <c r="C58" s="1"/>
      <c r="F58" s="1"/>
    </row>
    <row r="59" spans="3:6" x14ac:dyDescent="0.25">
      <c r="C59" s="1"/>
      <c r="F59" s="1"/>
    </row>
    <row r="60" spans="3:6" x14ac:dyDescent="0.25">
      <c r="C60" s="1"/>
      <c r="F60" s="1"/>
    </row>
    <row r="64" spans="3:6" x14ac:dyDescent="0.25">
      <c r="F64" s="1"/>
    </row>
    <row r="74" spans="5:5" x14ac:dyDescent="0.25">
      <c r="E74" s="3"/>
    </row>
    <row r="75" spans="5:5" x14ac:dyDescent="0.25">
      <c r="E75" s="3"/>
    </row>
  </sheetData>
  <mergeCells count="4">
    <mergeCell ref="M5:N5"/>
    <mergeCell ref="B2:F2"/>
    <mergeCell ref="C5:F5"/>
    <mergeCell ref="J5:K5"/>
  </mergeCells>
  <phoneticPr fontId="1" type="noConversion"/>
  <conditionalFormatting sqref="D51">
    <cfRule type="expression" dxfId="44" priority="11">
      <formula>$C51&lt;&gt;$C50</formula>
    </cfRule>
  </conditionalFormatting>
  <conditionalFormatting sqref="D51">
    <cfRule type="expression" dxfId="43" priority="12">
      <formula>$S51="Y"</formula>
    </cfRule>
  </conditionalFormatting>
  <conditionalFormatting sqref="E51">
    <cfRule type="expression" dxfId="42" priority="9">
      <formula>$C51&lt;&gt;$C50</formula>
    </cfRule>
  </conditionalFormatting>
  <conditionalFormatting sqref="E51">
    <cfRule type="expression" dxfId="41" priority="10">
      <formula>$S51="Y"</formula>
    </cfRule>
  </conditionalFormatting>
  <conditionalFormatting sqref="D31">
    <cfRule type="expression" dxfId="40" priority="3">
      <formula>$C31&lt;&gt;$C30</formula>
    </cfRule>
  </conditionalFormatting>
  <conditionalFormatting sqref="D31">
    <cfRule type="expression" dxfId="39" priority="4">
      <formula>$S31="Y"</formula>
    </cfRule>
  </conditionalFormatting>
  <conditionalFormatting sqref="E31">
    <cfRule type="expression" dxfId="38" priority="1">
      <formula>$C31&lt;&gt;$C30</formula>
    </cfRule>
  </conditionalFormatting>
  <conditionalFormatting sqref="E31">
    <cfRule type="expression" dxfId="37" priority="2">
      <formula>$S31="Y"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2A61-EF39-45CB-B96C-7D2937CD697D}">
  <sheetPr codeName="Sheet15"/>
  <dimension ref="A3:Z92"/>
  <sheetViews>
    <sheetView topLeftCell="A24" workbookViewId="0">
      <selection activeCell="E68" sqref="E68"/>
    </sheetView>
  </sheetViews>
  <sheetFormatPr defaultColWidth="8.6640625" defaultRowHeight="12.75" x14ac:dyDescent="0.25"/>
  <cols>
    <col min="1" max="1" width="3.1640625" style="1" customWidth="1"/>
    <col min="2" max="2" width="2.5" style="1" customWidth="1"/>
    <col min="3" max="3" width="5.5" style="2" customWidth="1"/>
    <col min="4" max="4" width="23" style="1" customWidth="1"/>
    <col min="5" max="5" width="30.83203125" style="4" customWidth="1"/>
    <col min="6" max="6" width="23.83203125" style="4" customWidth="1"/>
    <col min="7" max="7" width="4.5" style="1" customWidth="1"/>
    <col min="8" max="9" width="4.6640625" style="1" customWidth="1"/>
    <col min="10" max="10" width="8.6640625" style="1"/>
    <col min="11" max="11" width="15.33203125" style="1" customWidth="1"/>
    <col min="12" max="12" width="8.6640625" style="1"/>
    <col min="13" max="13" width="8.6640625" style="1" customWidth="1"/>
    <col min="14" max="14" width="11.33203125" style="1" customWidth="1"/>
    <col min="15" max="15" width="6" style="1" customWidth="1"/>
    <col min="16" max="16" width="27.1640625" style="1" customWidth="1"/>
    <col min="17" max="16384" width="8.6640625" style="1"/>
  </cols>
  <sheetData>
    <row r="3" spans="1:26" s="8" customFormat="1" ht="15.75" x14ac:dyDescent="0.25">
      <c r="A3" s="1"/>
      <c r="B3" s="82" t="s">
        <v>128</v>
      </c>
      <c r="C3" s="82"/>
      <c r="D3" s="82"/>
      <c r="E3" s="82"/>
      <c r="F3" s="82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</row>
    <row r="5" spans="1:26" ht="15.75" x14ac:dyDescent="0.25">
      <c r="B5" s="9" t="s">
        <v>137</v>
      </c>
      <c r="C5" s="10"/>
      <c r="D5" s="11"/>
      <c r="E5" s="26"/>
      <c r="F5" s="26"/>
      <c r="H5" s="9" t="s">
        <v>15</v>
      </c>
      <c r="I5" s="9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7"/>
      <c r="V5" s="7"/>
      <c r="W5" s="7"/>
      <c r="X5" s="7"/>
      <c r="Y5" s="7"/>
    </row>
    <row r="6" spans="1:26" x14ac:dyDescent="0.25">
      <c r="C6" s="84" t="str">
        <f>Trade!C5</f>
        <v>FRB000001</v>
      </c>
      <c r="D6" s="84"/>
      <c r="E6" s="84"/>
      <c r="F6" s="85"/>
      <c r="J6" s="86" t="s">
        <v>234</v>
      </c>
      <c r="K6" s="86"/>
      <c r="M6" s="86" t="s">
        <v>136</v>
      </c>
      <c r="N6" s="86"/>
    </row>
    <row r="7" spans="1:26" s="12" customFormat="1" x14ac:dyDescent="0.25">
      <c r="A7" s="1"/>
      <c r="C7" s="13" t="s">
        <v>8</v>
      </c>
      <c r="D7" s="14" t="s">
        <v>9</v>
      </c>
      <c r="E7" s="14" t="s">
        <v>16</v>
      </c>
      <c r="F7" s="14" t="s">
        <v>13</v>
      </c>
      <c r="G7" s="12" t="s">
        <v>10</v>
      </c>
      <c r="H7" s="15" t="s">
        <v>11</v>
      </c>
      <c r="J7" s="13" t="s">
        <v>17</v>
      </c>
      <c r="K7" s="13" t="s">
        <v>13</v>
      </c>
      <c r="M7" s="13" t="s">
        <v>17</v>
      </c>
      <c r="N7" s="13" t="s">
        <v>13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C8" s="70">
        <v>1</v>
      </c>
      <c r="D8" s="17" t="s">
        <v>18</v>
      </c>
      <c r="E8" s="19" t="s">
        <v>132</v>
      </c>
      <c r="F8" s="41">
        <v>5156421880.6187372</v>
      </c>
      <c r="G8" s="1" t="s">
        <v>10</v>
      </c>
      <c r="H8" s="18">
        <v>1</v>
      </c>
      <c r="I8" s="2"/>
      <c r="J8" s="42">
        <v>0.5</v>
      </c>
      <c r="K8" s="42">
        <v>-24065304.517745972</v>
      </c>
      <c r="M8" s="42">
        <v>0.25</v>
      </c>
      <c r="N8" s="42">
        <v>-4264552.0973205566</v>
      </c>
    </row>
    <row r="9" spans="1:26" x14ac:dyDescent="0.25">
      <c r="C9" s="70">
        <v>2</v>
      </c>
      <c r="D9" s="30" t="s">
        <v>15</v>
      </c>
      <c r="E9" s="45" t="s">
        <v>131</v>
      </c>
      <c r="F9" s="48"/>
      <c r="G9" s="1" t="s">
        <v>10</v>
      </c>
      <c r="H9" s="18">
        <v>2</v>
      </c>
      <c r="I9" s="2"/>
      <c r="J9" s="42">
        <v>1</v>
      </c>
      <c r="K9" s="42">
        <v>-157511907.28187561</v>
      </c>
      <c r="M9" s="42">
        <v>0.5</v>
      </c>
      <c r="N9" s="42">
        <v>-19800899.181365967</v>
      </c>
    </row>
    <row r="10" spans="1:26" x14ac:dyDescent="0.25">
      <c r="C10" s="70">
        <v>3</v>
      </c>
      <c r="D10" s="38" t="s">
        <v>19</v>
      </c>
      <c r="E10" s="47" t="s">
        <v>132</v>
      </c>
      <c r="F10" s="49"/>
      <c r="G10" s="1" t="s">
        <v>10</v>
      </c>
      <c r="H10" s="18">
        <v>3</v>
      </c>
      <c r="I10" s="2"/>
      <c r="J10" s="42">
        <v>3</v>
      </c>
      <c r="K10" s="42">
        <v>-473420892.07649231</v>
      </c>
      <c r="M10" s="42">
        <v>1</v>
      </c>
      <c r="N10" s="42">
        <v>-74869488.201141357</v>
      </c>
    </row>
    <row r="11" spans="1:26" x14ac:dyDescent="0.25">
      <c r="B11" s="3"/>
      <c r="C11" s="70">
        <v>4</v>
      </c>
      <c r="D11" s="30" t="s">
        <v>20</v>
      </c>
      <c r="E11" s="45" t="s">
        <v>131</v>
      </c>
      <c r="F11" s="48"/>
      <c r="G11" s="1" t="s">
        <v>10</v>
      </c>
      <c r="H11" s="18">
        <v>4</v>
      </c>
      <c r="I11" s="2"/>
      <c r="J11" s="42">
        <v>5</v>
      </c>
      <c r="K11" s="42">
        <v>-23331162018.165588</v>
      </c>
      <c r="M11" s="42">
        <v>2</v>
      </c>
      <c r="N11" s="42">
        <v>-165282018.59474182</v>
      </c>
    </row>
    <row r="12" spans="1:26" x14ac:dyDescent="0.25">
      <c r="C12" s="70">
        <v>5</v>
      </c>
      <c r="D12" s="30" t="s">
        <v>42</v>
      </c>
      <c r="E12" s="45" t="s">
        <v>131</v>
      </c>
      <c r="F12" s="48"/>
      <c r="G12" s="1" t="s">
        <v>10</v>
      </c>
      <c r="H12" s="18">
        <v>5</v>
      </c>
      <c r="I12" s="2"/>
      <c r="J12" s="42">
        <v>10</v>
      </c>
      <c r="K12" s="42">
        <v>-5300359216.5088654</v>
      </c>
      <c r="M12" s="42">
        <v>3</v>
      </c>
      <c r="N12" s="42">
        <v>-390780887.00294495</v>
      </c>
    </row>
    <row r="13" spans="1:26" x14ac:dyDescent="0.25">
      <c r="C13" s="70">
        <v>6</v>
      </c>
      <c r="D13" s="30" t="s">
        <v>130</v>
      </c>
      <c r="E13" s="45" t="s">
        <v>131</v>
      </c>
      <c r="F13" s="48"/>
      <c r="G13" s="1" t="s">
        <v>10</v>
      </c>
      <c r="H13" s="18">
        <v>6</v>
      </c>
      <c r="I13" s="2"/>
      <c r="M13" s="42">
        <v>5</v>
      </c>
      <c r="N13" s="42">
        <v>-23331162018.165588</v>
      </c>
    </row>
    <row r="14" spans="1:26" x14ac:dyDescent="0.25">
      <c r="C14" s="70">
        <v>7</v>
      </c>
      <c r="D14" s="30" t="s">
        <v>43</v>
      </c>
      <c r="E14" s="45" t="s">
        <v>131</v>
      </c>
      <c r="F14" s="48"/>
      <c r="G14" s="1" t="s">
        <v>10</v>
      </c>
      <c r="H14" s="18">
        <v>6</v>
      </c>
      <c r="I14" s="2"/>
      <c r="M14" s="42">
        <v>10</v>
      </c>
      <c r="N14" s="42">
        <v>-5300359216.4897919</v>
      </c>
    </row>
    <row r="15" spans="1:26" x14ac:dyDescent="0.25">
      <c r="C15" s="70">
        <v>8</v>
      </c>
      <c r="D15" s="17" t="s">
        <v>28</v>
      </c>
      <c r="E15" s="19" t="s">
        <v>131</v>
      </c>
      <c r="F15" s="41" t="s">
        <v>236</v>
      </c>
      <c r="G15" s="1" t="s">
        <v>10</v>
      </c>
      <c r="H15" s="18">
        <v>7</v>
      </c>
      <c r="I15" s="2"/>
      <c r="M15" s="42"/>
      <c r="N15" s="42"/>
    </row>
    <row r="16" spans="1:26" x14ac:dyDescent="0.25">
      <c r="C16" s="70">
        <v>9</v>
      </c>
      <c r="D16" s="17" t="s">
        <v>44</v>
      </c>
      <c r="E16" s="19" t="s">
        <v>131</v>
      </c>
      <c r="F16" s="4" t="s">
        <v>236</v>
      </c>
      <c r="G16" s="1" t="s">
        <v>10</v>
      </c>
      <c r="H16" s="18">
        <v>8</v>
      </c>
      <c r="I16" s="2"/>
      <c r="M16" s="42"/>
      <c r="N16" s="42"/>
    </row>
    <row r="17" spans="2:25" x14ac:dyDescent="0.25">
      <c r="C17" s="70">
        <v>10</v>
      </c>
      <c r="D17" s="38" t="s">
        <v>29</v>
      </c>
      <c r="E17" s="47" t="s">
        <v>132</v>
      </c>
      <c r="F17" s="49"/>
      <c r="G17" s="1" t="s">
        <v>10</v>
      </c>
      <c r="H17" s="18">
        <v>9</v>
      </c>
      <c r="I17" s="2"/>
      <c r="M17" s="42"/>
      <c r="N17" s="42"/>
    </row>
    <row r="18" spans="2:25" x14ac:dyDescent="0.25">
      <c r="C18" s="70">
        <v>11</v>
      </c>
      <c r="D18" s="38" t="s">
        <v>45</v>
      </c>
      <c r="E18" s="47" t="s">
        <v>132</v>
      </c>
      <c r="F18" s="49"/>
      <c r="G18" s="1" t="s">
        <v>10</v>
      </c>
      <c r="H18" s="18">
        <v>10</v>
      </c>
      <c r="I18" s="2"/>
      <c r="M18" s="42"/>
      <c r="N18" s="42"/>
    </row>
    <row r="19" spans="2:25" x14ac:dyDescent="0.25">
      <c r="B19" s="3"/>
      <c r="C19" s="70">
        <v>12</v>
      </c>
      <c r="D19" s="38" t="s">
        <v>46</v>
      </c>
      <c r="E19" s="47" t="s">
        <v>132</v>
      </c>
      <c r="F19" s="49"/>
      <c r="G19" s="1" t="s">
        <v>10</v>
      </c>
      <c r="H19" s="21">
        <v>11</v>
      </c>
      <c r="I19" s="2"/>
      <c r="M19" s="42"/>
      <c r="N19" s="42"/>
    </row>
    <row r="20" spans="2:25" x14ac:dyDescent="0.25">
      <c r="C20" s="70">
        <v>13</v>
      </c>
      <c r="D20" s="38" t="s">
        <v>47</v>
      </c>
      <c r="E20" s="47" t="s">
        <v>132</v>
      </c>
      <c r="F20" s="49"/>
      <c r="G20" s="1" t="s">
        <v>10</v>
      </c>
    </row>
    <row r="21" spans="2:25" x14ac:dyDescent="0.25">
      <c r="C21" s="70">
        <v>14</v>
      </c>
      <c r="D21" s="38" t="s">
        <v>48</v>
      </c>
      <c r="E21" s="47" t="s">
        <v>132</v>
      </c>
      <c r="F21" s="49"/>
      <c r="G21" s="1" t="s">
        <v>10</v>
      </c>
    </row>
    <row r="22" spans="2:25" x14ac:dyDescent="0.25">
      <c r="B22" s="3"/>
      <c r="C22" s="70">
        <v>15</v>
      </c>
      <c r="D22" s="38" t="s">
        <v>49</v>
      </c>
      <c r="E22" s="47" t="s">
        <v>132</v>
      </c>
      <c r="F22" s="49"/>
      <c r="G22" s="1" t="s">
        <v>10</v>
      </c>
      <c r="H22" s="9" t="s">
        <v>21</v>
      </c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11"/>
      <c r="V22" s="11"/>
      <c r="W22" s="11"/>
      <c r="X22" s="11"/>
      <c r="Y22" s="11"/>
    </row>
    <row r="23" spans="2:25" x14ac:dyDescent="0.25">
      <c r="C23" s="70">
        <v>16</v>
      </c>
      <c r="D23" s="38" t="s">
        <v>50</v>
      </c>
      <c r="E23" s="47" t="s">
        <v>132</v>
      </c>
      <c r="F23" s="49"/>
      <c r="G23" s="1" t="s">
        <v>10</v>
      </c>
      <c r="J23" s="86" t="s">
        <v>136</v>
      </c>
      <c r="K23" s="86"/>
    </row>
    <row r="24" spans="2:25" x14ac:dyDescent="0.25">
      <c r="C24" s="70">
        <v>17</v>
      </c>
      <c r="D24" s="17" t="s">
        <v>51</v>
      </c>
      <c r="E24" s="19" t="s">
        <v>131</v>
      </c>
      <c r="F24" s="41" t="s">
        <v>236</v>
      </c>
      <c r="G24" s="1" t="s">
        <v>10</v>
      </c>
      <c r="H24" s="15" t="s">
        <v>11</v>
      </c>
      <c r="J24" s="24" t="s">
        <v>133</v>
      </c>
      <c r="K24" s="24" t="s">
        <v>13</v>
      </c>
    </row>
    <row r="25" spans="2:25" x14ac:dyDescent="0.25">
      <c r="C25" s="70">
        <v>18</v>
      </c>
      <c r="D25" s="17" t="s">
        <v>216</v>
      </c>
      <c r="E25" s="19" t="s">
        <v>131</v>
      </c>
      <c r="F25" s="41" t="s">
        <v>235</v>
      </c>
      <c r="G25" s="1" t="s">
        <v>10</v>
      </c>
      <c r="H25" s="18">
        <v>1</v>
      </c>
      <c r="J25" s="6" t="s">
        <v>134</v>
      </c>
      <c r="K25" s="17">
        <v>-474016108.72467804</v>
      </c>
    </row>
    <row r="26" spans="2:25" x14ac:dyDescent="0.25">
      <c r="C26" s="70">
        <v>19</v>
      </c>
      <c r="D26" s="38" t="s">
        <v>52</v>
      </c>
      <c r="E26" s="47" t="s">
        <v>131</v>
      </c>
      <c r="F26" s="49"/>
      <c r="G26" s="1" t="s">
        <v>10</v>
      </c>
      <c r="H26" s="21">
        <v>5</v>
      </c>
      <c r="J26" s="6" t="s">
        <v>135</v>
      </c>
      <c r="K26" s="17">
        <v>523584310.00453472</v>
      </c>
    </row>
    <row r="27" spans="2:25" x14ac:dyDescent="0.25">
      <c r="C27" s="70">
        <v>20</v>
      </c>
      <c r="D27" s="38" t="s">
        <v>53</v>
      </c>
      <c r="E27" s="47" t="s">
        <v>131</v>
      </c>
      <c r="F27" s="49"/>
      <c r="G27" s="1" t="s">
        <v>10</v>
      </c>
    </row>
    <row r="28" spans="2:25" x14ac:dyDescent="0.25">
      <c r="C28" s="70">
        <v>21</v>
      </c>
      <c r="D28" s="38" t="s">
        <v>54</v>
      </c>
      <c r="E28" s="47" t="s">
        <v>131</v>
      </c>
      <c r="F28" s="49"/>
      <c r="G28" s="1" t="s">
        <v>10</v>
      </c>
    </row>
    <row r="29" spans="2:25" x14ac:dyDescent="0.25">
      <c r="C29" s="70">
        <v>22</v>
      </c>
      <c r="D29" s="38" t="s">
        <v>1</v>
      </c>
      <c r="E29" s="47" t="s">
        <v>132</v>
      </c>
      <c r="F29" s="49"/>
      <c r="G29" s="1" t="s">
        <v>10</v>
      </c>
    </row>
    <row r="30" spans="2:25" x14ac:dyDescent="0.25">
      <c r="C30" s="70">
        <v>23</v>
      </c>
      <c r="D30" s="27" t="s">
        <v>55</v>
      </c>
      <c r="E30" s="31"/>
      <c r="F30" s="31"/>
      <c r="G30" s="1" t="s">
        <v>10</v>
      </c>
    </row>
    <row r="31" spans="2:25" x14ac:dyDescent="0.25">
      <c r="C31" s="70">
        <v>24</v>
      </c>
      <c r="D31" s="5" t="s">
        <v>117</v>
      </c>
      <c r="E31" s="19"/>
      <c r="F31" s="19"/>
      <c r="G31" s="1" t="s">
        <v>10</v>
      </c>
    </row>
    <row r="32" spans="2:25" x14ac:dyDescent="0.25">
      <c r="D32" s="2"/>
      <c r="E32" s="2"/>
      <c r="F32" s="2"/>
    </row>
    <row r="33" spans="2:25" x14ac:dyDescent="0.25">
      <c r="B33" s="44" t="s">
        <v>222</v>
      </c>
      <c r="C33" s="44"/>
      <c r="D33" s="44"/>
      <c r="E33" s="44"/>
      <c r="F33" s="44"/>
      <c r="G33" s="1" t="s">
        <v>10</v>
      </c>
      <c r="H33" s="9" t="s">
        <v>129</v>
      </c>
      <c r="I33" s="9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</row>
    <row r="34" spans="2:25" x14ac:dyDescent="0.25">
      <c r="C34" s="13" t="s">
        <v>3</v>
      </c>
      <c r="D34" s="14" t="s">
        <v>9</v>
      </c>
      <c r="E34" s="14" t="s">
        <v>127</v>
      </c>
      <c r="F34" s="14" t="s">
        <v>2</v>
      </c>
      <c r="G34" s="1" t="s">
        <v>10</v>
      </c>
      <c r="J34" s="25" t="s">
        <v>22</v>
      </c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</row>
    <row r="35" spans="2:25" x14ac:dyDescent="0.25">
      <c r="C35" s="71">
        <v>1</v>
      </c>
      <c r="D35" s="40" t="s">
        <v>118</v>
      </c>
      <c r="E35" s="72" t="s">
        <v>87</v>
      </c>
      <c r="F35" s="59">
        <v>1</v>
      </c>
      <c r="H35" s="15" t="s">
        <v>11</v>
      </c>
      <c r="J35" s="22" t="s">
        <v>11</v>
      </c>
      <c r="K35" s="22">
        <v>1</v>
      </c>
      <c r="L35" s="22">
        <v>2</v>
      </c>
      <c r="M35" s="22">
        <v>3</v>
      </c>
      <c r="N35" s="22">
        <v>4</v>
      </c>
      <c r="O35" s="22">
        <v>5</v>
      </c>
      <c r="P35" s="22">
        <v>6</v>
      </c>
      <c r="Q35" s="22">
        <v>7</v>
      </c>
      <c r="R35" s="22">
        <v>8</v>
      </c>
      <c r="S35" s="22">
        <v>9</v>
      </c>
      <c r="T35" s="22">
        <v>10</v>
      </c>
      <c r="U35" s="46">
        <v>11</v>
      </c>
      <c r="V35" s="46">
        <v>12</v>
      </c>
      <c r="W35" s="46">
        <v>13</v>
      </c>
      <c r="X35" s="46">
        <v>14</v>
      </c>
      <c r="Y35" s="46">
        <v>15</v>
      </c>
    </row>
    <row r="36" spans="2:25" x14ac:dyDescent="0.25">
      <c r="C36" s="73">
        <v>2</v>
      </c>
      <c r="D36" s="40" t="s">
        <v>145</v>
      </c>
      <c r="E36" s="40" t="s">
        <v>119</v>
      </c>
      <c r="F36" s="40" t="s">
        <v>56</v>
      </c>
      <c r="H36" s="18">
        <v>1</v>
      </c>
      <c r="J36" s="1" t="s">
        <v>23</v>
      </c>
    </row>
    <row r="37" spans="2:25" x14ac:dyDescent="0.25">
      <c r="C37" s="73">
        <v>3</v>
      </c>
      <c r="D37" s="40" t="s">
        <v>223</v>
      </c>
      <c r="E37" s="74" t="s">
        <v>225</v>
      </c>
      <c r="F37" s="75">
        <v>0.75</v>
      </c>
      <c r="H37" s="18">
        <v>2</v>
      </c>
      <c r="J37" s="1" t="s">
        <v>24</v>
      </c>
    </row>
    <row r="38" spans="2:25" x14ac:dyDescent="0.25">
      <c r="C38" s="71">
        <v>4</v>
      </c>
      <c r="D38" s="40" t="s">
        <v>224</v>
      </c>
      <c r="E38" s="40" t="s">
        <v>116</v>
      </c>
      <c r="F38" s="76">
        <v>1.7000000000000001E-2</v>
      </c>
      <c r="H38" s="18">
        <v>3</v>
      </c>
      <c r="J38" s="1" t="s">
        <v>25</v>
      </c>
    </row>
    <row r="39" spans="2:25" x14ac:dyDescent="0.25">
      <c r="C39" s="1"/>
      <c r="E39" s="1"/>
      <c r="F39" s="1"/>
      <c r="H39" s="21">
        <v>4</v>
      </c>
      <c r="J39" s="1" t="s">
        <v>26</v>
      </c>
    </row>
    <row r="40" spans="2:25" x14ac:dyDescent="0.25">
      <c r="D40" s="2"/>
      <c r="E40" s="2"/>
      <c r="F40" s="2"/>
    </row>
    <row r="41" spans="2:25" x14ac:dyDescent="0.25">
      <c r="B41" s="44" t="s">
        <v>39</v>
      </c>
      <c r="C41" s="44"/>
      <c r="D41" s="44"/>
      <c r="E41" s="44"/>
      <c r="F41" s="44"/>
      <c r="J41" s="25" t="s">
        <v>27</v>
      </c>
      <c r="K41" s="23"/>
      <c r="L41" s="23"/>
      <c r="M41" s="23"/>
      <c r="N41" s="23"/>
      <c r="O41" s="23"/>
      <c r="P41" s="23"/>
      <c r="Q41" s="23"/>
      <c r="R41" s="23"/>
      <c r="S41" s="23"/>
      <c r="T41" s="23"/>
    </row>
    <row r="42" spans="2:25" x14ac:dyDescent="0.25">
      <c r="C42" s="13" t="s">
        <v>3</v>
      </c>
      <c r="D42" s="14" t="s">
        <v>9</v>
      </c>
      <c r="E42" s="14" t="s">
        <v>127</v>
      </c>
      <c r="F42" s="14" t="s">
        <v>2</v>
      </c>
      <c r="H42" s="15" t="s">
        <v>11</v>
      </c>
      <c r="J42" s="22" t="s">
        <v>11</v>
      </c>
      <c r="K42" s="22">
        <v>1</v>
      </c>
      <c r="L42" s="22">
        <v>2</v>
      </c>
      <c r="M42" s="22">
        <v>3</v>
      </c>
      <c r="N42" s="22">
        <v>4</v>
      </c>
      <c r="O42" s="22">
        <v>5</v>
      </c>
      <c r="P42" s="22">
        <v>6</v>
      </c>
      <c r="Q42" s="22">
        <v>7</v>
      </c>
      <c r="R42" s="22">
        <v>8</v>
      </c>
      <c r="S42" s="22">
        <v>9</v>
      </c>
      <c r="T42" s="46">
        <v>10</v>
      </c>
      <c r="U42" s="46">
        <v>11</v>
      </c>
      <c r="V42" s="46">
        <v>12</v>
      </c>
      <c r="W42" s="46">
        <v>13</v>
      </c>
      <c r="X42" s="46">
        <v>14</v>
      </c>
      <c r="Y42" s="46">
        <v>15</v>
      </c>
    </row>
    <row r="43" spans="2:25" x14ac:dyDescent="0.25">
      <c r="C43" s="16">
        <v>1</v>
      </c>
      <c r="D43" s="17" t="s">
        <v>58</v>
      </c>
      <c r="E43" s="17" t="s">
        <v>114</v>
      </c>
      <c r="F43" s="32">
        <v>45657</v>
      </c>
      <c r="H43" s="18">
        <v>1</v>
      </c>
    </row>
    <row r="44" spans="2:25" x14ac:dyDescent="0.25">
      <c r="C44" s="67">
        <v>2</v>
      </c>
      <c r="D44" s="68" t="s">
        <v>31</v>
      </c>
      <c r="E44" s="68" t="s">
        <v>76</v>
      </c>
      <c r="F44" s="69">
        <v>0</v>
      </c>
      <c r="H44" s="18">
        <v>2</v>
      </c>
    </row>
    <row r="45" spans="2:25" x14ac:dyDescent="0.25">
      <c r="C45" s="19">
        <v>3</v>
      </c>
      <c r="D45" s="17" t="s">
        <v>32</v>
      </c>
      <c r="E45" s="17" t="s">
        <v>38</v>
      </c>
      <c r="F45" s="32">
        <v>44175</v>
      </c>
      <c r="H45" s="18">
        <v>3</v>
      </c>
    </row>
    <row r="46" spans="2:25" x14ac:dyDescent="0.25">
      <c r="C46" s="19">
        <v>4</v>
      </c>
      <c r="D46" s="17" t="s">
        <v>30</v>
      </c>
      <c r="E46" s="17" t="s">
        <v>0</v>
      </c>
      <c r="F46" s="32">
        <v>47827</v>
      </c>
      <c r="H46" s="21">
        <v>4</v>
      </c>
      <c r="O46" s="1" t="s">
        <v>161</v>
      </c>
    </row>
    <row r="47" spans="2:25" x14ac:dyDescent="0.25">
      <c r="C47" s="19">
        <v>5</v>
      </c>
      <c r="D47" s="17" t="s">
        <v>33</v>
      </c>
      <c r="E47" s="17" t="s">
        <v>77</v>
      </c>
      <c r="F47" s="32">
        <v>6000000000</v>
      </c>
      <c r="K47" s="1" t="s">
        <v>237</v>
      </c>
      <c r="O47" s="1" t="s">
        <v>162</v>
      </c>
    </row>
    <row r="48" spans="2:25" x14ac:dyDescent="0.25">
      <c r="C48" s="19">
        <v>6</v>
      </c>
      <c r="D48" s="17" t="s">
        <v>65</v>
      </c>
      <c r="E48" s="17" t="s">
        <v>40</v>
      </c>
      <c r="F48" s="32">
        <v>1.4999999999999999E-2</v>
      </c>
      <c r="K48" s="1" t="s">
        <v>238</v>
      </c>
      <c r="O48" s="1" t="s">
        <v>163</v>
      </c>
    </row>
    <row r="49" spans="3:15" x14ac:dyDescent="0.25">
      <c r="C49" s="19">
        <v>7</v>
      </c>
      <c r="D49" s="17" t="s">
        <v>124</v>
      </c>
      <c r="E49" s="17" t="s">
        <v>78</v>
      </c>
      <c r="F49" s="32">
        <v>5</v>
      </c>
      <c r="K49" s="1" t="s">
        <v>239</v>
      </c>
      <c r="O49" s="1" t="s">
        <v>164</v>
      </c>
    </row>
    <row r="50" spans="3:15" x14ac:dyDescent="0.25">
      <c r="C50" s="19">
        <v>8</v>
      </c>
      <c r="D50" s="17" t="s">
        <v>59</v>
      </c>
      <c r="E50" s="43" t="s">
        <v>112</v>
      </c>
      <c r="F50" s="32">
        <v>0</v>
      </c>
      <c r="K50" s="1" t="s">
        <v>240</v>
      </c>
      <c r="O50" s="1" t="s">
        <v>165</v>
      </c>
    </row>
    <row r="51" spans="3:15" x14ac:dyDescent="0.25">
      <c r="C51" s="19">
        <v>9</v>
      </c>
      <c r="D51" s="17" t="s">
        <v>60</v>
      </c>
      <c r="E51" s="43" t="s">
        <v>113</v>
      </c>
      <c r="F51" s="32">
        <v>1</v>
      </c>
      <c r="O51" s="1" t="s">
        <v>166</v>
      </c>
    </row>
    <row r="52" spans="3:15" x14ac:dyDescent="0.25">
      <c r="C52" s="19">
        <v>10</v>
      </c>
      <c r="D52" s="17" t="s">
        <v>61</v>
      </c>
      <c r="E52" s="28" t="s">
        <v>105</v>
      </c>
      <c r="F52" s="32">
        <v>12</v>
      </c>
      <c r="J52" s="1" t="s">
        <v>194</v>
      </c>
      <c r="O52" s="1" t="s">
        <v>167</v>
      </c>
    </row>
    <row r="53" spans="3:15" x14ac:dyDescent="0.25">
      <c r="C53" s="19">
        <v>11</v>
      </c>
      <c r="D53" s="17" t="s">
        <v>62</v>
      </c>
      <c r="E53" s="28" t="s">
        <v>106</v>
      </c>
      <c r="F53" s="32" t="s">
        <v>92</v>
      </c>
      <c r="O53" s="1" t="s">
        <v>168</v>
      </c>
    </row>
    <row r="54" spans="3:15" x14ac:dyDescent="0.25">
      <c r="C54" s="19">
        <v>12</v>
      </c>
      <c r="D54" s="17" t="s">
        <v>63</v>
      </c>
      <c r="E54" s="28" t="s">
        <v>107</v>
      </c>
      <c r="F54" s="32" t="s">
        <v>93</v>
      </c>
      <c r="O54" s="1" t="s">
        <v>169</v>
      </c>
    </row>
    <row r="55" spans="3:15" x14ac:dyDescent="0.25">
      <c r="C55" s="19">
        <v>13</v>
      </c>
      <c r="D55" s="17" t="s">
        <v>64</v>
      </c>
      <c r="E55" s="28" t="s">
        <v>108</v>
      </c>
      <c r="F55" s="32" t="s">
        <v>92</v>
      </c>
    </row>
    <row r="56" spans="3:15" x14ac:dyDescent="0.25">
      <c r="C56" s="19">
        <v>14</v>
      </c>
      <c r="D56" s="17" t="s">
        <v>66</v>
      </c>
      <c r="E56" s="28" t="s">
        <v>104</v>
      </c>
      <c r="F56" s="32">
        <v>10</v>
      </c>
      <c r="O56" s="1" t="s">
        <v>170</v>
      </c>
    </row>
    <row r="57" spans="3:15" x14ac:dyDescent="0.25">
      <c r="C57" s="19">
        <v>15</v>
      </c>
      <c r="D57" s="17" t="s">
        <v>67</v>
      </c>
      <c r="E57" s="28" t="s">
        <v>109</v>
      </c>
      <c r="F57" s="32" t="s">
        <v>94</v>
      </c>
      <c r="O57" s="1" t="s">
        <v>171</v>
      </c>
    </row>
    <row r="58" spans="3:15" x14ac:dyDescent="0.25">
      <c r="C58" s="19">
        <v>16</v>
      </c>
      <c r="D58" s="17" t="s">
        <v>68</v>
      </c>
      <c r="E58" s="28" t="s">
        <v>34</v>
      </c>
      <c r="F58" s="32" t="s">
        <v>95</v>
      </c>
      <c r="O58" s="1" t="s">
        <v>172</v>
      </c>
    </row>
    <row r="59" spans="3:15" x14ac:dyDescent="0.25">
      <c r="C59" s="67">
        <v>17</v>
      </c>
      <c r="D59" s="68" t="s">
        <v>125</v>
      </c>
      <c r="E59" s="68" t="s">
        <v>79</v>
      </c>
      <c r="F59" s="32">
        <v>1</v>
      </c>
      <c r="J59" s="1" t="s">
        <v>215</v>
      </c>
      <c r="O59" s="1" t="s">
        <v>173</v>
      </c>
    </row>
    <row r="60" spans="3:15" x14ac:dyDescent="0.25">
      <c r="C60" s="67">
        <v>18</v>
      </c>
      <c r="D60" s="68" t="s">
        <v>69</v>
      </c>
      <c r="E60" s="68" t="s">
        <v>80</v>
      </c>
      <c r="F60" s="32">
        <v>1</v>
      </c>
      <c r="G60" s="1" t="s">
        <v>214</v>
      </c>
    </row>
    <row r="61" spans="3:15" x14ac:dyDescent="0.25">
      <c r="C61" s="67">
        <v>19</v>
      </c>
      <c r="D61" s="68" t="s">
        <v>126</v>
      </c>
      <c r="E61" s="68" t="s">
        <v>81</v>
      </c>
      <c r="F61" s="32">
        <v>1</v>
      </c>
      <c r="O61" s="1" t="s">
        <v>174</v>
      </c>
    </row>
    <row r="62" spans="3:15" x14ac:dyDescent="0.25">
      <c r="C62" s="67">
        <v>20</v>
      </c>
      <c r="D62" s="68" t="s">
        <v>120</v>
      </c>
      <c r="E62" s="68" t="s">
        <v>82</v>
      </c>
      <c r="F62" s="32">
        <v>1</v>
      </c>
      <c r="O62" s="1" t="s">
        <v>175</v>
      </c>
    </row>
    <row r="63" spans="3:15" x14ac:dyDescent="0.25">
      <c r="C63" s="19">
        <v>21</v>
      </c>
      <c r="D63" s="17" t="s">
        <v>213</v>
      </c>
      <c r="E63" s="17" t="s">
        <v>117</v>
      </c>
      <c r="F63" s="32">
        <v>1.389E-2</v>
      </c>
      <c r="O63" s="1" t="s">
        <v>176</v>
      </c>
    </row>
    <row r="64" spans="3:15" x14ac:dyDescent="0.25">
      <c r="C64" s="67">
        <v>22</v>
      </c>
      <c r="D64" s="68" t="s">
        <v>122</v>
      </c>
      <c r="E64" s="68" t="s">
        <v>83</v>
      </c>
      <c r="F64" s="32">
        <v>1</v>
      </c>
    </row>
    <row r="65" spans="3:18" x14ac:dyDescent="0.25">
      <c r="C65" s="67">
        <v>23</v>
      </c>
      <c r="D65" s="68" t="s">
        <v>123</v>
      </c>
      <c r="E65" s="68" t="s">
        <v>84</v>
      </c>
      <c r="F65" s="32">
        <v>1</v>
      </c>
      <c r="O65" s="1" t="s">
        <v>177</v>
      </c>
    </row>
    <row r="66" spans="3:18" x14ac:dyDescent="0.25">
      <c r="C66" s="19">
        <v>24</v>
      </c>
      <c r="D66" s="17" t="s">
        <v>70</v>
      </c>
      <c r="E66" s="28" t="s">
        <v>35</v>
      </c>
      <c r="F66" s="32">
        <v>5</v>
      </c>
      <c r="O66" s="1" t="s">
        <v>178</v>
      </c>
    </row>
    <row r="67" spans="3:18" x14ac:dyDescent="0.25">
      <c r="C67" s="19">
        <v>25</v>
      </c>
      <c r="D67" s="17" t="s">
        <v>71</v>
      </c>
      <c r="E67" s="28" t="s">
        <v>36</v>
      </c>
      <c r="F67" s="32" t="s">
        <v>96</v>
      </c>
      <c r="O67" s="1" t="s">
        <v>179</v>
      </c>
    </row>
    <row r="68" spans="3:18" x14ac:dyDescent="0.25">
      <c r="C68" s="19">
        <v>26</v>
      </c>
      <c r="D68" s="17" t="s">
        <v>72</v>
      </c>
      <c r="E68" s="28" t="s">
        <v>37</v>
      </c>
      <c r="F68" s="32" t="s">
        <v>110</v>
      </c>
      <c r="O68" s="1" t="s">
        <v>180</v>
      </c>
    </row>
    <row r="69" spans="3:18" x14ac:dyDescent="0.25">
      <c r="C69" s="19">
        <v>27</v>
      </c>
      <c r="D69" s="17" t="s">
        <v>41</v>
      </c>
      <c r="E69" s="17" t="s">
        <v>85</v>
      </c>
      <c r="F69" s="32">
        <v>5536303734.6883898</v>
      </c>
    </row>
    <row r="70" spans="3:18" x14ac:dyDescent="0.25">
      <c r="C70" s="19">
        <v>28</v>
      </c>
      <c r="D70" s="17" t="s">
        <v>73</v>
      </c>
      <c r="E70" s="17" t="s">
        <v>111</v>
      </c>
      <c r="F70" s="32">
        <v>0.05</v>
      </c>
      <c r="O70" s="1" t="s">
        <v>181</v>
      </c>
    </row>
    <row r="71" spans="3:18" x14ac:dyDescent="0.25">
      <c r="C71" s="19">
        <v>29</v>
      </c>
      <c r="D71" s="17" t="s">
        <v>115</v>
      </c>
      <c r="E71" s="17" t="s">
        <v>116</v>
      </c>
      <c r="F71" s="42">
        <v>0.05</v>
      </c>
      <c r="O71" s="1" t="s">
        <v>182</v>
      </c>
    </row>
    <row r="72" spans="3:18" x14ac:dyDescent="0.25">
      <c r="C72" s="19">
        <v>30</v>
      </c>
      <c r="D72" s="17" t="s">
        <v>74</v>
      </c>
      <c r="E72" s="17" t="s">
        <v>86</v>
      </c>
      <c r="F72" s="32">
        <v>3</v>
      </c>
      <c r="O72" s="1" t="s">
        <v>183</v>
      </c>
    </row>
    <row r="73" spans="3:18" x14ac:dyDescent="0.25">
      <c r="C73" s="19">
        <v>31</v>
      </c>
      <c r="D73" s="17" t="s">
        <v>75</v>
      </c>
      <c r="E73" s="17" t="s">
        <v>87</v>
      </c>
      <c r="F73" s="32">
        <v>1</v>
      </c>
      <c r="G73" s="32">
        <v>1</v>
      </c>
    </row>
    <row r="74" spans="3:18" x14ac:dyDescent="0.25">
      <c r="G74" s="32">
        <v>0</v>
      </c>
      <c r="O74" s="1" t="s">
        <v>184</v>
      </c>
    </row>
    <row r="75" spans="3:18" x14ac:dyDescent="0.25">
      <c r="O75" s="1" t="s">
        <v>185</v>
      </c>
    </row>
    <row r="76" spans="3:18" x14ac:dyDescent="0.25">
      <c r="D76" s="1" t="s">
        <v>209</v>
      </c>
      <c r="E76" s="4" t="s">
        <v>148</v>
      </c>
      <c r="F76" s="4" t="s">
        <v>207</v>
      </c>
      <c r="O76" s="1" t="s">
        <v>186</v>
      </c>
    </row>
    <row r="77" spans="3:18" x14ac:dyDescent="0.25">
      <c r="D77" s="1" t="s">
        <v>202</v>
      </c>
      <c r="E77" s="4" t="s">
        <v>210</v>
      </c>
      <c r="F77" s="4" t="s">
        <v>160</v>
      </c>
    </row>
    <row r="78" spans="3:18" x14ac:dyDescent="0.25">
      <c r="D78" s="1" t="s">
        <v>211</v>
      </c>
      <c r="E78" s="4" t="s">
        <v>212</v>
      </c>
      <c r="F78" s="4">
        <v>0</v>
      </c>
      <c r="O78" s="1" t="s">
        <v>187</v>
      </c>
      <c r="R78" s="1" t="s">
        <v>188</v>
      </c>
    </row>
    <row r="79" spans="3:18" x14ac:dyDescent="0.25">
      <c r="O79" s="1" t="s">
        <v>189</v>
      </c>
    </row>
    <row r="81" spans="3:18" x14ac:dyDescent="0.25">
      <c r="E81" s="1"/>
      <c r="O81" s="1" t="s">
        <v>190</v>
      </c>
    </row>
    <row r="82" spans="3:18" x14ac:dyDescent="0.25">
      <c r="P82" s="1" t="s">
        <v>191</v>
      </c>
    </row>
    <row r="83" spans="3:18" x14ac:dyDescent="0.25">
      <c r="O83" s="1" t="s">
        <v>192</v>
      </c>
      <c r="R83" s="1" t="s">
        <v>193</v>
      </c>
    </row>
    <row r="86" spans="3:18" x14ac:dyDescent="0.25">
      <c r="C86" s="1"/>
      <c r="D86" s="2"/>
      <c r="E86" s="1"/>
      <c r="F86" s="1"/>
      <c r="G86" s="4"/>
    </row>
    <row r="87" spans="3:18" x14ac:dyDescent="0.25">
      <c r="C87" s="1"/>
      <c r="E87" s="1"/>
      <c r="F87" s="1"/>
    </row>
    <row r="88" spans="3:18" x14ac:dyDescent="0.25">
      <c r="C88" s="44" t="s">
        <v>154</v>
      </c>
      <c r="D88" s="44"/>
      <c r="E88" s="44"/>
      <c r="F88" s="44"/>
      <c r="G88" s="44"/>
    </row>
    <row r="89" spans="3:18" x14ac:dyDescent="0.25">
      <c r="C89" s="1"/>
      <c r="D89" s="19">
        <v>1</v>
      </c>
      <c r="E89" s="17" t="s">
        <v>145</v>
      </c>
      <c r="F89" s="17" t="s">
        <v>119</v>
      </c>
      <c r="G89" s="17" t="s">
        <v>56</v>
      </c>
    </row>
    <row r="90" spans="3:18" x14ac:dyDescent="0.25">
      <c r="C90" s="1"/>
      <c r="D90" s="19">
        <v>2</v>
      </c>
      <c r="E90" s="17" t="s">
        <v>146</v>
      </c>
      <c r="F90" s="53" t="s">
        <v>147</v>
      </c>
      <c r="G90" s="54">
        <v>0.75</v>
      </c>
    </row>
    <row r="91" spans="3:18" x14ac:dyDescent="0.25">
      <c r="C91" s="1"/>
      <c r="D91" s="50">
        <v>3</v>
      </c>
      <c r="E91" s="51" t="s">
        <v>115</v>
      </c>
      <c r="F91" s="51" t="s">
        <v>116</v>
      </c>
      <c r="G91" s="65">
        <v>1.7000000000000001E-2</v>
      </c>
    </row>
    <row r="92" spans="3:18" x14ac:dyDescent="0.25">
      <c r="C92" s="1"/>
      <c r="D92" s="50">
        <v>4</v>
      </c>
      <c r="E92" s="51" t="s">
        <v>208</v>
      </c>
      <c r="F92" s="51" t="s">
        <v>111</v>
      </c>
      <c r="G92" s="52">
        <v>0.05</v>
      </c>
    </row>
  </sheetData>
  <mergeCells count="5">
    <mergeCell ref="B3:F3"/>
    <mergeCell ref="C6:F6"/>
    <mergeCell ref="J6:K6"/>
    <mergeCell ref="M6:N6"/>
    <mergeCell ref="J23:K23"/>
  </mergeCells>
  <phoneticPr fontId="1" type="noConversion"/>
  <dataValidations count="2">
    <dataValidation type="list" allowBlank="1" showInputMessage="1" showErrorMessage="1" sqref="E8:E30" xr:uid="{5D26165F-F8B0-41A4-AF51-179BCFAD0878}">
      <formula1>"Y,N"</formula1>
    </dataValidation>
    <dataValidation type="list" allowBlank="1" showInputMessage="1" showErrorMessage="1" sqref="F35" xr:uid="{4A875DBE-80AC-4299-823B-F95563ED981A}">
      <formula1>"0,1"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FRB_Pricing">
                <anchor moveWithCells="1" sizeWithCells="1">
                  <from>
                    <xdr:col>5</xdr:col>
                    <xdr:colOff>28575</xdr:colOff>
                    <xdr:row>3</xdr:row>
                    <xdr:rowOff>9525</xdr:rowOff>
                  </from>
                  <to>
                    <xdr:col>5</xdr:col>
                    <xdr:colOff>1400175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8E0FB-ACB1-4E4F-A148-B58EEC1903E9}">
  <sheetPr codeName="Sheet16"/>
  <dimension ref="B3:T3"/>
  <sheetViews>
    <sheetView topLeftCell="A6" workbookViewId="0">
      <selection activeCell="J21" sqref="J21"/>
    </sheetView>
  </sheetViews>
  <sheetFormatPr defaultRowHeight="13.5" x14ac:dyDescent="0.25"/>
  <cols>
    <col min="1" max="1" width="3.33203125" customWidth="1"/>
  </cols>
  <sheetData>
    <row r="3" spans="2:20" s="8" customFormat="1" ht="15.75" x14ac:dyDescent="0.25">
      <c r="B3" s="82" t="s">
        <v>4</v>
      </c>
      <c r="C3" s="82"/>
      <c r="D3" s="82"/>
      <c r="E3" s="82"/>
      <c r="F3" s="82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</row>
  </sheetData>
  <mergeCells count="1">
    <mergeCell ref="B3:F3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E434-63B3-44F0-8F22-8AE41DA5112C}">
  <sheetPr codeName="Sheet17"/>
  <dimension ref="A1:G12"/>
  <sheetViews>
    <sheetView workbookViewId="0">
      <selection activeCell="F27" sqref="F27"/>
    </sheetView>
  </sheetViews>
  <sheetFormatPr defaultRowHeight="13.5" x14ac:dyDescent="0.25"/>
  <sheetData>
    <row r="1" spans="1:7" x14ac:dyDescent="0.25">
      <c r="A1" s="3"/>
      <c r="B1" s="1"/>
      <c r="C1" s="4"/>
      <c r="D1" s="4"/>
      <c r="E1" s="4"/>
      <c r="F1" s="4"/>
      <c r="G1" s="4"/>
    </row>
    <row r="2" spans="1:7" x14ac:dyDescent="0.25">
      <c r="A2" s="1"/>
      <c r="B2" s="1"/>
      <c r="C2" s="4"/>
      <c r="D2" s="1"/>
      <c r="E2" s="1"/>
      <c r="F2" s="1"/>
      <c r="G2" s="1"/>
    </row>
    <row r="3" spans="1:7" x14ac:dyDescent="0.25">
      <c r="A3" s="1"/>
      <c r="B3" s="1"/>
      <c r="C3" s="4"/>
      <c r="D3" s="1"/>
      <c r="E3" s="1"/>
      <c r="F3" s="1"/>
      <c r="G3" s="1"/>
    </row>
    <row r="4" spans="1:7" x14ac:dyDescent="0.25">
      <c r="A4" s="1"/>
      <c r="B4" s="1"/>
      <c r="C4" s="4"/>
      <c r="D4" s="1"/>
      <c r="E4" s="1"/>
      <c r="F4" s="1"/>
      <c r="G4" s="1"/>
    </row>
    <row r="5" spans="1:7" x14ac:dyDescent="0.25">
      <c r="A5" s="1"/>
      <c r="B5" s="1"/>
      <c r="C5" s="4"/>
      <c r="D5" s="1"/>
      <c r="E5" s="1"/>
      <c r="F5" s="1"/>
      <c r="G5" s="1"/>
    </row>
    <row r="6" spans="1:7" x14ac:dyDescent="0.25">
      <c r="A6" s="1"/>
      <c r="B6" s="1"/>
      <c r="C6" s="4"/>
      <c r="D6" s="1"/>
      <c r="E6" s="1"/>
      <c r="F6" s="1"/>
      <c r="G6" s="1"/>
    </row>
    <row r="7" spans="1:7" x14ac:dyDescent="0.25">
      <c r="A7" s="1"/>
      <c r="B7" s="1"/>
      <c r="C7" s="4"/>
      <c r="D7" s="1"/>
      <c r="E7" s="1"/>
      <c r="F7" s="1"/>
      <c r="G7" s="1"/>
    </row>
    <row r="8" spans="1:7" x14ac:dyDescent="0.25">
      <c r="A8" s="1"/>
      <c r="B8" s="1"/>
      <c r="C8" s="4"/>
      <c r="D8" s="1"/>
      <c r="E8" s="1"/>
      <c r="F8" s="1"/>
      <c r="G8" s="1"/>
    </row>
    <row r="9" spans="1:7" x14ac:dyDescent="0.25">
      <c r="A9" s="1"/>
      <c r="B9" s="1"/>
      <c r="C9" s="4"/>
      <c r="D9" s="1"/>
      <c r="E9" s="1"/>
      <c r="F9" s="1"/>
      <c r="G9" s="1"/>
    </row>
    <row r="10" spans="1:7" x14ac:dyDescent="0.25">
      <c r="A10" s="1"/>
      <c r="B10" s="1"/>
      <c r="C10" s="4"/>
      <c r="D10" s="1"/>
      <c r="E10" s="1"/>
      <c r="F10" s="1"/>
      <c r="G10" s="1"/>
    </row>
    <row r="11" spans="1:7" x14ac:dyDescent="0.25">
      <c r="A11" s="1"/>
      <c r="B11" s="3"/>
      <c r="C11" s="4"/>
      <c r="D11" s="1"/>
      <c r="E11" s="1"/>
      <c r="F11" s="1"/>
      <c r="G11" s="1"/>
    </row>
    <row r="12" spans="1:7" x14ac:dyDescent="0.25">
      <c r="A12" s="1"/>
      <c r="B12" s="3"/>
      <c r="C12" s="4"/>
      <c r="D12" s="1"/>
      <c r="E12" s="1"/>
      <c r="F12" s="1"/>
      <c r="G12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1369-2111-43A4-8DDC-FE2235170468}">
  <sheetPr codeName="Sheet1"/>
  <dimension ref="B3:E94"/>
  <sheetViews>
    <sheetView tabSelected="1" workbookViewId="0">
      <selection activeCell="B6" sqref="B6"/>
    </sheetView>
  </sheetViews>
  <sheetFormatPr defaultRowHeight="13.5" x14ac:dyDescent="0.25"/>
  <cols>
    <col min="1" max="1" width="3.5" customWidth="1"/>
    <col min="2" max="2" width="19.33203125" bestFit="1" customWidth="1"/>
    <col min="3" max="3" width="22.33203125" bestFit="1" customWidth="1"/>
    <col min="4" max="4" width="20.6640625" style="77" customWidth="1"/>
    <col min="5" max="5" width="25.83203125" customWidth="1"/>
  </cols>
  <sheetData>
    <row r="3" spans="2:5" x14ac:dyDescent="0.25">
      <c r="B3" t="s">
        <v>218</v>
      </c>
    </row>
    <row r="5" spans="2:5" x14ac:dyDescent="0.25">
      <c r="B5" s="78" t="s">
        <v>217</v>
      </c>
      <c r="C5" s="78" t="s">
        <v>2</v>
      </c>
      <c r="D5" s="79" t="s">
        <v>218</v>
      </c>
      <c r="E5" s="78" t="s">
        <v>229</v>
      </c>
    </row>
    <row r="6" spans="2:5" x14ac:dyDescent="0.25">
      <c r="B6" t="s">
        <v>230</v>
      </c>
      <c r="C6" s="1" t="s">
        <v>241</v>
      </c>
      <c r="D6" s="4">
        <v>0</v>
      </c>
      <c r="E6" s="1" t="s">
        <v>241</v>
      </c>
    </row>
    <row r="7" spans="2:5" x14ac:dyDescent="0.25">
      <c r="B7" t="s">
        <v>230</v>
      </c>
      <c r="C7" s="1" t="s">
        <v>242</v>
      </c>
      <c r="D7" s="4">
        <v>1</v>
      </c>
      <c r="E7" s="1" t="s">
        <v>242</v>
      </c>
    </row>
    <row r="8" spans="2:5" x14ac:dyDescent="0.25">
      <c r="B8" t="s">
        <v>230</v>
      </c>
      <c r="C8" s="1" t="s">
        <v>243</v>
      </c>
      <c r="D8" s="4">
        <v>2</v>
      </c>
      <c r="E8" s="1" t="s">
        <v>243</v>
      </c>
    </row>
    <row r="9" spans="2:5" x14ac:dyDescent="0.25">
      <c r="B9" t="s">
        <v>230</v>
      </c>
      <c r="C9" s="1" t="s">
        <v>244</v>
      </c>
      <c r="D9" s="4">
        <v>3</v>
      </c>
      <c r="E9" s="1" t="s">
        <v>244</v>
      </c>
    </row>
    <row r="10" spans="2:5" x14ac:dyDescent="0.25">
      <c r="B10" t="s">
        <v>230</v>
      </c>
      <c r="C10" s="1" t="s">
        <v>245</v>
      </c>
      <c r="D10" s="4">
        <v>4</v>
      </c>
      <c r="E10" s="1" t="s">
        <v>245</v>
      </c>
    </row>
    <row r="11" spans="2:5" x14ac:dyDescent="0.25">
      <c r="B11" t="s">
        <v>230</v>
      </c>
      <c r="C11" s="1" t="s">
        <v>246</v>
      </c>
      <c r="D11" s="4">
        <v>5</v>
      </c>
      <c r="E11" s="1" t="s">
        <v>246</v>
      </c>
    </row>
    <row r="12" spans="2:5" x14ac:dyDescent="0.25">
      <c r="B12" t="s">
        <v>230</v>
      </c>
      <c r="C12" s="1" t="s">
        <v>247</v>
      </c>
      <c r="D12" s="4">
        <v>6</v>
      </c>
      <c r="E12" s="1" t="s">
        <v>247</v>
      </c>
    </row>
    <row r="13" spans="2:5" x14ac:dyDescent="0.25">
      <c r="B13" t="s">
        <v>230</v>
      </c>
      <c r="C13" s="1" t="s">
        <v>248</v>
      </c>
      <c r="D13" s="4">
        <v>7</v>
      </c>
      <c r="E13" s="1" t="s">
        <v>248</v>
      </c>
    </row>
    <row r="14" spans="2:5" x14ac:dyDescent="0.25">
      <c r="B14" t="s">
        <v>230</v>
      </c>
      <c r="C14" s="1" t="s">
        <v>249</v>
      </c>
      <c r="D14" s="4">
        <v>8</v>
      </c>
      <c r="E14" s="1" t="s">
        <v>249</v>
      </c>
    </row>
    <row r="15" spans="2:5" x14ac:dyDescent="0.25">
      <c r="B15" t="s">
        <v>230</v>
      </c>
      <c r="C15" s="1" t="s">
        <v>250</v>
      </c>
      <c r="D15" s="4">
        <v>9</v>
      </c>
      <c r="E15" s="1" t="s">
        <v>250</v>
      </c>
    </row>
    <row r="16" spans="2:5" x14ac:dyDescent="0.25">
      <c r="B16" t="s">
        <v>230</v>
      </c>
      <c r="C16" s="1" t="s">
        <v>251</v>
      </c>
      <c r="D16" s="4">
        <v>10</v>
      </c>
      <c r="E16" s="1" t="s">
        <v>251</v>
      </c>
    </row>
    <row r="17" spans="2:5" x14ac:dyDescent="0.25">
      <c r="B17" t="s">
        <v>230</v>
      </c>
      <c r="C17" s="1" t="s">
        <v>252</v>
      </c>
      <c r="D17" s="4">
        <v>11</v>
      </c>
      <c r="E17" s="1" t="s">
        <v>252</v>
      </c>
    </row>
    <row r="18" spans="2:5" x14ac:dyDescent="0.25">
      <c r="B18" t="s">
        <v>230</v>
      </c>
      <c r="C18" s="1" t="s">
        <v>253</v>
      </c>
      <c r="D18" s="4">
        <v>12</v>
      </c>
      <c r="E18" s="1" t="s">
        <v>253</v>
      </c>
    </row>
    <row r="19" spans="2:5" x14ac:dyDescent="0.25">
      <c r="B19" t="s">
        <v>230</v>
      </c>
      <c r="C19" s="1" t="s">
        <v>254</v>
      </c>
      <c r="D19" s="4">
        <v>13</v>
      </c>
      <c r="E19" s="1" t="s">
        <v>254</v>
      </c>
    </row>
    <row r="20" spans="2:5" x14ac:dyDescent="0.25">
      <c r="B20" t="s">
        <v>230</v>
      </c>
      <c r="C20" s="1" t="s">
        <v>255</v>
      </c>
      <c r="D20" s="4">
        <v>14</v>
      </c>
      <c r="E20" s="1" t="s">
        <v>255</v>
      </c>
    </row>
    <row r="21" spans="2:5" x14ac:dyDescent="0.25">
      <c r="B21" t="s">
        <v>230</v>
      </c>
      <c r="C21" s="1" t="s">
        <v>256</v>
      </c>
      <c r="D21" s="4">
        <v>15</v>
      </c>
      <c r="E21" s="1" t="s">
        <v>256</v>
      </c>
    </row>
    <row r="22" spans="2:5" x14ac:dyDescent="0.25">
      <c r="B22" t="s">
        <v>230</v>
      </c>
      <c r="C22" s="1" t="s">
        <v>257</v>
      </c>
      <c r="D22" s="4">
        <v>16</v>
      </c>
      <c r="E22" s="1" t="s">
        <v>257</v>
      </c>
    </row>
    <row r="23" spans="2:5" x14ac:dyDescent="0.25">
      <c r="B23" t="s">
        <v>230</v>
      </c>
      <c r="C23" s="1" t="s">
        <v>258</v>
      </c>
      <c r="D23" s="4">
        <v>17</v>
      </c>
      <c r="E23" s="1" t="s">
        <v>258</v>
      </c>
    </row>
    <row r="24" spans="2:5" x14ac:dyDescent="0.25">
      <c r="B24" t="s">
        <v>230</v>
      </c>
      <c r="C24" s="1" t="s">
        <v>259</v>
      </c>
      <c r="D24" s="4">
        <v>18</v>
      </c>
      <c r="E24" s="1" t="s">
        <v>259</v>
      </c>
    </row>
    <row r="25" spans="2:5" x14ac:dyDescent="0.25">
      <c r="B25" t="s">
        <v>260</v>
      </c>
      <c r="C25" s="1" t="s">
        <v>261</v>
      </c>
      <c r="D25" s="4">
        <v>0</v>
      </c>
      <c r="E25" s="1" t="s">
        <v>261</v>
      </c>
    </row>
    <row r="26" spans="2:5" x14ac:dyDescent="0.25">
      <c r="B26" t="s">
        <v>262</v>
      </c>
      <c r="C26" s="1" t="s">
        <v>263</v>
      </c>
      <c r="D26" s="4">
        <v>0</v>
      </c>
      <c r="E26" s="1" t="s">
        <v>263</v>
      </c>
    </row>
    <row r="27" spans="2:5" x14ac:dyDescent="0.25">
      <c r="B27" t="s">
        <v>262</v>
      </c>
      <c r="C27" s="1" t="s">
        <v>264</v>
      </c>
      <c r="D27" s="4">
        <v>1</v>
      </c>
      <c r="E27" s="1" t="s">
        <v>264</v>
      </c>
    </row>
    <row r="28" spans="2:5" x14ac:dyDescent="0.25">
      <c r="B28" t="s">
        <v>262</v>
      </c>
      <c r="C28" s="1" t="s">
        <v>265</v>
      </c>
      <c r="D28" s="4">
        <v>2</v>
      </c>
      <c r="E28" s="1" t="s">
        <v>265</v>
      </c>
    </row>
    <row r="29" spans="2:5" x14ac:dyDescent="0.25">
      <c r="B29" t="s">
        <v>262</v>
      </c>
      <c r="C29" s="1" t="s">
        <v>266</v>
      </c>
      <c r="D29" s="4">
        <v>3</v>
      </c>
      <c r="E29" s="1" t="s">
        <v>266</v>
      </c>
    </row>
    <row r="30" spans="2:5" x14ac:dyDescent="0.25">
      <c r="B30" t="s">
        <v>262</v>
      </c>
      <c r="C30" s="1" t="s">
        <v>267</v>
      </c>
      <c r="D30" s="4">
        <v>4</v>
      </c>
      <c r="E30" s="1" t="s">
        <v>267</v>
      </c>
    </row>
    <row r="31" spans="2:5" x14ac:dyDescent="0.25">
      <c r="B31" t="s">
        <v>268</v>
      </c>
      <c r="C31" s="1" t="s">
        <v>269</v>
      </c>
      <c r="D31" s="4">
        <v>0</v>
      </c>
      <c r="E31" s="1" t="s">
        <v>269</v>
      </c>
    </row>
    <row r="32" spans="2:5" x14ac:dyDescent="0.25">
      <c r="B32" t="s">
        <v>268</v>
      </c>
      <c r="C32" s="1" t="s">
        <v>270</v>
      </c>
      <c r="D32" s="4">
        <v>1</v>
      </c>
      <c r="E32" s="1" t="s">
        <v>270</v>
      </c>
    </row>
    <row r="33" spans="2:5" x14ac:dyDescent="0.25">
      <c r="B33" t="s">
        <v>268</v>
      </c>
      <c r="C33" s="1" t="s">
        <v>271</v>
      </c>
      <c r="D33" s="4">
        <v>2</v>
      </c>
      <c r="E33" s="1" t="s">
        <v>271</v>
      </c>
    </row>
    <row r="34" spans="2:5" x14ac:dyDescent="0.25">
      <c r="B34" t="s">
        <v>268</v>
      </c>
      <c r="C34" s="1" t="s">
        <v>272</v>
      </c>
      <c r="D34" s="4">
        <v>3</v>
      </c>
      <c r="E34" s="1" t="s">
        <v>272</v>
      </c>
    </row>
    <row r="35" spans="2:5" x14ac:dyDescent="0.25">
      <c r="B35" t="s">
        <v>268</v>
      </c>
      <c r="C35" s="1" t="s">
        <v>273</v>
      </c>
      <c r="D35" s="4">
        <v>4</v>
      </c>
      <c r="E35" s="1" t="s">
        <v>273</v>
      </c>
    </row>
    <row r="36" spans="2:5" x14ac:dyDescent="0.25">
      <c r="B36" t="s">
        <v>268</v>
      </c>
      <c r="C36" s="1" t="s">
        <v>274</v>
      </c>
      <c r="D36" s="4">
        <v>5</v>
      </c>
      <c r="E36" s="1" t="s">
        <v>274</v>
      </c>
    </row>
    <row r="37" spans="2:5" x14ac:dyDescent="0.25">
      <c r="B37" t="s">
        <v>268</v>
      </c>
      <c r="C37" s="1" t="s">
        <v>275</v>
      </c>
      <c r="D37" s="4">
        <v>6</v>
      </c>
      <c r="E37" s="1" t="s">
        <v>275</v>
      </c>
    </row>
    <row r="38" spans="2:5" x14ac:dyDescent="0.25">
      <c r="B38" t="s">
        <v>268</v>
      </c>
      <c r="C38" s="1" t="s">
        <v>276</v>
      </c>
      <c r="D38" s="4">
        <v>7</v>
      </c>
      <c r="E38" s="1" t="s">
        <v>276</v>
      </c>
    </row>
    <row r="39" spans="2:5" x14ac:dyDescent="0.25">
      <c r="B39" t="s">
        <v>268</v>
      </c>
      <c r="C39" s="1" t="s">
        <v>277</v>
      </c>
      <c r="D39" s="4">
        <v>8</v>
      </c>
      <c r="E39" s="1" t="s">
        <v>277</v>
      </c>
    </row>
    <row r="40" spans="2:5" x14ac:dyDescent="0.25">
      <c r="B40" t="s">
        <v>268</v>
      </c>
      <c r="C40" s="1" t="s">
        <v>278</v>
      </c>
      <c r="D40" s="4">
        <v>9</v>
      </c>
      <c r="E40" s="1" t="s">
        <v>278</v>
      </c>
    </row>
    <row r="41" spans="2:5" x14ac:dyDescent="0.25">
      <c r="B41" t="s">
        <v>268</v>
      </c>
      <c r="C41" s="1" t="s">
        <v>279</v>
      </c>
      <c r="D41" s="4">
        <v>10</v>
      </c>
      <c r="E41" s="1" t="s">
        <v>279</v>
      </c>
    </row>
    <row r="42" spans="2:5" x14ac:dyDescent="0.25">
      <c r="B42" t="s">
        <v>268</v>
      </c>
      <c r="C42" s="1" t="s">
        <v>280</v>
      </c>
      <c r="D42" s="4">
        <v>11</v>
      </c>
      <c r="E42" s="1" t="s">
        <v>280</v>
      </c>
    </row>
    <row r="43" spans="2:5" x14ac:dyDescent="0.25">
      <c r="B43" s="1" t="s">
        <v>281</v>
      </c>
      <c r="C43" s="1" t="s">
        <v>282</v>
      </c>
      <c r="D43" s="4">
        <v>0</v>
      </c>
      <c r="E43" s="1" t="s">
        <v>282</v>
      </c>
    </row>
    <row r="44" spans="2:5" x14ac:dyDescent="0.25">
      <c r="B44" s="1" t="s">
        <v>281</v>
      </c>
      <c r="C44" s="1" t="s">
        <v>283</v>
      </c>
      <c r="D44" s="4">
        <v>1</v>
      </c>
      <c r="E44" s="1" t="s">
        <v>283</v>
      </c>
    </row>
    <row r="45" spans="2:5" x14ac:dyDescent="0.25">
      <c r="B45" s="1" t="s">
        <v>281</v>
      </c>
      <c r="C45" s="1" t="s">
        <v>284</v>
      </c>
      <c r="D45" s="4">
        <v>2</v>
      </c>
      <c r="E45" s="1" t="s">
        <v>284</v>
      </c>
    </row>
    <row r="46" spans="2:5" x14ac:dyDescent="0.25">
      <c r="B46" s="1" t="s">
        <v>281</v>
      </c>
      <c r="C46" s="1" t="s">
        <v>285</v>
      </c>
      <c r="D46" s="4">
        <v>3</v>
      </c>
      <c r="E46" s="1" t="s">
        <v>285</v>
      </c>
    </row>
    <row r="47" spans="2:5" x14ac:dyDescent="0.25">
      <c r="B47" s="1" t="s">
        <v>281</v>
      </c>
      <c r="C47" s="1" t="s">
        <v>286</v>
      </c>
      <c r="D47" s="4">
        <v>4</v>
      </c>
      <c r="E47" s="1" t="s">
        <v>286</v>
      </c>
    </row>
    <row r="48" spans="2:5" x14ac:dyDescent="0.25">
      <c r="B48" s="1" t="s">
        <v>281</v>
      </c>
      <c r="C48" s="1" t="s">
        <v>287</v>
      </c>
      <c r="D48" s="4">
        <v>5</v>
      </c>
      <c r="E48" s="1" t="s">
        <v>287</v>
      </c>
    </row>
    <row r="49" spans="2:5" x14ac:dyDescent="0.25">
      <c r="B49" s="1" t="s">
        <v>281</v>
      </c>
      <c r="C49" s="1" t="s">
        <v>288</v>
      </c>
      <c r="D49" s="4">
        <v>6</v>
      </c>
      <c r="E49" s="1" t="s">
        <v>288</v>
      </c>
    </row>
    <row r="50" spans="2:5" x14ac:dyDescent="0.25">
      <c r="B50" s="1" t="s">
        <v>289</v>
      </c>
      <c r="C50" s="1" t="s">
        <v>290</v>
      </c>
      <c r="D50" s="4">
        <v>0</v>
      </c>
      <c r="E50" s="1" t="s">
        <v>290</v>
      </c>
    </row>
    <row r="51" spans="2:5" x14ac:dyDescent="0.25">
      <c r="B51" s="1" t="s">
        <v>289</v>
      </c>
      <c r="C51" s="1" t="s">
        <v>290</v>
      </c>
      <c r="D51" s="4">
        <v>1</v>
      </c>
      <c r="E51" s="1" t="s">
        <v>290</v>
      </c>
    </row>
    <row r="52" spans="2:5" x14ac:dyDescent="0.25">
      <c r="B52" s="1" t="s">
        <v>289</v>
      </c>
      <c r="C52" s="1" t="s">
        <v>290</v>
      </c>
      <c r="D52" s="4">
        <v>2</v>
      </c>
      <c r="E52" s="1" t="s">
        <v>290</v>
      </c>
    </row>
    <row r="53" spans="2:5" x14ac:dyDescent="0.25">
      <c r="B53" s="1" t="s">
        <v>289</v>
      </c>
      <c r="C53" s="1" t="s">
        <v>290</v>
      </c>
      <c r="D53" s="4">
        <v>3</v>
      </c>
      <c r="E53" s="1" t="s">
        <v>290</v>
      </c>
    </row>
    <row r="54" spans="2:5" x14ac:dyDescent="0.25">
      <c r="B54" s="1" t="s">
        <v>289</v>
      </c>
      <c r="C54" s="1" t="s">
        <v>290</v>
      </c>
      <c r="D54" s="4">
        <v>4</v>
      </c>
      <c r="E54" s="1" t="s">
        <v>290</v>
      </c>
    </row>
    <row r="55" spans="2:5" x14ac:dyDescent="0.25">
      <c r="B55" s="1" t="s">
        <v>291</v>
      </c>
      <c r="C55" s="4" t="b">
        <v>0</v>
      </c>
      <c r="D55" s="4">
        <v>0</v>
      </c>
      <c r="E55" s="4" t="b">
        <v>0</v>
      </c>
    </row>
    <row r="56" spans="2:5" x14ac:dyDescent="0.25">
      <c r="B56" s="1" t="s">
        <v>291</v>
      </c>
      <c r="C56" s="4" t="b">
        <v>1</v>
      </c>
      <c r="D56" s="4">
        <v>1</v>
      </c>
      <c r="E56" s="4" t="b">
        <v>1</v>
      </c>
    </row>
    <row r="57" spans="2:5" x14ac:dyDescent="0.25">
      <c r="B57" s="1" t="s">
        <v>292</v>
      </c>
      <c r="C57" s="4" t="s">
        <v>293</v>
      </c>
      <c r="D57" s="4">
        <v>0</v>
      </c>
      <c r="E57" s="4" t="s">
        <v>293</v>
      </c>
    </row>
    <row r="58" spans="2:5" x14ac:dyDescent="0.25">
      <c r="B58" s="1" t="s">
        <v>292</v>
      </c>
      <c r="C58" s="4" t="s">
        <v>294</v>
      </c>
      <c r="D58" s="4">
        <v>1</v>
      </c>
      <c r="E58" s="4" t="s">
        <v>294</v>
      </c>
    </row>
    <row r="59" spans="2:5" x14ac:dyDescent="0.25">
      <c r="B59" s="1" t="s">
        <v>295</v>
      </c>
      <c r="C59" s="4" t="s">
        <v>264</v>
      </c>
      <c r="D59" s="4">
        <v>0</v>
      </c>
      <c r="E59" s="4" t="s">
        <v>264</v>
      </c>
    </row>
    <row r="60" spans="2:5" x14ac:dyDescent="0.25">
      <c r="B60" s="1" t="s">
        <v>295</v>
      </c>
      <c r="C60" s="4" t="s">
        <v>296</v>
      </c>
      <c r="D60" s="4">
        <v>1</v>
      </c>
      <c r="E60" s="4" t="s">
        <v>296</v>
      </c>
    </row>
    <row r="61" spans="2:5" x14ac:dyDescent="0.25">
      <c r="B61" s="1" t="s">
        <v>297</v>
      </c>
      <c r="C61" s="4" t="s">
        <v>298</v>
      </c>
      <c r="D61" s="4">
        <v>0</v>
      </c>
      <c r="E61" s="4" t="s">
        <v>298</v>
      </c>
    </row>
    <row r="62" spans="2:5" x14ac:dyDescent="0.25">
      <c r="B62" s="1" t="s">
        <v>297</v>
      </c>
      <c r="C62" s="4" t="s">
        <v>299</v>
      </c>
      <c r="D62" s="4">
        <v>1</v>
      </c>
      <c r="E62" s="4" t="s">
        <v>299</v>
      </c>
    </row>
    <row r="63" spans="2:5" x14ac:dyDescent="0.25">
      <c r="B63" s="1" t="s">
        <v>300</v>
      </c>
      <c r="C63" s="4" t="s">
        <v>301</v>
      </c>
      <c r="D63" s="4">
        <v>0</v>
      </c>
      <c r="E63" s="4" t="s">
        <v>301</v>
      </c>
    </row>
    <row r="64" spans="2:5" x14ac:dyDescent="0.25">
      <c r="B64" s="1" t="s">
        <v>300</v>
      </c>
      <c r="C64" s="4" t="s">
        <v>302</v>
      </c>
      <c r="D64" s="4">
        <v>1</v>
      </c>
      <c r="E64" s="4" t="s">
        <v>302</v>
      </c>
    </row>
    <row r="65" spans="2:5" x14ac:dyDescent="0.25">
      <c r="B65" s="1" t="s">
        <v>303</v>
      </c>
      <c r="C65" s="4" t="s">
        <v>304</v>
      </c>
      <c r="D65" s="4">
        <v>0</v>
      </c>
      <c r="E65" s="4" t="s">
        <v>304</v>
      </c>
    </row>
    <row r="66" spans="2:5" x14ac:dyDescent="0.25">
      <c r="B66" s="1" t="s">
        <v>303</v>
      </c>
      <c r="C66" s="4" t="s">
        <v>305</v>
      </c>
      <c r="D66" s="4">
        <v>1</v>
      </c>
      <c r="E66" s="4" t="s">
        <v>305</v>
      </c>
    </row>
    <row r="67" spans="2:5" x14ac:dyDescent="0.25">
      <c r="B67" s="1" t="s">
        <v>303</v>
      </c>
      <c r="C67" s="4" t="s">
        <v>131</v>
      </c>
      <c r="D67" s="4">
        <v>2</v>
      </c>
      <c r="E67" s="4" t="s">
        <v>131</v>
      </c>
    </row>
    <row r="68" spans="2:5" x14ac:dyDescent="0.25">
      <c r="B68" s="4" t="s">
        <v>306</v>
      </c>
      <c r="C68" s="4" t="s">
        <v>307</v>
      </c>
      <c r="D68" s="4">
        <v>0</v>
      </c>
      <c r="E68" s="4" t="s">
        <v>307</v>
      </c>
    </row>
    <row r="69" spans="2:5" x14ac:dyDescent="0.25">
      <c r="B69" s="4" t="s">
        <v>306</v>
      </c>
      <c r="C69" s="4" t="s">
        <v>308</v>
      </c>
      <c r="D69" s="4">
        <v>1</v>
      </c>
      <c r="E69" s="4" t="s">
        <v>308</v>
      </c>
    </row>
    <row r="70" spans="2:5" x14ac:dyDescent="0.25">
      <c r="B70" s="4" t="s">
        <v>306</v>
      </c>
      <c r="C70" s="4" t="s">
        <v>309</v>
      </c>
      <c r="D70" s="4">
        <v>2</v>
      </c>
      <c r="E70" s="4" t="s">
        <v>309</v>
      </c>
    </row>
    <row r="71" spans="2:5" x14ac:dyDescent="0.25">
      <c r="B71" s="4" t="s">
        <v>306</v>
      </c>
      <c r="C71" s="4" t="s">
        <v>310</v>
      </c>
      <c r="D71" s="4">
        <v>3</v>
      </c>
      <c r="E71" s="4" t="s">
        <v>310</v>
      </c>
    </row>
    <row r="72" spans="2:5" x14ac:dyDescent="0.25">
      <c r="B72" s="4" t="s">
        <v>306</v>
      </c>
      <c r="C72" s="4" t="s">
        <v>311</v>
      </c>
      <c r="D72" s="4">
        <v>4</v>
      </c>
      <c r="E72" s="4" t="s">
        <v>311</v>
      </c>
    </row>
    <row r="73" spans="2:5" x14ac:dyDescent="0.25">
      <c r="B73" s="4" t="s">
        <v>306</v>
      </c>
      <c r="C73" s="4" t="s">
        <v>312</v>
      </c>
      <c r="D73" s="4">
        <v>5</v>
      </c>
      <c r="E73" s="4" t="s">
        <v>312</v>
      </c>
    </row>
    <row r="74" spans="2:5" x14ac:dyDescent="0.25">
      <c r="B74" s="4" t="s">
        <v>306</v>
      </c>
      <c r="C74" s="4" t="s">
        <v>313</v>
      </c>
      <c r="D74" s="4">
        <v>6</v>
      </c>
      <c r="E74" s="4" t="s">
        <v>313</v>
      </c>
    </row>
    <row r="75" spans="2:5" x14ac:dyDescent="0.25">
      <c r="B75" s="4" t="s">
        <v>314</v>
      </c>
      <c r="C75" s="4" t="s">
        <v>320</v>
      </c>
      <c r="D75" s="4">
        <v>0</v>
      </c>
      <c r="E75" s="4" t="s">
        <v>320</v>
      </c>
    </row>
    <row r="76" spans="2:5" x14ac:dyDescent="0.25">
      <c r="B76" s="4" t="s">
        <v>314</v>
      </c>
      <c r="C76" s="4" t="s">
        <v>321</v>
      </c>
      <c r="D76" s="4">
        <v>1</v>
      </c>
      <c r="E76" s="4" t="s">
        <v>321</v>
      </c>
    </row>
    <row r="77" spans="2:5" x14ac:dyDescent="0.25">
      <c r="B77" s="4" t="s">
        <v>315</v>
      </c>
      <c r="C77" s="4" t="s">
        <v>322</v>
      </c>
      <c r="D77" s="4">
        <v>0</v>
      </c>
      <c r="E77" s="4" t="s">
        <v>322</v>
      </c>
    </row>
    <row r="78" spans="2:5" x14ac:dyDescent="0.25">
      <c r="B78" s="4" t="s">
        <v>315</v>
      </c>
      <c r="C78" s="4" t="s">
        <v>323</v>
      </c>
      <c r="D78" s="4">
        <v>1</v>
      </c>
      <c r="E78" s="4" t="s">
        <v>323</v>
      </c>
    </row>
    <row r="79" spans="2:5" x14ac:dyDescent="0.25">
      <c r="B79" s="4" t="s">
        <v>316</v>
      </c>
      <c r="C79" s="4" t="s">
        <v>324</v>
      </c>
      <c r="D79" s="4">
        <v>0</v>
      </c>
      <c r="E79" s="4" t="s">
        <v>324</v>
      </c>
    </row>
    <row r="80" spans="2:5" x14ac:dyDescent="0.25">
      <c r="B80" s="4" t="s">
        <v>316</v>
      </c>
      <c r="C80" s="4" t="s">
        <v>325</v>
      </c>
      <c r="D80" s="4">
        <v>1</v>
      </c>
      <c r="E80" s="4" t="s">
        <v>325</v>
      </c>
    </row>
    <row r="81" spans="2:5" x14ac:dyDescent="0.25">
      <c r="B81" s="4" t="s">
        <v>317</v>
      </c>
      <c r="C81" s="4" t="s">
        <v>326</v>
      </c>
      <c r="D81" s="4">
        <v>0</v>
      </c>
      <c r="E81" s="4" t="s">
        <v>326</v>
      </c>
    </row>
    <row r="82" spans="2:5" x14ac:dyDescent="0.25">
      <c r="B82" s="4" t="s">
        <v>317</v>
      </c>
      <c r="C82" s="4" t="s">
        <v>327</v>
      </c>
      <c r="D82" s="4">
        <v>1</v>
      </c>
      <c r="E82" s="4" t="s">
        <v>327</v>
      </c>
    </row>
    <row r="83" spans="2:5" x14ac:dyDescent="0.25">
      <c r="B83" s="4" t="s">
        <v>318</v>
      </c>
      <c r="C83" s="4" t="s">
        <v>328</v>
      </c>
      <c r="D83" s="4">
        <v>0</v>
      </c>
      <c r="E83" s="4" t="s">
        <v>328</v>
      </c>
    </row>
    <row r="84" spans="2:5" x14ac:dyDescent="0.25">
      <c r="B84" s="4" t="s">
        <v>318</v>
      </c>
      <c r="C84" s="4" t="s">
        <v>329</v>
      </c>
      <c r="D84" s="4">
        <v>1</v>
      </c>
      <c r="E84" s="4" t="s">
        <v>329</v>
      </c>
    </row>
    <row r="85" spans="2:5" x14ac:dyDescent="0.25">
      <c r="B85" s="4" t="s">
        <v>318</v>
      </c>
      <c r="C85" s="4" t="s">
        <v>330</v>
      </c>
      <c r="D85" s="4">
        <v>2</v>
      </c>
      <c r="E85" s="4" t="s">
        <v>330</v>
      </c>
    </row>
    <row r="86" spans="2:5" x14ac:dyDescent="0.25">
      <c r="B86" s="4" t="s">
        <v>318</v>
      </c>
      <c r="C86" s="4" t="s">
        <v>331</v>
      </c>
      <c r="D86" s="4">
        <v>3</v>
      </c>
      <c r="E86" s="4" t="s">
        <v>331</v>
      </c>
    </row>
    <row r="87" spans="2:5" x14ac:dyDescent="0.25">
      <c r="B87" s="4" t="s">
        <v>318</v>
      </c>
      <c r="C87" s="4" t="s">
        <v>332</v>
      </c>
      <c r="D87" s="4">
        <v>4</v>
      </c>
      <c r="E87" s="4" t="s">
        <v>332</v>
      </c>
    </row>
    <row r="88" spans="2:5" x14ac:dyDescent="0.25">
      <c r="B88" s="4" t="s">
        <v>319</v>
      </c>
      <c r="C88" s="4" t="s">
        <v>333</v>
      </c>
      <c r="D88" s="4">
        <v>0</v>
      </c>
      <c r="E88" s="4" t="s">
        <v>333</v>
      </c>
    </row>
    <row r="89" spans="2:5" x14ac:dyDescent="0.25">
      <c r="B89" s="4" t="s">
        <v>319</v>
      </c>
      <c r="C89" s="4" t="s">
        <v>334</v>
      </c>
      <c r="D89" s="4">
        <v>1</v>
      </c>
      <c r="E89" s="4" t="s">
        <v>334</v>
      </c>
    </row>
    <row r="90" spans="2:5" x14ac:dyDescent="0.25">
      <c r="B90" s="4" t="s">
        <v>319</v>
      </c>
      <c r="C90" s="4" t="s">
        <v>335</v>
      </c>
      <c r="D90" s="4">
        <v>2</v>
      </c>
      <c r="E90" s="4" t="s">
        <v>335</v>
      </c>
    </row>
    <row r="91" spans="2:5" x14ac:dyDescent="0.25">
      <c r="B91" s="4" t="s">
        <v>319</v>
      </c>
      <c r="C91" s="4" t="s">
        <v>336</v>
      </c>
      <c r="D91" s="4">
        <v>3</v>
      </c>
      <c r="E91" s="4" t="s">
        <v>336</v>
      </c>
    </row>
    <row r="92" spans="2:5" x14ac:dyDescent="0.25">
      <c r="B92" s="4" t="s">
        <v>319</v>
      </c>
      <c r="C92" s="4" t="s">
        <v>337</v>
      </c>
      <c r="D92" s="4">
        <v>4</v>
      </c>
      <c r="E92" s="4" t="s">
        <v>337</v>
      </c>
    </row>
    <row r="93" spans="2:5" x14ac:dyDescent="0.25">
      <c r="B93" s="4" t="s">
        <v>319</v>
      </c>
      <c r="C93" s="4" t="s">
        <v>338</v>
      </c>
      <c r="D93" s="4">
        <v>5</v>
      </c>
      <c r="E93" s="4" t="s">
        <v>338</v>
      </c>
    </row>
    <row r="94" spans="2:5" x14ac:dyDescent="0.25">
      <c r="B94" s="4" t="s">
        <v>319</v>
      </c>
      <c r="C94" s="4" t="s">
        <v>339</v>
      </c>
      <c r="D94" s="4">
        <v>6</v>
      </c>
      <c r="E94" s="4" t="s">
        <v>339</v>
      </c>
    </row>
  </sheetData>
  <phoneticPr fontId="1" type="noConversion"/>
  <conditionalFormatting sqref="E6:E13">
    <cfRule type="expression" dxfId="36" priority="37">
      <formula>$K6="GROUP"</formula>
    </cfRule>
  </conditionalFormatting>
  <conditionalFormatting sqref="C6:C13">
    <cfRule type="expression" dxfId="35" priority="36">
      <formula>$K6="GROUP"</formula>
    </cfRule>
  </conditionalFormatting>
  <conditionalFormatting sqref="C25">
    <cfRule type="expression" dxfId="34" priority="35">
      <formula>$K25="GROUP"</formula>
    </cfRule>
  </conditionalFormatting>
  <conditionalFormatting sqref="E25">
    <cfRule type="expression" dxfId="33" priority="34">
      <formula>$K25="GROUP"</formula>
    </cfRule>
  </conditionalFormatting>
  <conditionalFormatting sqref="C26:C30">
    <cfRule type="expression" dxfId="31" priority="32">
      <formula>$K26="GROUP"</formula>
    </cfRule>
  </conditionalFormatting>
  <conditionalFormatting sqref="E26:E30">
    <cfRule type="expression" dxfId="30" priority="31">
      <formula>$K26="GROUP"</formula>
    </cfRule>
  </conditionalFormatting>
  <conditionalFormatting sqref="C31:C38">
    <cfRule type="expression" dxfId="29" priority="30">
      <formula>$K31="GROUP"</formula>
    </cfRule>
  </conditionalFormatting>
  <conditionalFormatting sqref="E31:E38">
    <cfRule type="expression" dxfId="28" priority="29">
      <formula>$K31="GROUP"</formula>
    </cfRule>
  </conditionalFormatting>
  <conditionalFormatting sqref="C43:C49">
    <cfRule type="expression" dxfId="27" priority="28">
      <formula>$K43="GROUP"</formula>
    </cfRule>
  </conditionalFormatting>
  <conditionalFormatting sqref="E43:E49">
    <cfRule type="expression" dxfId="26" priority="27">
      <formula>$K43="GROUP"</formula>
    </cfRule>
  </conditionalFormatting>
  <conditionalFormatting sqref="B55:B56">
    <cfRule type="expression" dxfId="25" priority="26">
      <formula>$K55="GROUP"</formula>
    </cfRule>
  </conditionalFormatting>
  <conditionalFormatting sqref="E55:E56">
    <cfRule type="expression" dxfId="24" priority="25">
      <formula>$K55="GROUP"</formula>
    </cfRule>
  </conditionalFormatting>
  <conditionalFormatting sqref="C55:C56">
    <cfRule type="expression" dxfId="23" priority="24">
      <formula>$K55="GROUP"</formula>
    </cfRule>
  </conditionalFormatting>
  <conditionalFormatting sqref="B57:B58">
    <cfRule type="expression" dxfId="22" priority="23">
      <formula>$K57="GROUP"</formula>
    </cfRule>
  </conditionalFormatting>
  <conditionalFormatting sqref="C57:C58">
    <cfRule type="expression" dxfId="21" priority="22">
      <formula>$K57="GROUP"</formula>
    </cfRule>
  </conditionalFormatting>
  <conditionalFormatting sqref="E57:E58">
    <cfRule type="expression" dxfId="20" priority="21">
      <formula>$K57="GROUP"</formula>
    </cfRule>
  </conditionalFormatting>
  <conditionalFormatting sqref="B59:B60">
    <cfRule type="expression" dxfId="18" priority="19">
      <formula>$K59="GROUP"</formula>
    </cfRule>
  </conditionalFormatting>
  <conditionalFormatting sqref="E59:E60">
    <cfRule type="expression" dxfId="17" priority="18">
      <formula>$K59="GROUP"</formula>
    </cfRule>
  </conditionalFormatting>
  <conditionalFormatting sqref="C59:C60">
    <cfRule type="expression" dxfId="16" priority="17">
      <formula>$K59="GROUP"</formula>
    </cfRule>
  </conditionalFormatting>
  <conditionalFormatting sqref="B61:B62">
    <cfRule type="expression" dxfId="14" priority="15">
      <formula>$K61="GROUP"</formula>
    </cfRule>
  </conditionalFormatting>
  <conditionalFormatting sqref="C61:C62">
    <cfRule type="expression" dxfId="12" priority="13">
      <formula>$K61="GROUP"</formula>
    </cfRule>
  </conditionalFormatting>
  <conditionalFormatting sqref="E61:E62">
    <cfRule type="expression" dxfId="11" priority="12">
      <formula>$K61="GROUP"</formula>
    </cfRule>
  </conditionalFormatting>
  <conditionalFormatting sqref="B63:B64">
    <cfRule type="expression" dxfId="10" priority="11">
      <formula>$K63="GROUP"</formula>
    </cfRule>
  </conditionalFormatting>
  <conditionalFormatting sqref="C63:C64">
    <cfRule type="expression" dxfId="9" priority="10">
      <formula>$K63="GROUP"</formula>
    </cfRule>
  </conditionalFormatting>
  <conditionalFormatting sqref="E63:E64">
    <cfRule type="expression" dxfId="8" priority="9">
      <formula>$K63="GROUP"</formula>
    </cfRule>
  </conditionalFormatting>
  <conditionalFormatting sqref="B65:B67">
    <cfRule type="expression" dxfId="7" priority="8">
      <formula>$K65="GROUP"</formula>
    </cfRule>
  </conditionalFormatting>
  <conditionalFormatting sqref="C65:C67">
    <cfRule type="expression" dxfId="6" priority="7">
      <formula>$K65="GROUP"</formula>
    </cfRule>
  </conditionalFormatting>
  <conditionalFormatting sqref="E65:E67">
    <cfRule type="expression" dxfId="5" priority="6">
      <formula>$K65="GROUP"</formula>
    </cfRule>
  </conditionalFormatting>
  <conditionalFormatting sqref="C68:C74">
    <cfRule type="expression" dxfId="4" priority="5">
      <formula>$K68="GROUP"</formula>
    </cfRule>
  </conditionalFormatting>
  <conditionalFormatting sqref="E68:E74">
    <cfRule type="expression" dxfId="3" priority="4">
      <formula>$K68="GROUP"</formula>
    </cfRule>
  </conditionalFormatting>
  <conditionalFormatting sqref="C75:C76">
    <cfRule type="expression" dxfId="1" priority="2">
      <formula>$K75="GROUP"</formula>
    </cfRule>
  </conditionalFormatting>
  <conditionalFormatting sqref="E75:E76">
    <cfRule type="expression" dxfId="0" priority="1">
      <formula>$K75="GROUP"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Trade</vt:lpstr>
      <vt:lpstr>Result</vt:lpstr>
      <vt:lpstr>Desc</vt:lpstr>
      <vt:lpstr>Verify</vt:lpstr>
      <vt:lpstr>ConvData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junghwan Park</dc:creator>
  <cp:lastModifiedBy>icis</cp:lastModifiedBy>
  <cp:lastPrinted>2025-06-16T08:26:39Z</cp:lastPrinted>
  <dcterms:created xsi:type="dcterms:W3CDTF">2025-03-04T05:07:27Z</dcterms:created>
  <dcterms:modified xsi:type="dcterms:W3CDTF">2025-07-09T06:50:04Z</dcterms:modified>
</cp:coreProperties>
</file>