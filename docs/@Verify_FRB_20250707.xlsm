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"/>
    </mc:Choice>
  </mc:AlternateContent>
  <xr:revisionPtr revIDLastSave="0" documentId="13_ncr:1_{E3AD5A3F-EB0B-4D6C-9F50-60AAF4677816}" xr6:coauthVersionLast="47" xr6:coauthVersionMax="47" xr10:uidLastSave="{00000000-0000-0000-0000-000000000000}"/>
  <bookViews>
    <workbookView xWindow="-120" yWindow="-120" windowWidth="29040" windowHeight="15720" activeTab="1" xr2:uid="{C823104A-F605-4FED-B28E-5F229F6706E8}"/>
  </bookViews>
  <sheets>
    <sheet name="Trade" sheetId="21" r:id="rId1"/>
    <sheet name="Result" sheetId="23" r:id="rId2"/>
    <sheet name="Desc" sheetId="19" r:id="rId3"/>
    <sheet name="Verify" sheetId="22" r:id="rId4"/>
    <sheet name="ConvData" sheetId="2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3" l="1"/>
</calcChain>
</file>

<file path=xl/sharedStrings.xml><?xml version="1.0" encoding="utf-8"?>
<sst xmlns="http://schemas.openxmlformats.org/spreadsheetml/2006/main" count="664" uniqueCount="319">
  <si>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</si>
  <si>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</si>
  <si>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</si>
  <si>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</si>
  <si>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FFW : Forex future</t>
    <phoneticPr fontId="2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</si>
  <si>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</si>
  <si>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</si>
  <si>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</si>
  <si>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</si>
  <si>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</si>
  <si>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</si>
  <si>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</si>
  <si>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</si>
  <si>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</si>
  <si>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</si>
  <si>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</si>
  <si>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</si>
  <si>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</si>
  <si>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</si>
  <si>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</si>
  <si>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</si>
  <si>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</si>
  <si>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REV_CF</t>
    <phoneticPr fontId="2" type="noConversion"/>
  </si>
  <si>
    <t>RATE</t>
    <phoneticPr fontId="2" type="noConversion"/>
  </si>
  <si>
    <t>CF_VAL</t>
    <phoneticPr fontId="2" type="noConversion"/>
  </si>
  <si>
    <t>DF</t>
    <phoneticPr fontId="2" type="noConversion"/>
  </si>
  <si>
    <t>DF1</t>
    <phoneticPr fontId="2" type="noConversion"/>
  </si>
  <si>
    <t>PAY_CF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</si>
  <si>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</si>
  <si>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</si>
  <si>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</si>
  <si>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</si>
  <si>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</si>
  <si>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</si>
  <si>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</si>
  <si>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COUP_RATE</t>
    <phoneticPr fontId="1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</si>
  <si>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</si>
  <si>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</si>
  <si>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</si>
  <si>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</si>
  <si>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</si>
  <si>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</si>
  <si>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</si>
  <si>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</si>
  <si>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</si>
  <si>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</si>
  <si>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</si>
  <si>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</si>
  <si>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</si>
  <si>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</si>
  <si>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</si>
  <si>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KRW</t>
    <phoneticPr fontId="1" type="noConversion"/>
  </si>
  <si>
    <t>FRB: Fixed Rate Bond</t>
    <phoneticPr fontId="2" type="noConversion"/>
  </si>
  <si>
    <t>평가일</t>
    <phoneticPr fontId="1" type="noConversion"/>
  </si>
  <si>
    <t>쿠폰지급주기 코드</t>
    <phoneticPr fontId="1" type="noConversion"/>
  </si>
  <si>
    <t>쿠폰 개수</t>
    <phoneticPr fontId="1" type="noConversion"/>
  </si>
  <si>
    <t>쿠폰 지급일</t>
    <phoneticPr fontId="1" type="noConversion"/>
  </si>
  <si>
    <t>쿠폰 시작일</t>
    <phoneticPr fontId="1" type="noConversion"/>
  </si>
  <si>
    <t>쿠폰 종료일</t>
    <phoneticPr fontId="1" type="noConversion"/>
  </si>
  <si>
    <t>쿠폰이율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</si>
  <si>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</si>
  <si>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</si>
  <si>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</si>
  <si>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</si>
  <si>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</si>
  <si>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</si>
  <si>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</si>
  <si>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</si>
  <si>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</si>
  <si>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COUP_DCB_CD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</si>
  <si>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</si>
  <si>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</si>
  <si>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</si>
  <si>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SCH_001</t>
    <phoneticPr fontId="2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</si>
  <si>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</si>
  <si>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</si>
  <si>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</si>
  <si>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</si>
  <si>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CSR 커브</t>
    <phoneticPr fontId="1" type="noConversion"/>
  </si>
  <si>
    <t>쿠폰 스케줄</t>
    <phoneticPr fontId="1" type="noConversion"/>
  </si>
  <si>
    <t>COUP_SCH_ID</t>
    <phoneticPr fontId="1" type="noConversion"/>
  </si>
  <si>
    <t>FRB000001</t>
    <phoneticPr fontId="2" type="noConversion"/>
  </si>
  <si>
    <t>IRKRW-IRS</t>
    <phoneticPr fontId="1" type="noConversion"/>
  </si>
  <si>
    <t>SCH_001</t>
    <phoneticPr fontId="1" type="noConversion"/>
  </si>
  <si>
    <t>COUP_CNT</t>
    <phoneticPr fontId="1" type="noConversion"/>
  </si>
  <si>
    <t>COUP_PAYMENT_DT</t>
    <phoneticPr fontId="1" type="noConversion"/>
  </si>
  <si>
    <t>COUP_START_DT</t>
    <phoneticPr fontId="1" type="noConversion"/>
  </si>
  <si>
    <t>COUP_END_DT</t>
    <phoneticPr fontId="1" type="noConversion"/>
  </si>
  <si>
    <t>CSR_RISKWEIGHT</t>
    <phoneticPr fontId="1" type="noConversion"/>
  </si>
  <si>
    <t>EVALU_DT</t>
    <phoneticPr fontId="1" type="noConversion"/>
  </si>
  <si>
    <t>GIRR 위험가중치</t>
    <phoneticPr fontId="1" type="noConversion"/>
  </si>
  <si>
    <t>GIRR_RISKWEIGHT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</si>
  <si>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</si>
  <si>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</si>
  <si>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</si>
  <si>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쿠폰일수산출방식 코드</t>
    <phoneticPr fontId="1" type="noConversion"/>
  </si>
  <si>
    <t>쿠폰일수산출방식 코드</t>
  </si>
  <si>
    <t>COL_NM</t>
    <phoneticPr fontId="1" type="noConversion"/>
  </si>
  <si>
    <t>FRB : Fixed Rate Bond</t>
    <phoneticPr fontId="2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</si>
  <si>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</si>
  <si>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</si>
  <si>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</si>
  <si>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</si>
  <si>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</si>
  <si>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</si>
  <si>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</si>
  <si>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GIRR/IRKRW-IRS</t>
    <phoneticPr fontId="2" type="noConversion"/>
  </si>
  <si>
    <t>Calculation Option</t>
    <phoneticPr fontId="2" type="noConversion"/>
  </si>
  <si>
    <t>IRKRW-Treasury-CSR</t>
    <phoneticPr fontId="1" type="noConversion"/>
  </si>
  <si>
    <t>COUP_TERM</t>
    <phoneticPr fontId="1" type="noConversion"/>
  </si>
  <si>
    <t>지급통화</t>
    <phoneticPr fontId="1" type="noConversion"/>
  </si>
  <si>
    <t>LGD</t>
    <phoneticPr fontId="1" type="noConversion"/>
  </si>
  <si>
    <t>선순위채권</t>
    <phoneticPr fontId="1" type="noConversion"/>
  </si>
  <si>
    <t>COUP_GEN_METH</t>
    <phoneticPr fontId="1" type="noConversion"/>
  </si>
  <si>
    <t>BDAY_RULE</t>
    <phoneticPr fontId="1" type="noConversion"/>
  </si>
  <si>
    <t>DSC_CURVE</t>
    <phoneticPr fontId="1" type="noConversion"/>
  </si>
  <si>
    <t>CSR_CURVE</t>
    <phoneticPr fontId="1" type="noConversion"/>
  </si>
  <si>
    <t>BDAY_RULE_CALEN</t>
    <phoneticPr fontId="1" type="noConversion"/>
  </si>
  <si>
    <t>지급지연적용일수</t>
  </si>
  <si>
    <t>PMT_DLY_DAYS</t>
  </si>
  <si>
    <t>COUP_DAYC_BASIS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</si>
  <si>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</si>
  <si>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</si>
  <si>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</si>
  <si>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</si>
  <si>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</si>
  <si>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</si>
  <si>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</si>
  <si>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SpreadOverYield ( CONT ACT/365 )</t>
    <phoneticPr fontId="1" type="noConversion"/>
  </si>
  <si>
    <t>이자생성방식</t>
  </si>
  <si>
    <t>CSR 위험가중치 (버킷별)</t>
    <phoneticPr fontId="1" type="noConversion"/>
  </si>
  <si>
    <t>PMT_DLY_DAYS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</si>
  <si>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</si>
  <si>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</si>
  <si>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</si>
  <si>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</si>
  <si>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</si>
  <si>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</si>
  <si>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</si>
  <si>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</si>
  <si>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</si>
  <si>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02</t>
    <phoneticPr fontId="1" type="noConversion"/>
  </si>
  <si>
    <t>CSR_BUCKET</t>
    <phoneticPr fontId="1" type="noConversion"/>
  </si>
  <si>
    <t>Description</t>
    <phoneticPr fontId="1" type="noConversion"/>
  </si>
  <si>
    <t>DAYC_BASIS</t>
    <phoneticPr fontId="1" type="noConversion"/>
  </si>
  <si>
    <t>* Rate (금리 등) 정보 입수시 평가모듈에서 요구하는 단위로 입수요.   1.5%일 경우 1.5가 아닌 0.015 또는 1.5% 로 입수</t>
    <phoneticPr fontId="1" type="noConversion"/>
  </si>
  <si>
    <t>CSR/IRKRW-Treasury-CSR</t>
    <phoneticPr fontId="2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</si>
  <si>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</si>
  <si>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</si>
  <si>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</si>
  <si>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</si>
  <si>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</si>
  <si>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</si>
  <si>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</si>
  <si>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</si>
  <si>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</si>
  <si>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</si>
  <si>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</si>
  <si>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</si>
  <si>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</si>
  <si>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</si>
  <si>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</si>
  <si>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</si>
  <si>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</si>
  <si>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BDAY_CALEN_CD</t>
    <phoneticPr fontId="1" type="noConversion"/>
  </si>
  <si>
    <t>COUP_TERM_CD</t>
    <phoneticPr fontId="1" type="noConversion"/>
  </si>
  <si>
    <t>휴일조정방식달력 코드</t>
    <phoneticPr fontId="1" type="noConversion"/>
  </si>
  <si>
    <t>쿠폰스케줄 생성기준 코드</t>
    <phoneticPr fontId="1" type="noConversion"/>
  </si>
  <si>
    <t>COUP_GEN_METH_CD</t>
    <phoneticPr fontId="1" type="noConversion"/>
  </si>
  <si>
    <t>휴일조정방식 코드</t>
    <phoneticPr fontId="1" type="noConversion"/>
  </si>
  <si>
    <t>BDAY_RULE_CD</t>
    <phoneticPr fontId="1" type="noConversion"/>
  </si>
  <si>
    <t>지급일 지연일수</t>
    <phoneticPr fontId="1" type="noConversion"/>
  </si>
  <si>
    <t>0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</si>
  <si>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</si>
  <si>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</si>
  <si>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</si>
  <si>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</si>
  <si>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</si>
  <si>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</si>
  <si>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</si>
  <si>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FLAT 정의</t>
    <phoneticPr fontId="1" type="noConversion"/>
  </si>
  <si>
    <t>FLAT 미정의</t>
    <phoneticPr fontId="1" type="noConversion"/>
  </si>
  <si>
    <t>시장데이터 입수되는 Code Value != 평가 시 Value 명칭 통일?</t>
    <phoneticPr fontId="1" type="noConversion"/>
  </si>
  <si>
    <t>Comment</t>
    <phoneticPr fontId="1" type="noConversion"/>
  </si>
  <si>
    <t>EX) ACT/365 != Actual365Fixed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</si>
  <si>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</si>
  <si>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</si>
  <si>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</si>
  <si>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</si>
  <si>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</si>
  <si>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</si>
  <si>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</si>
  <si>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</si>
  <si>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</si>
  <si>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</si>
  <si>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</si>
  <si>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</si>
  <si>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</si>
  <si>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</si>
  <si>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</si>
  <si>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</si>
  <si>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</si>
  <si>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</si>
  <si>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</si>
  <si>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</si>
  <si>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</si>
  <si>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</si>
  <si>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</si>
  <si>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</si>
  <si>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</si>
  <si>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</si>
  <si>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</si>
  <si>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</si>
  <si>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</si>
  <si>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</si>
  <si>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</si>
  <si>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</si>
  <si>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</si>
  <si>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</si>
  <si>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</si>
  <si>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</si>
  <si>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</si>
  <si>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</si>
  <si>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</si>
  <si>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</si>
  <si>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</si>
  <si>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</si>
  <si>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</si>
  <si>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</si>
  <si>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</si>
  <si>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</si>
  <si>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</si>
  <si>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</si>
  <si>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</si>
  <si>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</si>
  <si>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</si>
  <si>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</si>
  <si>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</si>
  <si>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</si>
  <si>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</si>
  <si>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</si>
  <si>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</si>
  <si>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</si>
  <si>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</si>
  <si>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</si>
  <si>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</si>
  <si>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</si>
  <si>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</si>
  <si>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</si>
  <si>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Currency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</si>
  <si>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</si>
  <si>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</si>
  <si>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</si>
  <si>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</si>
  <si>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</si>
  <si>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</si>
  <si>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Us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</si>
  <si>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</si>
  <si>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</si>
  <si>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</si>
  <si>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</si>
  <si>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</si>
  <si>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</si>
  <si>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</si>
  <si>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</si>
  <si>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</si>
  <si>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</si>
  <si>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</si>
  <si>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</si>
  <si>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</si>
  <si>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</si>
  <si>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</si>
  <si>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</si>
  <si>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</si>
  <si>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</si>
  <si>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</si>
  <si>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</si>
  <si>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</si>
  <si>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</si>
  <si>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</si>
  <si>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</si>
  <si>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</si>
  <si>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</si>
  <si>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</si>
  <si>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</si>
  <si>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</si>
  <si>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</si>
  <si>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</si>
  <si>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</si>
  <si>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</si>
  <si>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6000000000</t>
    <phoneticPr fontId="1" type="noConversion"/>
  </si>
  <si>
    <t>5536303734.68839</t>
    <phoneticPr fontId="1" type="noConversion"/>
  </si>
  <si>
    <t>0.01389</t>
    <phoneticPr fontId="1" type="noConversion"/>
  </si>
  <si>
    <t>LOG_YN (NO:0, YES:1)</t>
    <phoneticPr fontId="1" type="noConversion"/>
  </si>
  <si>
    <t>FRTB Configuration (FX,JTD,..) / Not Used</t>
    <phoneticPr fontId="2" type="noConversion"/>
  </si>
  <si>
    <t>6000000000</t>
  </si>
  <si>
    <t>5</t>
  </si>
  <si>
    <t>0</t>
  </si>
  <si>
    <t>1</t>
  </si>
  <si>
    <t>90|180|360|720|1080|1800|3600|5400|7200|10800</t>
  </si>
  <si>
    <t>0.0337|0.0317|0.0285|0.0272|0.0269|0.0271|0.0278|0.0272|0.0254|0.0222</t>
  </si>
  <si>
    <t>0|0|0|0</t>
  </si>
  <si>
    <t>0.01389</t>
  </si>
  <si>
    <t>180|360|1080|1800|3600</t>
  </si>
  <si>
    <t>0|0|0|0.0005|0.001</t>
  </si>
  <si>
    <t>5536303734.68839</t>
  </si>
  <si>
    <t>45818|46001|46183|46366|46548|46731|46916|47098|47280|47462|47644|47827</t>
  </si>
  <si>
    <t>45636|45818|46001|46183|46366|46548|46731|46916|47098|47280|47462|47644</t>
  </si>
  <si>
    <t>-29283910283.1364</t>
  </si>
  <si>
    <t>171372173213.959</t>
  </si>
  <si>
    <t>5.6809276888116</t>
  </si>
  <si>
    <t>33.2363440863068</t>
  </si>
  <si>
    <t>-2928391.02831364</t>
  </si>
  <si>
    <t>5156421880.61874</t>
  </si>
  <si>
    <t>7|0.25|0.5|1|2|3|5|10|-4264552.09732056|-19800899.181366|-74869488.2011414|-165282018.594742|-390780887.002945|-23331162018.1656|-5300359216.48979</t>
  </si>
  <si>
    <t>5|0.5|1|3|5|10|-24065304.517746|-157511907.281876|-473420892.076492|-23331162018.1656|-5300359216.50887</t>
  </si>
  <si>
    <t>-474016108.724678|523584310.004535</t>
  </si>
  <si>
    <t>-1269997300.92282|1701552142.01329</t>
  </si>
  <si>
    <t>1.38897950828915E-03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</si>
</sst>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_ "/>
    <numFmt numFmtId="177" formatCode="0.0000_ "/>
    <numFmt numFmtId="178" formatCode="_-* #,##0.000000_-;\-* #,##0.000000_-;_-* &quot;-&quot;_-;_-@_-"/>
    <numFmt numFmtId="179" formatCode="0.000"/>
  </numFmts>
  <fonts count="18" x14ac:knownFonts="1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10"/>
      <color theme="0"/>
      <name val="나눔바른펜"/>
      <family val="3"/>
      <charset val="129"/>
    </font>
    <font>
      <sz val="10"/>
      <color rgb="FF0070C0"/>
      <name val="나눔바른펜"/>
      <family val="3"/>
      <charset val="129"/>
    </font>
    <font>
      <sz val="10"/>
      <color rgb="FF0070C0"/>
      <name val="나눔바른펜"/>
      <family val="2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0" xfId="0" applyFont="1" applyFill="1">
      <alignment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3" fillId="7" borderId="6" xfId="0" applyFont="1" applyFill="1" applyBorder="1">
      <alignment vertical="center"/>
    </xf>
    <xf numFmtId="0" fontId="3" fillId="7" borderId="7" xfId="0" applyFont="1" applyFill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14" fontId="3" fillId="0" borderId="1" xfId="0" applyNumberFormat="1" applyFont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2" fontId="3" fillId="0" borderId="1" xfId="0" quotePrefix="1" applyNumberFormat="1" applyFont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0" xfId="0" applyFont="1" applyFill="1">
      <alignment vertical="center"/>
    </xf>
    <xf numFmtId="0" fontId="3" fillId="4" borderId="1" xfId="0" applyFont="1" applyFill="1" applyBorder="1" applyAlignment="1">
      <alignment horizontal="center" vertical="center"/>
    </xf>
    <xf numFmtId="49" fontId="3" fillId="5" borderId="1" xfId="0" applyNumberFormat="1" applyFont="1" applyFill="1" applyBorder="1" applyAlignment="1">
      <alignment horizontal="left" vertical="center"/>
    </xf>
    <xf numFmtId="49" fontId="3" fillId="4" borderId="1" xfId="0" applyNumberFormat="1" applyFont="1" applyFill="1" applyBorder="1" applyAlignment="1">
      <alignment horizontal="left" vertical="center"/>
    </xf>
    <xf numFmtId="9" fontId="3" fillId="0" borderId="1" xfId="0" applyNumberFormat="1" applyFont="1" applyBorder="1">
      <alignment vertical="center"/>
    </xf>
    <xf numFmtId="9" fontId="3" fillId="0" borderId="1" xfId="0" applyNumberFormat="1" applyFont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41" fontId="5" fillId="0" borderId="1" xfId="2" quotePrefix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178" fontId="5" fillId="0" borderId="1" xfId="2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179" fontId="5" fillId="0" borderId="1" xfId="0" quotePrefix="1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5" fillId="6" borderId="0" xfId="0" applyFont="1" applyFill="1">
      <alignment vertical="center"/>
    </xf>
    <xf numFmtId="0" fontId="15" fillId="6" borderId="0" xfId="0" applyFont="1" applyFill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179" fontId="3" fillId="0" borderId="1" xfId="0" quotePrefix="1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17" fillId="0" borderId="0" xfId="0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right" vertical="center"/>
    </xf>
    <xf numFmtId="0" fontId="4" fillId="7" borderId="6" xfId="0" applyFont="1" applyFill="1" applyBorder="1" applyAlignment="1">
      <alignment horizontal="left" vertical="center"/>
    </xf>
    <xf numFmtId="2" fontId="6" fillId="0" borderId="1" xfId="0" quotePrefix="1" applyNumberFormat="1" applyFont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10" fillId="9" borderId="0" xfId="0" applyFont="1" applyFill="1">
      <alignment vertical="center"/>
    </xf>
    <xf numFmtId="0" fontId="10" fillId="9" borderId="0" xfId="0" applyFont="1" applyFill="1" applyAlignment="1">
      <alignment horizontal="left" vertical="center"/>
    </xf>
    <xf numFmtId="0" fontId="8" fillId="6" borderId="0" xfId="0" applyFont="1" applyFill="1" applyAlignment="1">
      <alignment horizontal="left" vertical="center"/>
    </xf>
    <xf numFmtId="0" fontId="4" fillId="7" borderId="8" xfId="0" applyFont="1" applyFill="1" applyBorder="1">
      <alignment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49" fontId="3" fillId="3" borderId="1" xfId="0" applyNumberFormat="1" applyFont="1" applyFill="1" applyBorder="1" applyAlignment="1">
      <alignment horizontal="left" vertical="center"/>
    </xf>
  </cellXfs>
  <cellStyles count="3">
    <cellStyle name="쉼표 [0]" xfId="2" builtinId="6"/>
    <cellStyle name="표준" xfId="0" builtinId="0"/>
    <cellStyle name="표준 2" xfId="1" xr:uid="{BAE2891E-E58E-4F54-9F8D-9ACED42215CE}"/>
  </cellStyles>
  <dxfs count="15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1400175</xdr:colOff>
          <xdr:row>2</xdr:row>
          <xdr:rowOff>152400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AD69"/>
  <sheetViews>
    <sheetView workbookViewId="0">
      <selection activeCell="N43" sqref="N43"/>
    </sheetView>
  </sheetViews>
  <sheetFormatPr defaultColWidth="8.6640625" defaultRowHeight="12.75" x14ac:dyDescent="0.25"/>
  <cols>
    <col min="1" max="1" width="3.1640625" style="1" customWidth="1"/>
    <col min="2" max="2" width="2.5" style="1" customWidth="1"/>
    <col min="3" max="3" width="5.5" style="2" customWidth="1"/>
    <col min="4" max="4" width="32.1640625" style="1" customWidth="1"/>
    <col min="5" max="5" width="25.6640625" style="1" customWidth="1"/>
    <col min="6" max="6" width="25.6640625" style="4" customWidth="1"/>
    <col min="7" max="7" width="4.5" style="1" customWidth="1"/>
    <col min="8" max="9" width="4.6640625" style="1" customWidth="1"/>
    <col min="10" max="30" width="10" style="1" customWidth="1"/>
    <col min="31" max="16384" width="8.6640625" style="1"/>
  </cols>
  <sheetData>
    <row r="1" spans="2:20" x14ac:dyDescent="0.25">
      <c r="H1" s="1" t="s">
        <v>145</v>
      </c>
    </row>
    <row r="2" spans="2:20" s="8" customFormat="1" ht="15.75" x14ac:dyDescent="0.25">
      <c r="B2" s="83" t="s">
        <v>52</v>
      </c>
      <c r="C2" s="83"/>
      <c r="D2" s="83"/>
      <c r="E2" s="83"/>
      <c r="F2" s="83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4" spans="2:20" x14ac:dyDescent="0.25">
      <c r="B4" s="9" t="s">
        <v>5</v>
      </c>
      <c r="C4" s="10"/>
      <c r="D4" s="11"/>
      <c r="E4" s="11"/>
      <c r="F4" s="26"/>
      <c r="H4" s="9" t="s">
        <v>6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2:20" s="3" customFormat="1" x14ac:dyDescent="0.25">
      <c r="C5" s="84" t="s">
        <v>81</v>
      </c>
      <c r="D5" s="84"/>
      <c r="E5" s="84"/>
      <c r="F5" s="84"/>
      <c r="J5" s="36" t="s">
        <v>7</v>
      </c>
      <c r="K5" s="80"/>
      <c r="M5" s="36" t="s">
        <v>108</v>
      </c>
      <c r="N5" s="80"/>
      <c r="P5" s="36"/>
      <c r="Q5" s="80"/>
      <c r="S5" s="36"/>
      <c r="T5" s="80"/>
    </row>
    <row r="6" spans="2:20" s="12" customFormat="1" x14ac:dyDescent="0.25">
      <c r="C6" s="13" t="s">
        <v>3</v>
      </c>
      <c r="D6" s="14" t="s">
        <v>9</v>
      </c>
      <c r="E6" s="14" t="s">
        <v>97</v>
      </c>
      <c r="F6" s="14" t="s">
        <v>2</v>
      </c>
      <c r="G6" s="12" t="s">
        <v>10</v>
      </c>
      <c r="I6" s="3"/>
      <c r="J6" s="5" t="s">
        <v>121</v>
      </c>
      <c r="K6" s="17" t="s">
        <v>147</v>
      </c>
      <c r="L6" s="59"/>
      <c r="M6" s="20"/>
      <c r="N6" s="20"/>
      <c r="P6" s="20"/>
      <c r="Q6" s="20"/>
      <c r="S6" s="20"/>
      <c r="T6" s="20"/>
    </row>
    <row r="7" spans="2:20" x14ac:dyDescent="0.25">
      <c r="C7" s="16">
        <v>1</v>
      </c>
      <c r="D7" s="39" t="s">
        <v>53</v>
      </c>
      <c r="E7" s="39" t="s">
        <v>89</v>
      </c>
      <c r="F7" s="51">
        <v>45657</v>
      </c>
      <c r="G7" s="1" t="s">
        <v>10</v>
      </c>
      <c r="J7" s="5" t="s">
        <v>122</v>
      </c>
      <c r="K7" s="17" t="s">
        <v>149</v>
      </c>
      <c r="L7" s="4"/>
      <c r="M7" s="17"/>
      <c r="N7" s="17"/>
      <c r="P7" s="17"/>
      <c r="Q7" s="17"/>
      <c r="S7" s="17"/>
      <c r="T7" s="17"/>
    </row>
    <row r="8" spans="2:20" x14ac:dyDescent="0.25">
      <c r="C8" s="16">
        <v>2</v>
      </c>
      <c r="D8" s="39" t="s">
        <v>31</v>
      </c>
      <c r="E8" s="39" t="s">
        <v>33</v>
      </c>
      <c r="F8" s="51">
        <v>44175</v>
      </c>
      <c r="G8" s="1" t="s">
        <v>10</v>
      </c>
      <c r="J8" s="5" t="s">
        <v>124</v>
      </c>
      <c r="K8" s="17" t="s">
        <v>151</v>
      </c>
      <c r="L8" s="4"/>
      <c r="M8" s="17"/>
      <c r="N8" s="17"/>
      <c r="P8" s="17"/>
      <c r="Q8" s="17"/>
      <c r="S8" s="17"/>
      <c r="T8" s="17"/>
    </row>
    <row r="9" spans="2:20" x14ac:dyDescent="0.25">
      <c r="C9" s="16">
        <v>3</v>
      </c>
      <c r="D9" s="39" t="s">
        <v>30</v>
      </c>
      <c r="E9" s="39" t="s">
        <v>0</v>
      </c>
      <c r="F9" s="51">
        <v>47827</v>
      </c>
      <c r="G9" s="1" t="s">
        <v>10</v>
      </c>
      <c r="J9" s="5" t="s">
        <v>125</v>
      </c>
      <c r="K9" s="17" t="s">
        <v>153</v>
      </c>
      <c r="L9" s="4"/>
      <c r="M9" s="17"/>
      <c r="N9" s="17"/>
      <c r="P9" s="17"/>
      <c r="Q9" s="17"/>
      <c r="S9" s="17"/>
      <c r="T9" s="17"/>
    </row>
    <row r="10" spans="2:20" x14ac:dyDescent="0.25">
      <c r="B10" s="3"/>
      <c r="C10" s="16">
        <v>4</v>
      </c>
      <c r="D10" s="39" t="s">
        <v>32</v>
      </c>
      <c r="E10" s="39" t="s">
        <v>68</v>
      </c>
      <c r="F10" s="52" t="s">
        <v>290</v>
      </c>
      <c r="G10" s="1" t="s">
        <v>10</v>
      </c>
      <c r="J10" s="17"/>
      <c r="K10" s="17"/>
      <c r="P10" s="2"/>
      <c r="Q10" s="2"/>
    </row>
    <row r="11" spans="2:20" x14ac:dyDescent="0.25">
      <c r="C11" s="16">
        <v>5</v>
      </c>
      <c r="D11" s="39" t="s">
        <v>59</v>
      </c>
      <c r="E11" s="39" t="s">
        <v>35</v>
      </c>
      <c r="F11" s="54">
        <v>1.4999999999999999E-2</v>
      </c>
      <c r="G11" s="1" t="s">
        <v>10</v>
      </c>
      <c r="H11" s="15" t="s">
        <v>11</v>
      </c>
      <c r="I11" s="12"/>
      <c r="J11" s="13" t="s">
        <v>12</v>
      </c>
      <c r="K11" s="13" t="s">
        <v>13</v>
      </c>
      <c r="M11" s="13" t="s">
        <v>12</v>
      </c>
      <c r="N11" s="13" t="s">
        <v>13</v>
      </c>
      <c r="P11" s="13" t="s">
        <v>12</v>
      </c>
      <c r="Q11" s="13" t="s">
        <v>13</v>
      </c>
      <c r="S11" s="13" t="s">
        <v>12</v>
      </c>
      <c r="T11" s="13" t="s">
        <v>13</v>
      </c>
    </row>
    <row r="12" spans="2:20" x14ac:dyDescent="0.25">
      <c r="C12" s="16">
        <v>6</v>
      </c>
      <c r="D12" s="39" t="s">
        <v>95</v>
      </c>
      <c r="E12" s="39" t="s">
        <v>120</v>
      </c>
      <c r="F12" s="54" t="s">
        <v>211</v>
      </c>
      <c r="G12" s="1" t="s">
        <v>10</v>
      </c>
      <c r="H12" s="18">
        <v>1</v>
      </c>
      <c r="I12" s="2"/>
      <c r="J12" s="32">
        <v>90</v>
      </c>
      <c r="K12" s="33">
        <v>3.3700000000000001E-2</v>
      </c>
      <c r="M12" s="32">
        <v>180</v>
      </c>
      <c r="N12" s="33">
        <v>0</v>
      </c>
      <c r="P12" s="32"/>
      <c r="Q12" s="33"/>
      <c r="S12" s="32"/>
      <c r="T12" s="33"/>
    </row>
    <row r="13" spans="2:20" x14ac:dyDescent="0.25">
      <c r="C13" s="16">
        <v>7</v>
      </c>
      <c r="D13" s="39" t="s">
        <v>127</v>
      </c>
      <c r="E13" s="39" t="s">
        <v>117</v>
      </c>
      <c r="F13" s="54" t="s">
        <v>198</v>
      </c>
      <c r="G13" s="1" t="s">
        <v>10</v>
      </c>
      <c r="H13" s="18">
        <v>2</v>
      </c>
      <c r="I13" s="2"/>
      <c r="J13" s="32">
        <v>180</v>
      </c>
      <c r="K13" s="33">
        <v>3.1699999999999999E-2</v>
      </c>
      <c r="M13" s="32">
        <v>360</v>
      </c>
      <c r="N13" s="33">
        <v>0</v>
      </c>
      <c r="P13" s="32"/>
      <c r="Q13" s="33"/>
      <c r="S13" s="32"/>
      <c r="T13" s="33"/>
    </row>
    <row r="14" spans="2:20" x14ac:dyDescent="0.25">
      <c r="C14" s="16">
        <v>8</v>
      </c>
      <c r="D14" s="54" t="s">
        <v>54</v>
      </c>
      <c r="E14" s="54" t="s">
        <v>109</v>
      </c>
      <c r="F14" s="54" t="s">
        <v>231</v>
      </c>
      <c r="G14" s="1" t="s">
        <v>10</v>
      </c>
      <c r="H14" s="18">
        <v>3</v>
      </c>
      <c r="I14" s="2"/>
      <c r="J14" s="32">
        <v>360</v>
      </c>
      <c r="K14" s="33">
        <v>2.8500000000000001E-2</v>
      </c>
      <c r="M14" s="32">
        <v>1080</v>
      </c>
      <c r="N14" s="33">
        <v>0</v>
      </c>
      <c r="P14" s="32"/>
      <c r="Q14" s="33"/>
      <c r="S14" s="32"/>
      <c r="T14" s="33"/>
    </row>
    <row r="15" spans="2:20" x14ac:dyDescent="0.25">
      <c r="C15" s="16">
        <v>9</v>
      </c>
      <c r="D15" s="39" t="s">
        <v>129</v>
      </c>
      <c r="E15" s="54" t="s">
        <v>113</v>
      </c>
      <c r="F15" s="54" t="s">
        <v>154</v>
      </c>
      <c r="G15" s="1" t="s">
        <v>10</v>
      </c>
      <c r="H15" s="18">
        <v>4</v>
      </c>
      <c r="I15" s="2"/>
      <c r="J15" s="32">
        <v>720</v>
      </c>
      <c r="K15" s="33">
        <v>2.7199999999999998E-2</v>
      </c>
      <c r="M15" s="32">
        <v>1800</v>
      </c>
      <c r="N15" s="33">
        <v>5.0000000000000001E-4</v>
      </c>
      <c r="P15" s="32"/>
      <c r="Q15" s="33"/>
      <c r="S15" s="32"/>
      <c r="T15" s="33"/>
    </row>
    <row r="16" spans="2:20" x14ac:dyDescent="0.25">
      <c r="C16" s="16">
        <v>10</v>
      </c>
      <c r="D16" s="39" t="s">
        <v>126</v>
      </c>
      <c r="E16" s="54" t="s">
        <v>114</v>
      </c>
      <c r="F16" s="54" t="s">
        <v>242</v>
      </c>
      <c r="G16" s="1" t="s">
        <v>10</v>
      </c>
      <c r="H16" s="18">
        <v>5</v>
      </c>
      <c r="I16" s="2"/>
      <c r="J16" s="32">
        <v>1080</v>
      </c>
      <c r="K16" s="33">
        <v>2.69E-2</v>
      </c>
      <c r="M16" s="32">
        <v>3600</v>
      </c>
      <c r="N16" s="33">
        <v>1E-3</v>
      </c>
      <c r="P16" s="32"/>
      <c r="Q16" s="33"/>
      <c r="S16" s="32"/>
      <c r="T16" s="33"/>
    </row>
    <row r="17" spans="2:30" x14ac:dyDescent="0.25">
      <c r="B17" s="3"/>
      <c r="C17" s="16">
        <v>11</v>
      </c>
      <c r="D17" s="39" t="s">
        <v>118</v>
      </c>
      <c r="E17" s="39" t="s">
        <v>119</v>
      </c>
      <c r="F17" s="54" t="s">
        <v>172</v>
      </c>
      <c r="G17" s="1" t="s">
        <v>10</v>
      </c>
      <c r="H17" s="18">
        <v>6</v>
      </c>
      <c r="I17" s="2"/>
      <c r="J17" s="32">
        <v>1800</v>
      </c>
      <c r="K17" s="33">
        <v>2.7099999999999999E-2</v>
      </c>
      <c r="M17" s="32"/>
      <c r="N17" s="33"/>
      <c r="P17" s="32"/>
      <c r="Q17" s="33"/>
      <c r="S17" s="32"/>
      <c r="T17" s="33"/>
    </row>
    <row r="18" spans="2:30" x14ac:dyDescent="0.25">
      <c r="C18" s="16">
        <v>12</v>
      </c>
      <c r="D18" s="55" t="s">
        <v>79</v>
      </c>
      <c r="E18" s="55" t="s">
        <v>80</v>
      </c>
      <c r="F18" s="78" t="s">
        <v>83</v>
      </c>
      <c r="G18" s="1" t="s">
        <v>10</v>
      </c>
      <c r="H18" s="18">
        <v>7</v>
      </c>
      <c r="I18" s="2"/>
      <c r="J18" s="32">
        <v>3600</v>
      </c>
      <c r="K18" s="33">
        <v>2.7799999999999998E-2</v>
      </c>
      <c r="M18" s="32"/>
      <c r="N18" s="33"/>
      <c r="P18" s="32"/>
      <c r="Q18" s="33"/>
      <c r="S18" s="32"/>
      <c r="T18" s="33"/>
    </row>
    <row r="19" spans="2:30" x14ac:dyDescent="0.25">
      <c r="C19" s="16">
        <v>13</v>
      </c>
      <c r="D19" s="55" t="s">
        <v>77</v>
      </c>
      <c r="E19" s="55" t="s">
        <v>115</v>
      </c>
      <c r="F19" s="58" t="s">
        <v>82</v>
      </c>
      <c r="G19" s="1" t="s">
        <v>10</v>
      </c>
      <c r="H19" s="18">
        <v>8</v>
      </c>
      <c r="I19" s="2"/>
      <c r="J19" s="32">
        <v>5400</v>
      </c>
      <c r="K19" s="33">
        <v>2.7199999999999998E-2</v>
      </c>
      <c r="M19" s="32"/>
      <c r="N19" s="33"/>
      <c r="P19" s="32"/>
      <c r="Q19" s="33"/>
      <c r="S19" s="32"/>
      <c r="T19" s="33"/>
    </row>
    <row r="20" spans="2:30" x14ac:dyDescent="0.25">
      <c r="B20" s="3"/>
      <c r="C20" s="16">
        <v>14</v>
      </c>
      <c r="D20" s="39" t="s">
        <v>128</v>
      </c>
      <c r="E20" s="39" t="s">
        <v>92</v>
      </c>
      <c r="F20" s="57" t="s">
        <v>292</v>
      </c>
      <c r="G20" s="1" t="s">
        <v>10</v>
      </c>
      <c r="H20" s="18">
        <v>9</v>
      </c>
      <c r="I20" s="2"/>
      <c r="J20" s="32">
        <v>7200</v>
      </c>
      <c r="K20" s="33">
        <v>2.5399999999999999E-2</v>
      </c>
      <c r="M20" s="32"/>
      <c r="N20" s="33"/>
      <c r="P20" s="32"/>
      <c r="Q20" s="33"/>
      <c r="S20" s="32"/>
      <c r="T20" s="33"/>
    </row>
    <row r="21" spans="2:30" x14ac:dyDescent="0.25">
      <c r="C21" s="16">
        <v>15</v>
      </c>
      <c r="D21" s="55" t="s">
        <v>78</v>
      </c>
      <c r="E21" s="55" t="s">
        <v>116</v>
      </c>
      <c r="F21" s="56" t="s">
        <v>108</v>
      </c>
      <c r="G21" s="1" t="s">
        <v>10</v>
      </c>
      <c r="H21" s="21">
        <v>10</v>
      </c>
      <c r="I21" s="2"/>
      <c r="J21" s="32">
        <v>10800</v>
      </c>
      <c r="K21" s="33">
        <v>2.2200000000000001E-2</v>
      </c>
      <c r="M21" s="32"/>
      <c r="N21" s="33"/>
      <c r="P21" s="32"/>
      <c r="Q21" s="33"/>
      <c r="S21" s="32"/>
      <c r="T21" s="33"/>
    </row>
    <row r="22" spans="2:30" x14ac:dyDescent="0.25">
      <c r="C22" s="16">
        <v>16</v>
      </c>
      <c r="D22" s="39" t="s">
        <v>36</v>
      </c>
      <c r="E22" s="39" t="s">
        <v>70</v>
      </c>
      <c r="F22" s="52" t="s">
        <v>291</v>
      </c>
      <c r="G22" s="1" t="s">
        <v>10</v>
      </c>
    </row>
    <row r="23" spans="2:30" x14ac:dyDescent="0.25">
      <c r="C23" s="16">
        <v>17</v>
      </c>
      <c r="D23" s="17" t="s">
        <v>140</v>
      </c>
      <c r="E23" s="17" t="s">
        <v>142</v>
      </c>
      <c r="F23" s="73" t="s">
        <v>141</v>
      </c>
      <c r="G23" s="1" t="s">
        <v>10</v>
      </c>
    </row>
    <row r="24" spans="2:30" x14ac:dyDescent="0.25">
      <c r="C24" s="1"/>
      <c r="F24" s="1"/>
      <c r="G24" s="1" t="s">
        <v>10</v>
      </c>
    </row>
    <row r="25" spans="2:30" x14ac:dyDescent="0.25">
      <c r="C25" s="1"/>
      <c r="F25" s="1"/>
      <c r="G25" s="1" t="s">
        <v>10</v>
      </c>
      <c r="H25" s="9" t="s">
        <v>14</v>
      </c>
      <c r="I25" s="9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</row>
    <row r="26" spans="2:30" x14ac:dyDescent="0.25">
      <c r="C26" s="1"/>
      <c r="F26" s="1"/>
      <c r="J26" s="36" t="s">
        <v>73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5"/>
    </row>
    <row r="27" spans="2:30" x14ac:dyDescent="0.25">
      <c r="C27" s="1"/>
      <c r="F27" s="1"/>
      <c r="G27" s="1" t="s">
        <v>10</v>
      </c>
      <c r="H27" s="15" t="s">
        <v>11</v>
      </c>
      <c r="J27" s="24" t="s">
        <v>11</v>
      </c>
      <c r="K27" s="6">
        <v>1</v>
      </c>
      <c r="L27" s="6">
        <v>2</v>
      </c>
      <c r="M27" s="6">
        <v>3</v>
      </c>
      <c r="N27" s="6">
        <v>4</v>
      </c>
      <c r="O27" s="6">
        <v>5</v>
      </c>
      <c r="P27" s="6">
        <v>6</v>
      </c>
      <c r="Q27" s="6">
        <v>7</v>
      </c>
      <c r="R27" s="6">
        <v>8</v>
      </c>
      <c r="S27" s="37">
        <v>9</v>
      </c>
      <c r="T27" s="37">
        <v>10</v>
      </c>
      <c r="U27" s="37">
        <v>11</v>
      </c>
      <c r="V27" s="37">
        <v>12</v>
      </c>
      <c r="W27" s="37">
        <v>13</v>
      </c>
      <c r="X27" s="37">
        <v>14</v>
      </c>
      <c r="Y27" s="37">
        <v>15</v>
      </c>
      <c r="Z27" s="37">
        <v>16</v>
      </c>
      <c r="AA27" s="37">
        <v>17</v>
      </c>
      <c r="AB27" s="37">
        <v>18</v>
      </c>
      <c r="AC27" s="37">
        <v>19</v>
      </c>
      <c r="AD27" s="37">
        <v>20</v>
      </c>
    </row>
    <row r="28" spans="2:30" x14ac:dyDescent="0.25">
      <c r="C28" s="1"/>
      <c r="F28" s="1"/>
      <c r="G28" s="1" t="s">
        <v>10</v>
      </c>
      <c r="H28" s="18">
        <v>1</v>
      </c>
      <c r="J28" s="24" t="s">
        <v>74</v>
      </c>
      <c r="K28" s="29">
        <v>45818</v>
      </c>
      <c r="L28" s="38">
        <v>46001</v>
      </c>
      <c r="M28" s="38">
        <v>46183</v>
      </c>
      <c r="N28" s="38">
        <v>46366</v>
      </c>
      <c r="O28" s="38">
        <v>46548</v>
      </c>
      <c r="P28" s="38">
        <v>46731</v>
      </c>
      <c r="Q28" s="38">
        <v>46916</v>
      </c>
      <c r="R28" s="38">
        <v>47098</v>
      </c>
      <c r="S28" s="38">
        <v>47280</v>
      </c>
      <c r="T28" s="38">
        <v>47462</v>
      </c>
      <c r="U28" s="38">
        <v>47644</v>
      </c>
      <c r="V28" s="38">
        <v>47827</v>
      </c>
      <c r="W28" s="32"/>
      <c r="X28" s="32"/>
      <c r="Y28" s="32"/>
      <c r="Z28" s="32"/>
      <c r="AA28" s="32"/>
      <c r="AB28" s="32"/>
      <c r="AC28" s="32"/>
      <c r="AD28" s="32"/>
    </row>
    <row r="29" spans="2:30" x14ac:dyDescent="0.25">
      <c r="C29" s="1"/>
      <c r="F29" s="1"/>
      <c r="G29" s="1" t="s">
        <v>10</v>
      </c>
      <c r="H29" s="18">
        <v>2</v>
      </c>
      <c r="J29" s="24" t="s">
        <v>75</v>
      </c>
      <c r="K29" s="29">
        <v>45636</v>
      </c>
      <c r="L29" s="38">
        <v>45818</v>
      </c>
      <c r="M29" s="38">
        <v>46001</v>
      </c>
      <c r="N29" s="38">
        <v>46183</v>
      </c>
      <c r="O29" s="38">
        <v>46366</v>
      </c>
      <c r="P29" s="38">
        <v>46548</v>
      </c>
      <c r="Q29" s="38">
        <v>46731</v>
      </c>
      <c r="R29" s="38">
        <v>46916</v>
      </c>
      <c r="S29" s="38">
        <v>47098</v>
      </c>
      <c r="T29" s="38">
        <v>47280</v>
      </c>
      <c r="U29" s="38">
        <v>47462</v>
      </c>
      <c r="V29" s="38">
        <v>47644</v>
      </c>
      <c r="W29" s="32"/>
      <c r="X29" s="32"/>
      <c r="Y29" s="32"/>
      <c r="Z29" s="32"/>
      <c r="AA29" s="32"/>
      <c r="AB29" s="32"/>
      <c r="AC29" s="32"/>
      <c r="AD29" s="32"/>
    </row>
    <row r="30" spans="2:30" x14ac:dyDescent="0.25">
      <c r="C30" s="1"/>
      <c r="F30" s="1"/>
      <c r="H30" s="21">
        <v>3</v>
      </c>
      <c r="J30" s="24" t="s">
        <v>76</v>
      </c>
      <c r="K30" s="29">
        <v>45818</v>
      </c>
      <c r="L30" s="38">
        <v>46001</v>
      </c>
      <c r="M30" s="38">
        <v>46183</v>
      </c>
      <c r="N30" s="38">
        <v>46366</v>
      </c>
      <c r="O30" s="38">
        <v>46548</v>
      </c>
      <c r="P30" s="38">
        <v>46731</v>
      </c>
      <c r="Q30" s="38">
        <v>46916</v>
      </c>
      <c r="R30" s="38">
        <v>47098</v>
      </c>
      <c r="S30" s="38">
        <v>47280</v>
      </c>
      <c r="T30" s="38">
        <v>47462</v>
      </c>
      <c r="U30" s="38">
        <v>47644</v>
      </c>
      <c r="V30" s="38">
        <v>47827</v>
      </c>
      <c r="W30" s="32"/>
      <c r="X30" s="32"/>
      <c r="Y30" s="32"/>
      <c r="Z30" s="32"/>
      <c r="AA30" s="32"/>
      <c r="AB30" s="32"/>
      <c r="AC30" s="32"/>
      <c r="AD30" s="32"/>
    </row>
    <row r="31" spans="2:30" x14ac:dyDescent="0.25">
      <c r="C31" s="1"/>
      <c r="F31" s="1"/>
    </row>
    <row r="32" spans="2:30" x14ac:dyDescent="0.25">
      <c r="C32" s="1"/>
      <c r="F32" s="1"/>
      <c r="J32" s="36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5"/>
    </row>
    <row r="33" spans="3:30" x14ac:dyDescent="0.25">
      <c r="C33" s="1"/>
      <c r="F33" s="1"/>
      <c r="H33" s="15" t="s">
        <v>11</v>
      </c>
      <c r="J33" s="24" t="s">
        <v>11</v>
      </c>
      <c r="K33" s="6"/>
      <c r="L33" s="6"/>
      <c r="M33" s="6"/>
      <c r="N33" s="6"/>
      <c r="O33" s="6"/>
      <c r="P33" s="6"/>
      <c r="Q33" s="6"/>
      <c r="R33" s="6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</row>
    <row r="34" spans="3:30" x14ac:dyDescent="0.25">
      <c r="C34" s="1"/>
      <c r="F34" s="1"/>
      <c r="H34" s="18">
        <v>1</v>
      </c>
      <c r="J34" s="24" t="s">
        <v>74</v>
      </c>
      <c r="K34" s="29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2"/>
      <c r="X34" s="32"/>
      <c r="Y34" s="32"/>
      <c r="Z34" s="32"/>
      <c r="AA34" s="32"/>
      <c r="AB34" s="32"/>
      <c r="AC34" s="32"/>
      <c r="AD34" s="32"/>
    </row>
    <row r="35" spans="3:30" x14ac:dyDescent="0.25">
      <c r="C35" s="1"/>
      <c r="F35" s="1"/>
      <c r="H35" s="18">
        <v>2</v>
      </c>
      <c r="J35" s="24" t="s">
        <v>75</v>
      </c>
      <c r="K35" s="29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2"/>
      <c r="X35" s="32"/>
      <c r="Y35" s="32"/>
      <c r="Z35" s="32"/>
      <c r="AA35" s="32"/>
      <c r="AB35" s="32"/>
      <c r="AC35" s="32"/>
      <c r="AD35" s="32"/>
    </row>
    <row r="36" spans="3:30" x14ac:dyDescent="0.25">
      <c r="C36" s="1"/>
      <c r="H36" s="21">
        <v>3</v>
      </c>
      <c r="J36" s="24" t="s">
        <v>76</v>
      </c>
      <c r="K36" s="29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2"/>
      <c r="X36" s="32"/>
      <c r="Y36" s="32"/>
      <c r="Z36" s="32"/>
      <c r="AA36" s="32"/>
      <c r="AB36" s="32"/>
      <c r="AC36" s="32"/>
      <c r="AD36" s="32"/>
    </row>
    <row r="37" spans="3:30" x14ac:dyDescent="0.25">
      <c r="C37" s="1"/>
      <c r="F37" s="1"/>
    </row>
    <row r="38" spans="3:30" x14ac:dyDescent="0.25">
      <c r="C38" s="1"/>
      <c r="F38" s="1"/>
      <c r="J38" s="36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5"/>
    </row>
    <row r="39" spans="3:30" x14ac:dyDescent="0.25">
      <c r="C39" s="1"/>
      <c r="F39" s="1"/>
      <c r="H39" s="15" t="s">
        <v>11</v>
      </c>
      <c r="J39" s="24" t="s">
        <v>11</v>
      </c>
      <c r="K39" s="6"/>
      <c r="L39" s="6"/>
      <c r="M39" s="6"/>
      <c r="N39" s="6"/>
      <c r="O39" s="6"/>
      <c r="P39" s="6"/>
      <c r="Q39" s="6"/>
      <c r="R39" s="6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</row>
    <row r="40" spans="3:30" x14ac:dyDescent="0.25">
      <c r="C40" s="1"/>
      <c r="F40" s="1"/>
      <c r="H40" s="18">
        <v>1</v>
      </c>
      <c r="J40" s="24" t="s">
        <v>74</v>
      </c>
      <c r="K40" s="29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2"/>
      <c r="X40" s="32"/>
      <c r="Y40" s="32"/>
      <c r="Z40" s="32"/>
      <c r="AA40" s="32"/>
      <c r="AB40" s="32"/>
      <c r="AC40" s="32"/>
      <c r="AD40" s="32"/>
    </row>
    <row r="41" spans="3:30" x14ac:dyDescent="0.25">
      <c r="C41" s="1"/>
      <c r="F41" s="1"/>
      <c r="H41" s="18">
        <v>2</v>
      </c>
      <c r="J41" s="24" t="s">
        <v>75</v>
      </c>
      <c r="K41" s="29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2"/>
      <c r="X41" s="32"/>
      <c r="Y41" s="32"/>
      <c r="Z41" s="32"/>
      <c r="AA41" s="32"/>
      <c r="AB41" s="32"/>
      <c r="AC41" s="32"/>
      <c r="AD41" s="32"/>
    </row>
    <row r="42" spans="3:30" x14ac:dyDescent="0.25">
      <c r="C42" s="1"/>
      <c r="F42" s="1"/>
      <c r="H42" s="21">
        <v>3</v>
      </c>
      <c r="J42" s="24" t="s">
        <v>76</v>
      </c>
      <c r="K42" s="29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2"/>
      <c r="X42" s="32"/>
      <c r="Y42" s="32"/>
      <c r="Z42" s="32"/>
      <c r="AA42" s="32"/>
      <c r="AB42" s="32"/>
      <c r="AC42" s="32"/>
      <c r="AD42" s="32"/>
    </row>
    <row r="43" spans="3:30" x14ac:dyDescent="0.25">
      <c r="C43" s="1"/>
      <c r="F43" s="1"/>
    </row>
    <row r="44" spans="3:30" x14ac:dyDescent="0.25">
      <c r="C44" s="1"/>
      <c r="F44" s="1"/>
    </row>
    <row r="45" spans="3:30" x14ac:dyDescent="0.25">
      <c r="C45" s="1"/>
      <c r="F45" s="1"/>
    </row>
    <row r="46" spans="3:30" x14ac:dyDescent="0.25">
      <c r="C46" s="1"/>
      <c r="F46" s="1"/>
    </row>
    <row r="47" spans="3:30" x14ac:dyDescent="0.25">
      <c r="C47" s="1"/>
      <c r="F47" s="1"/>
    </row>
    <row r="48" spans="3:30" x14ac:dyDescent="0.25">
      <c r="C48" s="1"/>
      <c r="F48" s="1"/>
    </row>
    <row r="49" spans="3:6" x14ac:dyDescent="0.25">
      <c r="C49" s="1"/>
      <c r="F49" s="1"/>
    </row>
    <row r="50" spans="3:6" x14ac:dyDescent="0.25">
      <c r="C50" s="1"/>
      <c r="F50" s="1"/>
    </row>
    <row r="51" spans="3:6" x14ac:dyDescent="0.25">
      <c r="C51" s="1"/>
      <c r="F51" s="1"/>
    </row>
    <row r="52" spans="3:6" x14ac:dyDescent="0.25">
      <c r="C52" s="1"/>
      <c r="F52" s="1"/>
    </row>
    <row r="53" spans="3:6" x14ac:dyDescent="0.25">
      <c r="C53" s="1"/>
      <c r="F53" s="1"/>
    </row>
    <row r="54" spans="3:6" x14ac:dyDescent="0.25">
      <c r="C54" s="1"/>
      <c r="F54" s="1"/>
    </row>
    <row r="58" spans="3:6" x14ac:dyDescent="0.25">
      <c r="F58" s="1"/>
    </row>
    <row r="68" spans="5:5" x14ac:dyDescent="0.25">
      <c r="E68" s="3"/>
    </row>
    <row r="69" spans="5:5" x14ac:dyDescent="0.25">
      <c r="E69" s="3"/>
    </row>
  </sheetData>
  <mergeCells count="2">
    <mergeCell ref="B2:F2"/>
    <mergeCell ref="C5:F5"/>
  </mergeCells>
  <phoneticPr fontId="1" type="noConversion"/>
  <conditionalFormatting sqref="D45">
    <cfRule type="expression" dxfId="14" priority="16">
      <formula>$C45&lt;&gt;$C44</formula>
    </cfRule>
  </conditionalFormatting>
  <conditionalFormatting sqref="D45">
    <cfRule type="expression" dxfId="13" priority="17">
      <formula>$S51="Y"</formula>
    </cfRule>
  </conditionalFormatting>
  <conditionalFormatting sqref="E45">
    <cfRule type="expression" dxfId="12" priority="14">
      <formula>$C45&lt;&gt;$C44</formula>
    </cfRule>
  </conditionalFormatting>
  <conditionalFormatting sqref="E45">
    <cfRule type="expression" dxfId="11" priority="15">
      <formula>$S51="Y"</formula>
    </cfRule>
  </conditionalFormatting>
  <conditionalFormatting sqref="K6">
    <cfRule type="expression" dxfId="10" priority="5">
      <formula>$K6="GROUP"</formula>
    </cfRule>
  </conditionalFormatting>
  <conditionalFormatting sqref="K7">
    <cfRule type="expression" dxfId="9" priority="4">
      <formula>$K7="GROUP"</formula>
    </cfRule>
  </conditionalFormatting>
  <conditionalFormatting sqref="K8">
    <cfRule type="expression" dxfId="8" priority="3">
      <formula>$K8="GROUP"</formula>
    </cfRule>
  </conditionalFormatting>
  <conditionalFormatting sqref="K9">
    <cfRule type="expression" dxfId="7" priority="2">
      <formula>$K9="GROUP"</formula>
    </cfRule>
  </conditionalFormatting>
  <conditionalFormatting sqref="F11:F18">
    <cfRule type="expression" dxfId="6" priority="1">
      <formula>$K11="GROUP"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2:Z88"/>
  <sheetViews>
    <sheetView tabSelected="1" topLeftCell="A7" workbookViewId="0">
      <selection activeCell="F19" sqref="F19"/>
    </sheetView>
  </sheetViews>
  <sheetFormatPr defaultColWidth="8.6640625" defaultRowHeight="12.75" x14ac:dyDescent="0.25"/>
  <cols>
    <col min="1" max="1" width="3.1640625" style="1" customWidth="1"/>
    <col min="2" max="2" width="2.5" style="1" customWidth="1"/>
    <col min="3" max="3" width="5.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25" width="13.33203125" style="1" customWidth="1"/>
    <col min="26" max="16384" width="8.6640625" style="1"/>
  </cols>
  <sheetData>
    <row r="2" spans="1:26" s="8" customFormat="1" ht="15.75" x14ac:dyDescent="0.25">
      <c r="A2" s="1"/>
      <c r="B2" s="83" t="s">
        <v>98</v>
      </c>
      <c r="C2" s="83"/>
      <c r="D2" s="83"/>
      <c r="E2" s="83"/>
      <c r="F2" s="83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 x14ac:dyDescent="0.25">
      <c r="B4" s="9" t="s">
        <v>107</v>
      </c>
      <c r="C4" s="10"/>
      <c r="D4" s="11"/>
      <c r="E4" s="26"/>
      <c r="F4" s="26"/>
      <c r="H4" s="9" t="s">
        <v>15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 x14ac:dyDescent="0.25">
      <c r="C5" s="85" t="str">
        <f>Trade!C5</f>
        <v>FRB000001</v>
      </c>
      <c r="D5" s="85"/>
      <c r="E5" s="85"/>
      <c r="F5" s="86"/>
      <c r="J5" s="77" t="s">
        <v>146</v>
      </c>
      <c r="K5" s="79"/>
      <c r="M5" s="77" t="s">
        <v>106</v>
      </c>
      <c r="N5" s="79"/>
    </row>
    <row r="6" spans="1:26" s="12" customFormat="1" x14ac:dyDescent="0.25">
      <c r="A6" s="1"/>
      <c r="C6" s="13" t="s">
        <v>8</v>
      </c>
      <c r="D6" s="14" t="s">
        <v>9</v>
      </c>
      <c r="E6" s="14" t="s">
        <v>16</v>
      </c>
      <c r="F6" s="14" t="s">
        <v>13</v>
      </c>
      <c r="G6" s="12" t="s">
        <v>10</v>
      </c>
      <c r="H6" s="15" t="s">
        <v>11</v>
      </c>
      <c r="J6" s="13" t="s">
        <v>17</v>
      </c>
      <c r="K6" s="13" t="s">
        <v>13</v>
      </c>
      <c r="M6" s="13" t="s">
        <v>17</v>
      </c>
      <c r="N6" s="13" t="s">
        <v>13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C7" s="60">
        <v>1</v>
      </c>
      <c r="D7" s="17" t="s">
        <v>18</v>
      </c>
      <c r="E7" s="19" t="s">
        <v>101</v>
      </c>
      <c r="F7" s="40" t="s">
        <v>313</v>
      </c>
      <c r="G7" s="1" t="s">
        <v>10</v>
      </c>
      <c r="H7" s="18">
        <v>1</v>
      </c>
      <c r="I7" s="2"/>
      <c r="J7" s="41"/>
      <c r="K7" s="41"/>
      <c r="M7" s="41"/>
      <c r="N7" s="41"/>
    </row>
    <row r="8" spans="1:26" x14ac:dyDescent="0.25">
      <c r="C8" s="60">
        <v>2</v>
      </c>
      <c r="D8" s="30" t="s">
        <v>15</v>
      </c>
      <c r="E8" s="44" t="s">
        <v>101</v>
      </c>
      <c r="F8" s="47" t="s">
        <v>308</v>
      </c>
      <c r="G8" s="1" t="s">
        <v>10</v>
      </c>
      <c r="H8" s="18">
        <v>2</v>
      </c>
      <c r="I8" s="2"/>
      <c r="J8" s="41"/>
      <c r="K8" s="41"/>
      <c r="M8" s="41"/>
      <c r="N8" s="41"/>
    </row>
    <row r="9" spans="1:26" x14ac:dyDescent="0.25">
      <c r="C9" s="60">
        <v>3</v>
      </c>
      <c r="D9" s="37" t="s">
        <v>19</v>
      </c>
      <c r="E9" s="46" t="s">
        <v>102</v>
      </c>
      <c r="F9" s="48"/>
      <c r="G9" s="1" t="s">
        <v>10</v>
      </c>
      <c r="H9" s="18">
        <v>3</v>
      </c>
      <c r="I9" s="2"/>
      <c r="J9" s="41"/>
      <c r="K9" s="41"/>
      <c r="M9" s="41"/>
      <c r="N9" s="41"/>
    </row>
    <row r="10" spans="1:26" x14ac:dyDescent="0.25">
      <c r="B10" s="3"/>
      <c r="C10" s="60">
        <v>4</v>
      </c>
      <c r="D10" s="30" t="s">
        <v>20</v>
      </c>
      <c r="E10" s="44" t="s">
        <v>101</v>
      </c>
      <c r="F10" s="47" t="s">
        <v>309</v>
      </c>
      <c r="G10" s="1" t="s">
        <v>10</v>
      </c>
      <c r="H10" s="18">
        <v>4</v>
      </c>
      <c r="I10" s="2"/>
      <c r="J10" s="41"/>
      <c r="K10" s="41"/>
      <c r="M10" s="41"/>
      <c r="N10" s="41"/>
    </row>
    <row r="11" spans="1:26" x14ac:dyDescent="0.25">
      <c r="C11" s="60">
        <v>5</v>
      </c>
      <c r="D11" s="30" t="s">
        <v>37</v>
      </c>
      <c r="E11" s="44" t="s">
        <v>101</v>
      </c>
      <c r="F11" s="47" t="s">
        <v>310</v>
      </c>
      <c r="G11" s="1" t="s">
        <v>10</v>
      </c>
      <c r="H11" s="18">
        <v>5</v>
      </c>
      <c r="I11" s="2"/>
      <c r="J11" s="41"/>
      <c r="K11" s="41"/>
      <c r="M11" s="41"/>
      <c r="N11" s="41"/>
    </row>
    <row r="12" spans="1:26" x14ac:dyDescent="0.25">
      <c r="C12" s="60">
        <v>6</v>
      </c>
      <c r="D12" s="30" t="s">
        <v>100</v>
      </c>
      <c r="E12" s="44" t="s">
        <v>101</v>
      </c>
      <c r="F12" s="47" t="s">
        <v>311</v>
      </c>
      <c r="G12" s="1" t="s">
        <v>10</v>
      </c>
      <c r="H12" s="18">
        <v>6</v>
      </c>
      <c r="I12" s="2"/>
      <c r="M12" s="41"/>
      <c r="N12" s="41"/>
    </row>
    <row r="13" spans="1:26" x14ac:dyDescent="0.25">
      <c r="C13" s="60">
        <v>7</v>
      </c>
      <c r="D13" s="30" t="s">
        <v>38</v>
      </c>
      <c r="E13" s="44" t="s">
        <v>101</v>
      </c>
      <c r="F13" s="47" t="s">
        <v>312</v>
      </c>
      <c r="G13" s="1" t="s">
        <v>10</v>
      </c>
      <c r="H13" s="18">
        <v>6</v>
      </c>
      <c r="I13" s="2"/>
      <c r="M13" s="41"/>
      <c r="N13" s="41"/>
    </row>
    <row r="14" spans="1:26" x14ac:dyDescent="0.25">
      <c r="C14" s="60">
        <v>8</v>
      </c>
      <c r="D14" s="17" t="s">
        <v>28</v>
      </c>
      <c r="E14" s="19" t="s">
        <v>101</v>
      </c>
      <c r="F14" s="40" t="s">
        <v>314</v>
      </c>
      <c r="G14" s="1" t="s">
        <v>10</v>
      </c>
      <c r="H14" s="18">
        <v>7</v>
      </c>
      <c r="I14" s="2"/>
      <c r="M14" s="41"/>
      <c r="N14" s="41"/>
    </row>
    <row r="15" spans="1:26" x14ac:dyDescent="0.25">
      <c r="C15" s="60">
        <v>9</v>
      </c>
      <c r="D15" s="17" t="s">
        <v>39</v>
      </c>
      <c r="E15" s="19" t="s">
        <v>101</v>
      </c>
      <c r="F15" s="40" t="s">
        <v>315</v>
      </c>
      <c r="G15" s="1" t="s">
        <v>10</v>
      </c>
      <c r="H15" s="18">
        <v>8</v>
      </c>
      <c r="I15" s="2"/>
      <c r="M15" s="41"/>
      <c r="N15" s="41"/>
    </row>
    <row r="16" spans="1:26" x14ac:dyDescent="0.25">
      <c r="C16" s="60">
        <v>10</v>
      </c>
      <c r="D16" s="37" t="s">
        <v>29</v>
      </c>
      <c r="E16" s="46" t="s">
        <v>102</v>
      </c>
      <c r="F16" s="48"/>
      <c r="G16" s="1" t="s">
        <v>10</v>
      </c>
      <c r="H16" s="18">
        <v>9</v>
      </c>
      <c r="I16" s="2"/>
      <c r="M16" s="41"/>
      <c r="N16" s="41"/>
    </row>
    <row r="17" spans="2:25" x14ac:dyDescent="0.25">
      <c r="C17" s="60">
        <v>11</v>
      </c>
      <c r="D17" s="37" t="s">
        <v>40</v>
      </c>
      <c r="E17" s="46" t="s">
        <v>102</v>
      </c>
      <c r="F17" s="48"/>
      <c r="G17" s="1" t="s">
        <v>10</v>
      </c>
      <c r="H17" s="18">
        <v>10</v>
      </c>
      <c r="I17" s="2"/>
      <c r="M17" s="41"/>
      <c r="N17" s="41"/>
    </row>
    <row r="18" spans="2:25" x14ac:dyDescent="0.25">
      <c r="B18" s="3"/>
      <c r="C18" s="60">
        <v>12</v>
      </c>
      <c r="D18" s="37" t="s">
        <v>41</v>
      </c>
      <c r="E18" s="46" t="s">
        <v>102</v>
      </c>
      <c r="F18" s="48"/>
      <c r="G18" s="1" t="s">
        <v>10</v>
      </c>
      <c r="H18" s="21">
        <v>11</v>
      </c>
      <c r="I18" s="2"/>
      <c r="M18" s="41"/>
      <c r="N18" s="41"/>
    </row>
    <row r="19" spans="2:25" x14ac:dyDescent="0.25">
      <c r="C19" s="60">
        <v>13</v>
      </c>
      <c r="D19" s="37" t="s">
        <v>42</v>
      </c>
      <c r="E19" s="46" t="s">
        <v>102</v>
      </c>
      <c r="F19" s="48"/>
      <c r="G19" s="1" t="s">
        <v>10</v>
      </c>
    </row>
    <row r="20" spans="2:25" x14ac:dyDescent="0.25">
      <c r="C20" s="60">
        <v>14</v>
      </c>
      <c r="D20" s="37" t="s">
        <v>43</v>
      </c>
      <c r="E20" s="46" t="s">
        <v>102</v>
      </c>
      <c r="F20" s="48"/>
      <c r="G20" s="1" t="s">
        <v>10</v>
      </c>
    </row>
    <row r="21" spans="2:25" x14ac:dyDescent="0.25">
      <c r="B21" s="3"/>
      <c r="C21" s="60">
        <v>15</v>
      </c>
      <c r="D21" s="37" t="s">
        <v>44</v>
      </c>
      <c r="E21" s="46" t="s">
        <v>102</v>
      </c>
      <c r="F21" s="48"/>
      <c r="G21" s="1" t="s">
        <v>10</v>
      </c>
      <c r="H21" s="9" t="s">
        <v>21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 x14ac:dyDescent="0.25">
      <c r="C22" s="60">
        <v>16</v>
      </c>
      <c r="D22" s="37" t="s">
        <v>45</v>
      </c>
      <c r="E22" s="46" t="s">
        <v>102</v>
      </c>
      <c r="F22" s="48"/>
      <c r="G22" s="1" t="s">
        <v>10</v>
      </c>
      <c r="J22" s="77" t="s">
        <v>106</v>
      </c>
      <c r="K22" s="77"/>
    </row>
    <row r="23" spans="2:25" x14ac:dyDescent="0.25">
      <c r="C23" s="60">
        <v>17</v>
      </c>
      <c r="D23" s="17" t="s">
        <v>46</v>
      </c>
      <c r="E23" s="19" t="s">
        <v>101</v>
      </c>
      <c r="F23" s="40" t="s">
        <v>316</v>
      </c>
      <c r="G23" s="1" t="s">
        <v>10</v>
      </c>
      <c r="H23" s="15" t="s">
        <v>11</v>
      </c>
      <c r="J23" s="24" t="s">
        <v>103</v>
      </c>
      <c r="K23" s="24" t="s">
        <v>13</v>
      </c>
    </row>
    <row r="24" spans="2:25" x14ac:dyDescent="0.25">
      <c r="C24" s="60">
        <v>18</v>
      </c>
      <c r="D24" s="17" t="s">
        <v>133</v>
      </c>
      <c r="E24" s="19" t="s">
        <v>101</v>
      </c>
      <c r="F24" s="40" t="s">
        <v>317</v>
      </c>
      <c r="G24" s="1" t="s">
        <v>10</v>
      </c>
      <c r="H24" s="18">
        <v>1</v>
      </c>
      <c r="J24" s="6" t="s">
        <v>104</v>
      </c>
      <c r="K24" s="17"/>
    </row>
    <row r="25" spans="2:25" x14ac:dyDescent="0.25">
      <c r="C25" s="60">
        <v>19</v>
      </c>
      <c r="D25" s="37" t="s">
        <v>47</v>
      </c>
      <c r="E25" s="46" t="s">
        <v>101</v>
      </c>
      <c r="F25" s="48"/>
      <c r="G25" s="1" t="s">
        <v>10</v>
      </c>
      <c r="H25" s="21">
        <v>5</v>
      </c>
      <c r="J25" s="6" t="s">
        <v>105</v>
      </c>
      <c r="K25" s="17"/>
    </row>
    <row r="26" spans="2:25" x14ac:dyDescent="0.25">
      <c r="C26" s="60">
        <v>20</v>
      </c>
      <c r="D26" s="37" t="s">
        <v>48</v>
      </c>
      <c r="E26" s="46" t="s">
        <v>101</v>
      </c>
      <c r="F26" s="48"/>
      <c r="G26" s="1" t="s">
        <v>10</v>
      </c>
    </row>
    <row r="27" spans="2:25" x14ac:dyDescent="0.25">
      <c r="C27" s="60">
        <v>21</v>
      </c>
      <c r="D27" s="37" t="s">
        <v>49</v>
      </c>
      <c r="E27" s="46" t="s">
        <v>101</v>
      </c>
      <c r="F27" s="48"/>
      <c r="G27" s="1" t="s">
        <v>10</v>
      </c>
    </row>
    <row r="28" spans="2:25" x14ac:dyDescent="0.25">
      <c r="C28" s="60">
        <v>22</v>
      </c>
      <c r="D28" s="37" t="s">
        <v>1</v>
      </c>
      <c r="E28" s="46" t="s">
        <v>102</v>
      </c>
      <c r="F28" s="48"/>
      <c r="G28" s="1" t="s">
        <v>10</v>
      </c>
    </row>
    <row r="29" spans="2:25" x14ac:dyDescent="0.25">
      <c r="C29" s="60">
        <v>23</v>
      </c>
      <c r="D29" s="27" t="s">
        <v>50</v>
      </c>
      <c r="E29" s="87" t="s">
        <v>101</v>
      </c>
      <c r="F29" s="88"/>
      <c r="G29" s="1" t="s">
        <v>10</v>
      </c>
    </row>
    <row r="30" spans="2:25" x14ac:dyDescent="0.25">
      <c r="C30" s="60">
        <v>24</v>
      </c>
      <c r="D30" s="5" t="s">
        <v>92</v>
      </c>
      <c r="E30" s="19" t="s">
        <v>259</v>
      </c>
      <c r="F30" s="40" t="s">
        <v>318</v>
      </c>
      <c r="G30" s="1" t="s">
        <v>10</v>
      </c>
    </row>
    <row r="31" spans="2:25" x14ac:dyDescent="0.25">
      <c r="D31" s="2"/>
      <c r="E31" s="2"/>
      <c r="F31" s="2"/>
    </row>
    <row r="32" spans="2:25" x14ac:dyDescent="0.25">
      <c r="B32" s="43" t="s">
        <v>136</v>
      </c>
      <c r="C32" s="43"/>
      <c r="D32" s="43"/>
      <c r="E32" s="43"/>
      <c r="F32" s="43"/>
      <c r="G32" s="1" t="s">
        <v>10</v>
      </c>
      <c r="H32" s="9" t="s">
        <v>99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2:25" x14ac:dyDescent="0.25">
      <c r="C33" s="13" t="s">
        <v>3</v>
      </c>
      <c r="D33" s="14" t="s">
        <v>9</v>
      </c>
      <c r="E33" s="14" t="s">
        <v>97</v>
      </c>
      <c r="F33" s="14" t="s">
        <v>2</v>
      </c>
      <c r="G33" s="1" t="s">
        <v>10</v>
      </c>
      <c r="J33" s="25" t="s">
        <v>22</v>
      </c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</row>
    <row r="34" spans="2:25" x14ac:dyDescent="0.25">
      <c r="C34" s="61">
        <v>1</v>
      </c>
      <c r="D34" s="39" t="s">
        <v>138</v>
      </c>
      <c r="E34" s="39" t="s">
        <v>91</v>
      </c>
      <c r="F34" s="66">
        <v>1.7000000000000001E-2</v>
      </c>
      <c r="H34" s="15" t="s">
        <v>11</v>
      </c>
      <c r="J34" s="22" t="s">
        <v>11</v>
      </c>
      <c r="K34" s="22">
        <v>1</v>
      </c>
      <c r="L34" s="22">
        <v>2</v>
      </c>
      <c r="M34" s="22">
        <v>3</v>
      </c>
      <c r="N34" s="22">
        <v>4</v>
      </c>
      <c r="O34" s="22">
        <v>5</v>
      </c>
      <c r="P34" s="22">
        <v>6</v>
      </c>
      <c r="Q34" s="22">
        <v>7</v>
      </c>
      <c r="R34" s="22">
        <v>8</v>
      </c>
      <c r="S34" s="22">
        <v>9</v>
      </c>
      <c r="T34" s="22">
        <v>10</v>
      </c>
      <c r="U34" s="45">
        <v>11</v>
      </c>
      <c r="V34" s="45">
        <v>12</v>
      </c>
      <c r="W34" s="45">
        <v>13</v>
      </c>
      <c r="X34" s="45">
        <v>14</v>
      </c>
      <c r="Y34" s="45">
        <v>15</v>
      </c>
    </row>
    <row r="35" spans="2:25" x14ac:dyDescent="0.25">
      <c r="C35" s="63">
        <v>2</v>
      </c>
      <c r="D35" s="39" t="s">
        <v>288</v>
      </c>
      <c r="E35" s="39" t="s">
        <v>88</v>
      </c>
      <c r="F35" s="66">
        <v>0.05</v>
      </c>
      <c r="H35" s="18">
        <v>1</v>
      </c>
      <c r="J35" s="1" t="s">
        <v>23</v>
      </c>
    </row>
    <row r="36" spans="2:25" x14ac:dyDescent="0.25">
      <c r="C36" s="63">
        <v>3</v>
      </c>
      <c r="D36" s="39" t="s">
        <v>93</v>
      </c>
      <c r="E36" s="62" t="s">
        <v>293</v>
      </c>
      <c r="F36" s="53">
        <v>1</v>
      </c>
      <c r="H36" s="18">
        <v>2</v>
      </c>
      <c r="J36" s="1" t="s">
        <v>24</v>
      </c>
    </row>
    <row r="37" spans="2:25" x14ac:dyDescent="0.25">
      <c r="C37" s="61">
        <v>4</v>
      </c>
      <c r="D37" s="39" t="s">
        <v>110</v>
      </c>
      <c r="E37" s="39" t="s">
        <v>94</v>
      </c>
      <c r="F37" s="39" t="s">
        <v>51</v>
      </c>
      <c r="H37" s="18">
        <v>3</v>
      </c>
      <c r="J37" s="1" t="s">
        <v>25</v>
      </c>
    </row>
    <row r="38" spans="2:25" x14ac:dyDescent="0.25">
      <c r="C38" s="61">
        <v>5</v>
      </c>
      <c r="D38" s="39" t="s">
        <v>137</v>
      </c>
      <c r="E38" s="64" t="s">
        <v>139</v>
      </c>
      <c r="F38" s="65">
        <v>0.75</v>
      </c>
      <c r="H38" s="21">
        <v>4</v>
      </c>
      <c r="J38" s="1" t="s">
        <v>26</v>
      </c>
    </row>
    <row r="39" spans="2:25" x14ac:dyDescent="0.25">
      <c r="D39" s="2"/>
      <c r="E39" s="2"/>
      <c r="F39" s="2"/>
    </row>
    <row r="40" spans="2:25" x14ac:dyDescent="0.25">
      <c r="B40" s="43" t="s">
        <v>34</v>
      </c>
      <c r="C40" s="43"/>
      <c r="D40" s="43"/>
      <c r="E40" s="43"/>
      <c r="F40" s="43"/>
      <c r="J40" s="25" t="s">
        <v>27</v>
      </c>
      <c r="K40" s="23"/>
      <c r="L40" s="23"/>
      <c r="M40" s="23"/>
      <c r="N40" s="23"/>
      <c r="O40" s="23"/>
      <c r="P40" s="23"/>
      <c r="Q40" s="23"/>
      <c r="R40" s="23"/>
      <c r="S40" s="23"/>
      <c r="T40" s="23"/>
    </row>
    <row r="41" spans="2:25" x14ac:dyDescent="0.25">
      <c r="C41" s="13" t="s">
        <v>3</v>
      </c>
      <c r="D41" s="14" t="s">
        <v>9</v>
      </c>
      <c r="E41" s="14" t="s">
        <v>97</v>
      </c>
      <c r="F41" s="14" t="s">
        <v>2</v>
      </c>
      <c r="H41" s="15" t="s">
        <v>11</v>
      </c>
      <c r="J41" s="22" t="s">
        <v>11</v>
      </c>
      <c r="K41" s="22">
        <v>1</v>
      </c>
      <c r="L41" s="22">
        <v>2</v>
      </c>
      <c r="M41" s="22">
        <v>3</v>
      </c>
      <c r="N41" s="22">
        <v>4</v>
      </c>
      <c r="O41" s="22">
        <v>5</v>
      </c>
      <c r="P41" s="22">
        <v>6</v>
      </c>
      <c r="Q41" s="22">
        <v>7</v>
      </c>
      <c r="R41" s="22">
        <v>8</v>
      </c>
      <c r="S41" s="22">
        <v>9</v>
      </c>
      <c r="T41" s="45">
        <v>10</v>
      </c>
      <c r="U41" s="45">
        <v>11</v>
      </c>
      <c r="V41" s="45">
        <v>12</v>
      </c>
      <c r="W41" s="45">
        <v>13</v>
      </c>
      <c r="X41" s="45">
        <v>14</v>
      </c>
      <c r="Y41" s="45">
        <v>15</v>
      </c>
    </row>
    <row r="42" spans="2:25" x14ac:dyDescent="0.25">
      <c r="C42" s="16">
        <v>1</v>
      </c>
      <c r="D42" s="17" t="s">
        <v>53</v>
      </c>
      <c r="E42" s="17" t="s">
        <v>89</v>
      </c>
      <c r="F42" s="31">
        <v>45657</v>
      </c>
      <c r="H42" s="18">
        <v>1</v>
      </c>
    </row>
    <row r="43" spans="2:25" x14ac:dyDescent="0.25">
      <c r="C43" s="16">
        <v>2</v>
      </c>
      <c r="D43" s="17" t="s">
        <v>31</v>
      </c>
      <c r="E43" s="17" t="s">
        <v>33</v>
      </c>
      <c r="F43" s="31">
        <v>44175</v>
      </c>
      <c r="H43" s="18">
        <v>2</v>
      </c>
    </row>
    <row r="44" spans="2:25" x14ac:dyDescent="0.25">
      <c r="C44" s="16">
        <v>3</v>
      </c>
      <c r="D44" s="17" t="s">
        <v>289</v>
      </c>
      <c r="E44" s="17" t="s">
        <v>0</v>
      </c>
      <c r="F44" s="31">
        <v>47827</v>
      </c>
      <c r="H44" s="18">
        <v>3</v>
      </c>
    </row>
    <row r="45" spans="2:25" x14ac:dyDescent="0.25">
      <c r="C45" s="16">
        <v>4</v>
      </c>
      <c r="D45" s="17" t="s">
        <v>32</v>
      </c>
      <c r="E45" s="17" t="s">
        <v>68</v>
      </c>
      <c r="F45" s="31" t="s">
        <v>295</v>
      </c>
      <c r="H45" s="21">
        <v>4</v>
      </c>
    </row>
    <row r="46" spans="2:25" x14ac:dyDescent="0.25">
      <c r="C46" s="16">
        <v>5</v>
      </c>
      <c r="D46" s="17" t="s">
        <v>59</v>
      </c>
      <c r="E46" s="17" t="s">
        <v>35</v>
      </c>
      <c r="F46" s="31">
        <v>1.4999999999999999E-2</v>
      </c>
    </row>
    <row r="47" spans="2:25" x14ac:dyDescent="0.25">
      <c r="C47" s="16">
        <v>6</v>
      </c>
      <c r="D47" s="17" t="s">
        <v>96</v>
      </c>
      <c r="E47" s="17" t="s">
        <v>69</v>
      </c>
      <c r="F47" s="31" t="s">
        <v>296</v>
      </c>
    </row>
    <row r="48" spans="2:25" x14ac:dyDescent="0.25">
      <c r="C48" s="16">
        <v>7</v>
      </c>
      <c r="D48" s="17" t="s">
        <v>166</v>
      </c>
      <c r="E48" s="42" t="s">
        <v>164</v>
      </c>
      <c r="F48" s="31" t="s">
        <v>297</v>
      </c>
    </row>
    <row r="49" spans="3:6" x14ac:dyDescent="0.25">
      <c r="C49" s="16">
        <v>8</v>
      </c>
      <c r="D49" s="17" t="s">
        <v>54</v>
      </c>
      <c r="E49" s="42" t="s">
        <v>165</v>
      </c>
      <c r="F49" s="31" t="s">
        <v>298</v>
      </c>
    </row>
    <row r="50" spans="3:6" x14ac:dyDescent="0.25">
      <c r="C50" s="16">
        <v>9</v>
      </c>
      <c r="D50" s="17" t="s">
        <v>167</v>
      </c>
      <c r="E50" s="42" t="s">
        <v>168</v>
      </c>
      <c r="F50" s="31" t="s">
        <v>297</v>
      </c>
    </row>
    <row r="51" spans="3:6" x14ac:dyDescent="0.25">
      <c r="C51" s="16">
        <v>10</v>
      </c>
      <c r="D51" s="17" t="s">
        <v>169</v>
      </c>
      <c r="E51" s="17" t="s">
        <v>170</v>
      </c>
      <c r="F51" s="31" t="s">
        <v>297</v>
      </c>
    </row>
    <row r="52" spans="3:6" x14ac:dyDescent="0.25">
      <c r="C52" s="16">
        <v>11</v>
      </c>
      <c r="D52" s="17" t="s">
        <v>171</v>
      </c>
      <c r="E52" s="17" t="s">
        <v>131</v>
      </c>
      <c r="F52" s="31" t="s">
        <v>297</v>
      </c>
    </row>
    <row r="53" spans="3:6" x14ac:dyDescent="0.25">
      <c r="C53" s="16">
        <v>12</v>
      </c>
      <c r="D53" s="17" t="s">
        <v>55</v>
      </c>
      <c r="E53" s="28" t="s">
        <v>84</v>
      </c>
      <c r="F53" s="31">
        <v>12</v>
      </c>
    </row>
    <row r="54" spans="3:6" x14ac:dyDescent="0.25">
      <c r="C54" s="16">
        <v>13</v>
      </c>
      <c r="D54" s="17" t="s">
        <v>56</v>
      </c>
      <c r="E54" s="28" t="s">
        <v>85</v>
      </c>
      <c r="F54" s="31" t="s">
        <v>306</v>
      </c>
    </row>
    <row r="55" spans="3:6" x14ac:dyDescent="0.25">
      <c r="C55" s="16">
        <v>14</v>
      </c>
      <c r="D55" s="17" t="s">
        <v>57</v>
      </c>
      <c r="E55" s="28" t="s">
        <v>86</v>
      </c>
      <c r="F55" s="31" t="s">
        <v>307</v>
      </c>
    </row>
    <row r="56" spans="3:6" x14ac:dyDescent="0.25">
      <c r="C56" s="16">
        <v>15</v>
      </c>
      <c r="D56" s="17" t="s">
        <v>58</v>
      </c>
      <c r="E56" s="28" t="s">
        <v>87</v>
      </c>
      <c r="F56" s="31" t="s">
        <v>306</v>
      </c>
    </row>
    <row r="57" spans="3:6" x14ac:dyDescent="0.25">
      <c r="C57" s="16">
        <v>16</v>
      </c>
      <c r="D57" s="17" t="s">
        <v>60</v>
      </c>
      <c r="E57" s="28" t="s">
        <v>174</v>
      </c>
      <c r="F57" s="31">
        <v>10</v>
      </c>
    </row>
    <row r="58" spans="3:6" x14ac:dyDescent="0.25">
      <c r="C58" s="16">
        <v>17</v>
      </c>
      <c r="D58" s="17" t="s">
        <v>61</v>
      </c>
      <c r="E58" s="28" t="s">
        <v>175</v>
      </c>
      <c r="F58" s="31" t="s">
        <v>299</v>
      </c>
    </row>
    <row r="59" spans="3:6" x14ac:dyDescent="0.25">
      <c r="C59" s="16">
        <v>18</v>
      </c>
      <c r="D59" s="17" t="s">
        <v>62</v>
      </c>
      <c r="E59" s="28" t="s">
        <v>176</v>
      </c>
      <c r="F59" s="31" t="s">
        <v>300</v>
      </c>
    </row>
    <row r="60" spans="3:6" x14ac:dyDescent="0.25">
      <c r="C60" s="16">
        <v>19</v>
      </c>
      <c r="D60" s="17" t="s">
        <v>173</v>
      </c>
      <c r="E60" s="28" t="s">
        <v>287</v>
      </c>
      <c r="F60" s="31" t="s">
        <v>301</v>
      </c>
    </row>
    <row r="61" spans="3:6" x14ac:dyDescent="0.25">
      <c r="C61" s="16">
        <v>20</v>
      </c>
      <c r="D61" s="17" t="s">
        <v>132</v>
      </c>
      <c r="E61" s="17" t="s">
        <v>92</v>
      </c>
      <c r="F61" s="31" t="s">
        <v>302</v>
      </c>
    </row>
    <row r="62" spans="3:6" x14ac:dyDescent="0.25">
      <c r="C62" s="16">
        <v>21</v>
      </c>
      <c r="D62" s="17" t="s">
        <v>63</v>
      </c>
      <c r="E62" s="28" t="s">
        <v>177</v>
      </c>
      <c r="F62" s="31">
        <v>5</v>
      </c>
    </row>
    <row r="63" spans="3:6" x14ac:dyDescent="0.25">
      <c r="C63" s="16">
        <v>22</v>
      </c>
      <c r="D63" s="17" t="s">
        <v>64</v>
      </c>
      <c r="E63" s="28" t="s">
        <v>178</v>
      </c>
      <c r="F63" s="31" t="s">
        <v>303</v>
      </c>
    </row>
    <row r="64" spans="3:6" x14ac:dyDescent="0.25">
      <c r="C64" s="16">
        <v>23</v>
      </c>
      <c r="D64" s="17" t="s">
        <v>65</v>
      </c>
      <c r="E64" s="28" t="s">
        <v>179</v>
      </c>
      <c r="F64" s="31" t="s">
        <v>304</v>
      </c>
    </row>
    <row r="65" spans="3:6" x14ac:dyDescent="0.25">
      <c r="C65" s="16">
        <v>24</v>
      </c>
      <c r="D65" s="17" t="s">
        <v>36</v>
      </c>
      <c r="E65" s="17" t="s">
        <v>70</v>
      </c>
      <c r="F65" s="31" t="s">
        <v>305</v>
      </c>
    </row>
    <row r="66" spans="3:6" x14ac:dyDescent="0.25">
      <c r="C66" s="16">
        <v>25</v>
      </c>
      <c r="D66" s="17" t="s">
        <v>130</v>
      </c>
      <c r="E66" s="17" t="s">
        <v>88</v>
      </c>
      <c r="F66" s="31">
        <v>1.7000000000000001E-2</v>
      </c>
    </row>
    <row r="67" spans="3:6" x14ac:dyDescent="0.25">
      <c r="C67" s="16">
        <v>26</v>
      </c>
      <c r="D67" s="17" t="s">
        <v>90</v>
      </c>
      <c r="E67" s="17" t="s">
        <v>91</v>
      </c>
      <c r="F67" s="41">
        <v>0.05</v>
      </c>
    </row>
    <row r="68" spans="3:6" x14ac:dyDescent="0.25">
      <c r="C68" s="16">
        <v>27</v>
      </c>
      <c r="D68" s="17" t="s">
        <v>66</v>
      </c>
      <c r="E68" s="17" t="s">
        <v>71</v>
      </c>
      <c r="F68" s="31">
        <v>9</v>
      </c>
    </row>
    <row r="69" spans="3:6" x14ac:dyDescent="0.25">
      <c r="C69" s="16">
        <v>28</v>
      </c>
      <c r="D69" s="17" t="s">
        <v>67</v>
      </c>
      <c r="E69" s="17" t="s">
        <v>72</v>
      </c>
      <c r="F69" s="31">
        <v>1</v>
      </c>
    </row>
    <row r="77" spans="3:6" x14ac:dyDescent="0.25">
      <c r="E77" s="1"/>
    </row>
    <row r="82" spans="2:6" x14ac:dyDescent="0.25">
      <c r="C82" s="1"/>
      <c r="D82" s="2"/>
      <c r="E82" s="1"/>
      <c r="F82" s="1"/>
    </row>
    <row r="83" spans="2:6" x14ac:dyDescent="0.25">
      <c r="C83" s="1"/>
      <c r="E83" s="1"/>
      <c r="F83" s="1"/>
    </row>
    <row r="84" spans="2:6" ht="13.5" customHeight="1" x14ac:dyDescent="0.25">
      <c r="B84" s="81" t="s">
        <v>294</v>
      </c>
      <c r="C84" s="81"/>
      <c r="D84" s="81"/>
      <c r="E84" s="82"/>
      <c r="F84" s="82"/>
    </row>
    <row r="85" spans="2:6" x14ac:dyDescent="0.25">
      <c r="C85" s="19">
        <v>1</v>
      </c>
      <c r="D85" s="17" t="s">
        <v>110</v>
      </c>
      <c r="E85" s="17" t="s">
        <v>94</v>
      </c>
      <c r="F85" s="17" t="s">
        <v>51</v>
      </c>
    </row>
    <row r="86" spans="2:6" x14ac:dyDescent="0.25">
      <c r="C86" s="19">
        <v>2</v>
      </c>
      <c r="D86" s="17" t="s">
        <v>111</v>
      </c>
      <c r="E86" s="49" t="s">
        <v>112</v>
      </c>
      <c r="F86" s="50">
        <v>0.75</v>
      </c>
    </row>
    <row r="87" spans="2:6" x14ac:dyDescent="0.25">
      <c r="C87" s="16">
        <v>3</v>
      </c>
      <c r="D87" s="17" t="s">
        <v>90</v>
      </c>
      <c r="E87" s="17" t="s">
        <v>91</v>
      </c>
      <c r="F87" s="72">
        <v>1.7000000000000001E-2</v>
      </c>
    </row>
    <row r="88" spans="2:6" x14ac:dyDescent="0.25">
      <c r="C88" s="16">
        <v>4</v>
      </c>
      <c r="D88" s="17" t="s">
        <v>130</v>
      </c>
      <c r="E88" s="17" t="s">
        <v>88</v>
      </c>
      <c r="F88" s="73">
        <v>0.05</v>
      </c>
    </row>
  </sheetData>
  <dataConsolidate/>
  <mergeCells count="2">
    <mergeCell ref="B2:F2"/>
    <mergeCell ref="C5:F5"/>
  </mergeCells>
  <phoneticPr fontId="1" type="noConversion"/>
  <dataValidations count="2">
    <dataValidation type="list" allowBlank="1" showInputMessage="1" showErrorMessage="1" sqref="E7:E30" xr:uid="{5D26165F-F8B0-41A4-AF51-179BCFAD0878}">
      <formula1>"Y,N"</formula1>
    </dataValidation>
    <dataValidation type="list" allowBlank="1" showInputMessage="1" showErrorMessage="1" sqref="F36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1400175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8E0FB-ACB1-4E4F-A148-B58EEC1903E9}">
  <sheetPr codeName="Sheet16"/>
  <dimension ref="B3:T3"/>
  <sheetViews>
    <sheetView topLeftCell="A6" workbookViewId="0">
      <selection activeCell="J21" sqref="J21"/>
    </sheetView>
  </sheetViews>
  <sheetFormatPr defaultRowHeight="13.5" x14ac:dyDescent="0.25"/>
  <cols>
    <col min="1" max="1" width="3.33203125" customWidth="1"/>
  </cols>
  <sheetData>
    <row r="3" spans="2:20" s="8" customFormat="1" ht="15.75" x14ac:dyDescent="0.25">
      <c r="B3" s="83" t="s">
        <v>4</v>
      </c>
      <c r="C3" s="83"/>
      <c r="D3" s="83"/>
      <c r="E3" s="83"/>
      <c r="F3" s="83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</row>
  </sheetData>
  <mergeCells count="1">
    <mergeCell ref="B3:F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G12"/>
  <sheetViews>
    <sheetView workbookViewId="0">
      <selection activeCell="F27" sqref="F27"/>
    </sheetView>
  </sheetViews>
  <sheetFormatPr defaultRowHeight="13.5" x14ac:dyDescent="0.25"/>
  <sheetData>
    <row r="1" spans="1:7" x14ac:dyDescent="0.25">
      <c r="A1" s="3"/>
      <c r="B1" s="1"/>
      <c r="C1" s="4"/>
      <c r="D1" s="4"/>
      <c r="E1" s="4"/>
      <c r="F1" s="4"/>
      <c r="G1" s="4"/>
    </row>
    <row r="2" spans="1:7" x14ac:dyDescent="0.25">
      <c r="A2" s="1"/>
      <c r="B2" s="1"/>
      <c r="C2" s="4"/>
      <c r="D2" s="1"/>
      <c r="E2" s="1"/>
      <c r="F2" s="1"/>
      <c r="G2" s="1"/>
    </row>
    <row r="3" spans="1:7" x14ac:dyDescent="0.25">
      <c r="A3" s="1"/>
      <c r="B3" s="1"/>
      <c r="C3" s="4"/>
      <c r="D3" s="1"/>
      <c r="E3" s="1"/>
      <c r="F3" s="1"/>
      <c r="G3" s="1"/>
    </row>
    <row r="4" spans="1:7" x14ac:dyDescent="0.25">
      <c r="A4" s="1"/>
      <c r="B4" s="1"/>
      <c r="C4" s="4"/>
      <c r="D4" s="1"/>
      <c r="E4" s="1"/>
      <c r="F4" s="1"/>
      <c r="G4" s="1"/>
    </row>
    <row r="5" spans="1:7" x14ac:dyDescent="0.25">
      <c r="A5" s="1"/>
      <c r="B5" s="1"/>
      <c r="C5" s="4"/>
      <c r="D5" s="1"/>
      <c r="E5" s="1"/>
      <c r="F5" s="1"/>
      <c r="G5" s="1"/>
    </row>
    <row r="6" spans="1:7" x14ac:dyDescent="0.25">
      <c r="A6" s="1"/>
      <c r="B6" s="1"/>
      <c r="C6" s="4"/>
      <c r="D6" s="1"/>
      <c r="E6" s="1"/>
      <c r="F6" s="1"/>
      <c r="G6" s="1"/>
    </row>
    <row r="7" spans="1:7" x14ac:dyDescent="0.25">
      <c r="A7" s="1"/>
      <c r="B7" s="1"/>
      <c r="C7" s="4"/>
      <c r="D7" s="1"/>
      <c r="E7" s="1"/>
      <c r="F7" s="1"/>
      <c r="G7" s="1"/>
    </row>
    <row r="8" spans="1:7" x14ac:dyDescent="0.25">
      <c r="A8" s="1"/>
      <c r="B8" s="1"/>
      <c r="C8" s="4"/>
      <c r="D8" s="1"/>
      <c r="E8" s="1"/>
      <c r="F8" s="1"/>
      <c r="G8" s="1"/>
    </row>
    <row r="9" spans="1:7" x14ac:dyDescent="0.25">
      <c r="A9" s="1"/>
      <c r="B9" s="1"/>
      <c r="C9" s="4"/>
      <c r="D9" s="1"/>
      <c r="E9" s="1"/>
      <c r="F9" s="1"/>
      <c r="G9" s="1"/>
    </row>
    <row r="10" spans="1:7" x14ac:dyDescent="0.25">
      <c r="A10" s="1"/>
      <c r="B10" s="1"/>
      <c r="C10" s="4"/>
      <c r="D10" s="1"/>
      <c r="E10" s="1"/>
      <c r="F10" s="1"/>
      <c r="G10" s="1"/>
    </row>
    <row r="11" spans="1:7" x14ac:dyDescent="0.25">
      <c r="A11" s="1"/>
      <c r="B11" s="3"/>
      <c r="C11" s="4"/>
      <c r="D11" s="1"/>
      <c r="E11" s="1"/>
      <c r="F11" s="1"/>
      <c r="G11" s="1"/>
    </row>
    <row r="12" spans="1:7" x14ac:dyDescent="0.25">
      <c r="A12" s="1"/>
      <c r="B12" s="3"/>
      <c r="C12" s="4"/>
      <c r="D12" s="1"/>
      <c r="E12" s="1"/>
      <c r="F12" s="1"/>
      <c r="G1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2:E113"/>
  <sheetViews>
    <sheetView zoomScale="115" zoomScaleNormal="115" workbookViewId="0">
      <selection activeCell="C50" sqref="C50"/>
    </sheetView>
  </sheetViews>
  <sheetFormatPr defaultRowHeight="13.5" x14ac:dyDescent="0.25"/>
  <cols>
    <col min="1" max="1" width="3.5" customWidth="1"/>
    <col min="2" max="2" width="19.33203125" bestFit="1" customWidth="1"/>
    <col min="3" max="3" width="30.1640625" bestFit="1" customWidth="1"/>
    <col min="4" max="4" width="20.6640625" style="67" customWidth="1"/>
    <col min="5" max="5" width="30.1640625" bestFit="1" customWidth="1"/>
  </cols>
  <sheetData>
    <row r="2" spans="2:5" x14ac:dyDescent="0.25">
      <c r="D2" s="67" t="s">
        <v>183</v>
      </c>
    </row>
    <row r="3" spans="2:5" x14ac:dyDescent="0.25">
      <c r="B3" t="s">
        <v>135</v>
      </c>
      <c r="C3" s="74" t="s">
        <v>181</v>
      </c>
      <c r="D3" s="67" t="s">
        <v>182</v>
      </c>
    </row>
    <row r="4" spans="2:5" x14ac:dyDescent="0.25">
      <c r="C4" t="s">
        <v>180</v>
      </c>
      <c r="D4" s="67" t="s">
        <v>184</v>
      </c>
    </row>
    <row r="5" spans="2:5" x14ac:dyDescent="0.25">
      <c r="B5" s="68" t="s">
        <v>134</v>
      </c>
      <c r="C5" s="68" t="s">
        <v>2</v>
      </c>
      <c r="D5" s="69" t="s">
        <v>135</v>
      </c>
      <c r="E5" s="68" t="s">
        <v>143</v>
      </c>
    </row>
    <row r="6" spans="2:5" x14ac:dyDescent="0.25">
      <c r="B6" t="s">
        <v>117</v>
      </c>
      <c r="C6" t="s">
        <v>198</v>
      </c>
      <c r="D6">
        <v>0</v>
      </c>
      <c r="E6" t="s">
        <v>198</v>
      </c>
    </row>
    <row r="7" spans="2:5" x14ac:dyDescent="0.25">
      <c r="B7" t="s">
        <v>117</v>
      </c>
      <c r="C7" t="s">
        <v>199</v>
      </c>
      <c r="D7">
        <v>1</v>
      </c>
      <c r="E7" t="s">
        <v>199</v>
      </c>
    </row>
    <row r="8" spans="2:5" x14ac:dyDescent="0.25">
      <c r="B8" t="s">
        <v>117</v>
      </c>
      <c r="C8" t="s">
        <v>200</v>
      </c>
      <c r="D8">
        <v>2</v>
      </c>
      <c r="E8" t="s">
        <v>200</v>
      </c>
    </row>
    <row r="9" spans="2:5" x14ac:dyDescent="0.25">
      <c r="B9" t="s">
        <v>117</v>
      </c>
      <c r="C9" t="s">
        <v>201</v>
      </c>
      <c r="D9">
        <v>3</v>
      </c>
      <c r="E9" t="s">
        <v>201</v>
      </c>
    </row>
    <row r="10" spans="2:5" x14ac:dyDescent="0.25">
      <c r="B10" t="s">
        <v>117</v>
      </c>
      <c r="C10" t="s">
        <v>202</v>
      </c>
      <c r="D10">
        <v>4</v>
      </c>
      <c r="E10" t="s">
        <v>202</v>
      </c>
    </row>
    <row r="11" spans="2:5" x14ac:dyDescent="0.25">
      <c r="B11" t="s">
        <v>117</v>
      </c>
      <c r="C11" t="s">
        <v>203</v>
      </c>
      <c r="D11">
        <v>5</v>
      </c>
      <c r="E11" t="s">
        <v>203</v>
      </c>
    </row>
    <row r="12" spans="2:5" x14ac:dyDescent="0.25">
      <c r="B12" t="s">
        <v>117</v>
      </c>
      <c r="C12" t="s">
        <v>204</v>
      </c>
      <c r="D12">
        <v>6</v>
      </c>
      <c r="E12" t="s">
        <v>204</v>
      </c>
    </row>
    <row r="13" spans="2:5" x14ac:dyDescent="0.25">
      <c r="B13" t="s">
        <v>117</v>
      </c>
      <c r="C13" t="s">
        <v>205</v>
      </c>
      <c r="D13">
        <v>7</v>
      </c>
      <c r="E13" t="s">
        <v>205</v>
      </c>
    </row>
    <row r="14" spans="2:5" x14ac:dyDescent="0.25">
      <c r="B14" t="s">
        <v>144</v>
      </c>
      <c r="C14" t="s">
        <v>206</v>
      </c>
      <c r="D14">
        <v>0</v>
      </c>
      <c r="E14" t="s">
        <v>206</v>
      </c>
    </row>
    <row r="15" spans="2:5" x14ac:dyDescent="0.25">
      <c r="B15" t="s">
        <v>144</v>
      </c>
      <c r="C15" t="s">
        <v>207</v>
      </c>
      <c r="D15">
        <v>1</v>
      </c>
      <c r="E15" t="s">
        <v>207</v>
      </c>
    </row>
    <row r="16" spans="2:5" x14ac:dyDescent="0.25">
      <c r="B16" t="s">
        <v>144</v>
      </c>
      <c r="C16" t="s">
        <v>208</v>
      </c>
      <c r="D16">
        <v>2</v>
      </c>
      <c r="E16" t="s">
        <v>208</v>
      </c>
    </row>
    <row r="17" spans="2:5" x14ac:dyDescent="0.25">
      <c r="B17" t="s">
        <v>144</v>
      </c>
      <c r="C17" t="s">
        <v>209</v>
      </c>
      <c r="D17">
        <v>3</v>
      </c>
      <c r="E17" t="s">
        <v>209</v>
      </c>
    </row>
    <row r="18" spans="2:5" x14ac:dyDescent="0.25">
      <c r="B18" t="s">
        <v>144</v>
      </c>
      <c r="C18" t="s">
        <v>210</v>
      </c>
      <c r="D18">
        <v>4</v>
      </c>
      <c r="E18" t="s">
        <v>210</v>
      </c>
    </row>
    <row r="19" spans="2:5" x14ac:dyDescent="0.25">
      <c r="B19" t="s">
        <v>144</v>
      </c>
      <c r="C19" t="s">
        <v>211</v>
      </c>
      <c r="D19">
        <v>5</v>
      </c>
      <c r="E19" t="s">
        <v>211</v>
      </c>
    </row>
    <row r="20" spans="2:5" x14ac:dyDescent="0.25">
      <c r="B20" t="s">
        <v>144</v>
      </c>
      <c r="C20" t="s">
        <v>212</v>
      </c>
      <c r="D20">
        <v>6</v>
      </c>
      <c r="E20" t="s">
        <v>212</v>
      </c>
    </row>
    <row r="21" spans="2:5" x14ac:dyDescent="0.25">
      <c r="B21" t="s">
        <v>144</v>
      </c>
      <c r="C21" t="s">
        <v>213</v>
      </c>
      <c r="D21">
        <v>7</v>
      </c>
      <c r="E21" t="s">
        <v>213</v>
      </c>
    </row>
    <row r="22" spans="2:5" x14ac:dyDescent="0.25">
      <c r="B22" t="s">
        <v>144</v>
      </c>
      <c r="C22" t="s">
        <v>214</v>
      </c>
      <c r="D22">
        <v>8</v>
      </c>
      <c r="E22" t="s">
        <v>214</v>
      </c>
    </row>
    <row r="23" spans="2:5" x14ac:dyDescent="0.25">
      <c r="B23" t="s">
        <v>144</v>
      </c>
      <c r="C23" t="s">
        <v>215</v>
      </c>
      <c r="D23">
        <v>9</v>
      </c>
      <c r="E23" t="s">
        <v>215</v>
      </c>
    </row>
    <row r="24" spans="2:5" x14ac:dyDescent="0.25">
      <c r="B24" t="s">
        <v>144</v>
      </c>
      <c r="C24" t="s">
        <v>216</v>
      </c>
      <c r="D24">
        <v>10</v>
      </c>
      <c r="E24" t="s">
        <v>216</v>
      </c>
    </row>
    <row r="25" spans="2:5" x14ac:dyDescent="0.25">
      <c r="B25" t="s">
        <v>144</v>
      </c>
      <c r="C25" t="s">
        <v>217</v>
      </c>
      <c r="D25">
        <v>11</v>
      </c>
      <c r="E25" t="s">
        <v>217</v>
      </c>
    </row>
    <row r="26" spans="2:5" x14ac:dyDescent="0.25">
      <c r="B26" t="s">
        <v>144</v>
      </c>
      <c r="C26" t="s">
        <v>218</v>
      </c>
      <c r="D26">
        <v>12</v>
      </c>
      <c r="E26" t="s">
        <v>218</v>
      </c>
    </row>
    <row r="27" spans="2:5" x14ac:dyDescent="0.25">
      <c r="B27" t="s">
        <v>144</v>
      </c>
      <c r="C27" t="s">
        <v>219</v>
      </c>
      <c r="D27">
        <v>13</v>
      </c>
      <c r="E27" t="s">
        <v>219</v>
      </c>
    </row>
    <row r="28" spans="2:5" x14ac:dyDescent="0.25">
      <c r="B28" t="s">
        <v>144</v>
      </c>
      <c r="C28" t="s">
        <v>220</v>
      </c>
      <c r="D28">
        <v>14</v>
      </c>
      <c r="E28" t="s">
        <v>220</v>
      </c>
    </row>
    <row r="29" spans="2:5" x14ac:dyDescent="0.25">
      <c r="B29" t="s">
        <v>144</v>
      </c>
      <c r="C29" t="s">
        <v>221</v>
      </c>
      <c r="D29">
        <v>15</v>
      </c>
      <c r="E29" t="s">
        <v>221</v>
      </c>
    </row>
    <row r="30" spans="2:5" x14ac:dyDescent="0.25">
      <c r="B30" t="s">
        <v>144</v>
      </c>
      <c r="C30" t="s">
        <v>222</v>
      </c>
      <c r="D30">
        <v>16</v>
      </c>
      <c r="E30" t="s">
        <v>222</v>
      </c>
    </row>
    <row r="31" spans="2:5" x14ac:dyDescent="0.25">
      <c r="B31" t="s">
        <v>144</v>
      </c>
      <c r="C31" t="s">
        <v>223</v>
      </c>
      <c r="D31">
        <v>17</v>
      </c>
      <c r="E31" t="s">
        <v>223</v>
      </c>
    </row>
    <row r="32" spans="2:5" x14ac:dyDescent="0.25">
      <c r="B32" t="s">
        <v>144</v>
      </c>
      <c r="C32" t="s">
        <v>224</v>
      </c>
      <c r="D32">
        <v>18</v>
      </c>
      <c r="E32" t="s">
        <v>224</v>
      </c>
    </row>
    <row r="33" spans="2:5" x14ac:dyDescent="0.25">
      <c r="B33" t="s">
        <v>148</v>
      </c>
      <c r="C33" t="s">
        <v>123</v>
      </c>
      <c r="D33">
        <v>0</v>
      </c>
      <c r="E33" t="s">
        <v>123</v>
      </c>
    </row>
    <row r="34" spans="2:5" x14ac:dyDescent="0.25">
      <c r="B34" t="s">
        <v>150</v>
      </c>
      <c r="C34" t="s">
        <v>225</v>
      </c>
      <c r="D34">
        <v>0</v>
      </c>
      <c r="E34" t="s">
        <v>225</v>
      </c>
    </row>
    <row r="35" spans="2:5" x14ac:dyDescent="0.25">
      <c r="B35" t="s">
        <v>150</v>
      </c>
      <c r="C35" t="s">
        <v>226</v>
      </c>
      <c r="D35">
        <v>1</v>
      </c>
      <c r="E35" t="s">
        <v>226</v>
      </c>
    </row>
    <row r="36" spans="2:5" x14ac:dyDescent="0.25">
      <c r="B36" t="s">
        <v>150</v>
      </c>
      <c r="C36" t="s">
        <v>227</v>
      </c>
      <c r="D36">
        <v>2</v>
      </c>
      <c r="E36" t="s">
        <v>227</v>
      </c>
    </row>
    <row r="37" spans="2:5" x14ac:dyDescent="0.25">
      <c r="B37" t="s">
        <v>150</v>
      </c>
      <c r="C37" t="s">
        <v>228</v>
      </c>
      <c r="D37">
        <v>3</v>
      </c>
      <c r="E37" t="s">
        <v>228</v>
      </c>
    </row>
    <row r="38" spans="2:5" x14ac:dyDescent="0.25">
      <c r="B38" t="s">
        <v>150</v>
      </c>
      <c r="C38" t="s">
        <v>229</v>
      </c>
      <c r="D38">
        <v>4</v>
      </c>
      <c r="E38" t="s">
        <v>229</v>
      </c>
    </row>
    <row r="39" spans="2:5" x14ac:dyDescent="0.25">
      <c r="B39" t="s">
        <v>152</v>
      </c>
      <c r="C39" t="s">
        <v>230</v>
      </c>
      <c r="D39">
        <v>0</v>
      </c>
      <c r="E39" t="s">
        <v>230</v>
      </c>
    </row>
    <row r="40" spans="2:5" x14ac:dyDescent="0.25">
      <c r="B40" t="s">
        <v>152</v>
      </c>
      <c r="C40" t="s">
        <v>231</v>
      </c>
      <c r="D40">
        <v>1</v>
      </c>
      <c r="E40" t="s">
        <v>231</v>
      </c>
    </row>
    <row r="41" spans="2:5" x14ac:dyDescent="0.25">
      <c r="B41" t="s">
        <v>152</v>
      </c>
      <c r="C41" t="s">
        <v>232</v>
      </c>
      <c r="D41">
        <v>2</v>
      </c>
      <c r="E41" t="s">
        <v>232</v>
      </c>
    </row>
    <row r="42" spans="2:5" x14ac:dyDescent="0.25">
      <c r="B42" t="s">
        <v>152</v>
      </c>
      <c r="C42" t="s">
        <v>233</v>
      </c>
      <c r="D42">
        <v>3</v>
      </c>
      <c r="E42" t="s">
        <v>233</v>
      </c>
    </row>
    <row r="43" spans="2:5" x14ac:dyDescent="0.25">
      <c r="B43" t="s">
        <v>152</v>
      </c>
      <c r="C43" t="s">
        <v>234</v>
      </c>
      <c r="D43">
        <v>4</v>
      </c>
      <c r="E43" t="s">
        <v>234</v>
      </c>
    </row>
    <row r="44" spans="2:5" x14ac:dyDescent="0.25">
      <c r="B44" t="s">
        <v>152</v>
      </c>
      <c r="C44" t="s">
        <v>235</v>
      </c>
      <c r="D44">
        <v>5</v>
      </c>
      <c r="E44" t="s">
        <v>235</v>
      </c>
    </row>
    <row r="45" spans="2:5" x14ac:dyDescent="0.25">
      <c r="B45" t="s">
        <v>152</v>
      </c>
      <c r="C45" t="s">
        <v>236</v>
      </c>
      <c r="D45">
        <v>6</v>
      </c>
      <c r="E45" t="s">
        <v>236</v>
      </c>
    </row>
    <row r="46" spans="2:5" x14ac:dyDescent="0.25">
      <c r="B46" t="s">
        <v>152</v>
      </c>
      <c r="C46" t="s">
        <v>237</v>
      </c>
      <c r="D46">
        <v>7</v>
      </c>
      <c r="E46" t="s">
        <v>237</v>
      </c>
    </row>
    <row r="47" spans="2:5" x14ac:dyDescent="0.25">
      <c r="B47" t="s">
        <v>152</v>
      </c>
      <c r="C47" t="s">
        <v>238</v>
      </c>
      <c r="D47">
        <v>8</v>
      </c>
      <c r="E47" t="s">
        <v>238</v>
      </c>
    </row>
    <row r="48" spans="2:5" x14ac:dyDescent="0.25">
      <c r="B48" t="s">
        <v>152</v>
      </c>
      <c r="C48" t="s">
        <v>239</v>
      </c>
      <c r="D48">
        <v>9</v>
      </c>
      <c r="E48" t="s">
        <v>239</v>
      </c>
    </row>
    <row r="49" spans="2:5" x14ac:dyDescent="0.25">
      <c r="B49" t="s">
        <v>152</v>
      </c>
      <c r="C49" t="s">
        <v>240</v>
      </c>
      <c r="D49">
        <v>10</v>
      </c>
      <c r="E49" t="s">
        <v>240</v>
      </c>
    </row>
    <row r="50" spans="2:5" x14ac:dyDescent="0.25">
      <c r="B50" t="s">
        <v>152</v>
      </c>
      <c r="C50" t="s">
        <v>241</v>
      </c>
      <c r="D50">
        <v>11</v>
      </c>
      <c r="E50" t="s">
        <v>241</v>
      </c>
    </row>
    <row r="51" spans="2:5" x14ac:dyDescent="0.25">
      <c r="B51" t="s">
        <v>114</v>
      </c>
      <c r="C51" t="s">
        <v>242</v>
      </c>
      <c r="D51">
        <v>0</v>
      </c>
      <c r="E51" t="s">
        <v>242</v>
      </c>
    </row>
    <row r="52" spans="2:5" x14ac:dyDescent="0.25">
      <c r="B52" t="s">
        <v>114</v>
      </c>
      <c r="C52" t="s">
        <v>243</v>
      </c>
      <c r="D52">
        <v>1</v>
      </c>
      <c r="E52" t="s">
        <v>243</v>
      </c>
    </row>
    <row r="53" spans="2:5" x14ac:dyDescent="0.25">
      <c r="B53" t="s">
        <v>114</v>
      </c>
      <c r="C53" t="s">
        <v>244</v>
      </c>
      <c r="D53">
        <v>2</v>
      </c>
      <c r="E53" t="s">
        <v>244</v>
      </c>
    </row>
    <row r="54" spans="2:5" x14ac:dyDescent="0.25">
      <c r="B54" t="s">
        <v>114</v>
      </c>
      <c r="C54" t="s">
        <v>245</v>
      </c>
      <c r="D54">
        <v>3</v>
      </c>
      <c r="E54" t="s">
        <v>245</v>
      </c>
    </row>
    <row r="55" spans="2:5" x14ac:dyDescent="0.25">
      <c r="B55" t="s">
        <v>114</v>
      </c>
      <c r="C55" t="s">
        <v>246</v>
      </c>
      <c r="D55">
        <v>4</v>
      </c>
      <c r="E55" t="s">
        <v>246</v>
      </c>
    </row>
    <row r="56" spans="2:5" x14ac:dyDescent="0.25">
      <c r="B56" t="s">
        <v>114</v>
      </c>
      <c r="C56" t="s">
        <v>247</v>
      </c>
      <c r="D56">
        <v>5</v>
      </c>
      <c r="E56" t="s">
        <v>247</v>
      </c>
    </row>
    <row r="57" spans="2:5" x14ac:dyDescent="0.25">
      <c r="B57" t="s">
        <v>114</v>
      </c>
      <c r="C57" t="s">
        <v>248</v>
      </c>
      <c r="D57">
        <v>6</v>
      </c>
      <c r="E57" t="s">
        <v>248</v>
      </c>
    </row>
    <row r="58" spans="2:5" x14ac:dyDescent="0.25">
      <c r="B58" t="s">
        <v>94</v>
      </c>
      <c r="C58" t="s">
        <v>249</v>
      </c>
      <c r="D58">
        <v>0</v>
      </c>
      <c r="E58" t="s">
        <v>249</v>
      </c>
    </row>
    <row r="59" spans="2:5" x14ac:dyDescent="0.25">
      <c r="B59" t="s">
        <v>94</v>
      </c>
      <c r="C59" t="s">
        <v>249</v>
      </c>
      <c r="D59">
        <v>1</v>
      </c>
      <c r="E59" t="s">
        <v>249</v>
      </c>
    </row>
    <row r="60" spans="2:5" x14ac:dyDescent="0.25">
      <c r="B60" t="s">
        <v>94</v>
      </c>
      <c r="C60" t="s">
        <v>249</v>
      </c>
      <c r="D60">
        <v>2</v>
      </c>
      <c r="E60" t="s">
        <v>249</v>
      </c>
    </row>
    <row r="61" spans="2:5" x14ac:dyDescent="0.25">
      <c r="B61" t="s">
        <v>94</v>
      </c>
      <c r="C61" t="s">
        <v>249</v>
      </c>
      <c r="D61">
        <v>3</v>
      </c>
      <c r="E61" t="s">
        <v>249</v>
      </c>
    </row>
    <row r="62" spans="2:5" x14ac:dyDescent="0.25">
      <c r="B62" t="s">
        <v>94</v>
      </c>
      <c r="C62" t="s">
        <v>249</v>
      </c>
      <c r="D62">
        <v>4</v>
      </c>
      <c r="E62" t="s">
        <v>249</v>
      </c>
    </row>
    <row r="63" spans="2:5" x14ac:dyDescent="0.25">
      <c r="B63" s="75" t="s">
        <v>185</v>
      </c>
      <c r="C63" s="70" t="b">
        <v>0</v>
      </c>
      <c r="D63" s="75">
        <v>0</v>
      </c>
      <c r="E63" s="70" t="b">
        <v>0</v>
      </c>
    </row>
    <row r="64" spans="2:5" x14ac:dyDescent="0.25">
      <c r="B64" s="75" t="s">
        <v>185</v>
      </c>
      <c r="C64" s="70" t="b">
        <v>1</v>
      </c>
      <c r="D64" s="75">
        <v>1</v>
      </c>
      <c r="E64" s="70" t="b">
        <v>1</v>
      </c>
    </row>
    <row r="65" spans="2:5" x14ac:dyDescent="0.25">
      <c r="B65" s="75" t="s">
        <v>186</v>
      </c>
      <c r="C65" s="75" t="s">
        <v>250</v>
      </c>
      <c r="D65" s="75">
        <v>0</v>
      </c>
      <c r="E65" s="75" t="s">
        <v>250</v>
      </c>
    </row>
    <row r="66" spans="2:5" x14ac:dyDescent="0.25">
      <c r="B66" s="75" t="s">
        <v>186</v>
      </c>
      <c r="C66" s="75" t="s">
        <v>251</v>
      </c>
      <c r="D66" s="75">
        <v>1</v>
      </c>
      <c r="E66" s="75" t="s">
        <v>251</v>
      </c>
    </row>
    <row r="67" spans="2:5" x14ac:dyDescent="0.25">
      <c r="B67" s="75" t="s">
        <v>187</v>
      </c>
      <c r="C67" s="75" t="s">
        <v>226</v>
      </c>
      <c r="D67" s="75">
        <v>0</v>
      </c>
      <c r="E67" s="75" t="s">
        <v>226</v>
      </c>
    </row>
    <row r="68" spans="2:5" x14ac:dyDescent="0.25">
      <c r="B68" s="75" t="s">
        <v>187</v>
      </c>
      <c r="C68" s="75" t="s">
        <v>252</v>
      </c>
      <c r="D68" s="75">
        <v>1</v>
      </c>
      <c r="E68" s="75" t="s">
        <v>252</v>
      </c>
    </row>
    <row r="69" spans="2:5" x14ac:dyDescent="0.25">
      <c r="B69" s="75" t="s">
        <v>188</v>
      </c>
      <c r="C69" s="75" t="s">
        <v>253</v>
      </c>
      <c r="D69" s="75">
        <v>0</v>
      </c>
      <c r="E69" s="75" t="s">
        <v>253</v>
      </c>
    </row>
    <row r="70" spans="2:5" x14ac:dyDescent="0.25">
      <c r="B70" s="75" t="s">
        <v>188</v>
      </c>
      <c r="C70" s="75" t="s">
        <v>254</v>
      </c>
      <c r="D70" s="75">
        <v>1</v>
      </c>
      <c r="E70" s="75" t="s">
        <v>254</v>
      </c>
    </row>
    <row r="71" spans="2:5" x14ac:dyDescent="0.25">
      <c r="B71" s="75" t="s">
        <v>189</v>
      </c>
      <c r="C71" s="75" t="s">
        <v>255</v>
      </c>
      <c r="D71" s="75">
        <v>0</v>
      </c>
      <c r="E71" s="75" t="s">
        <v>255</v>
      </c>
    </row>
    <row r="72" spans="2:5" x14ac:dyDescent="0.25">
      <c r="B72" s="75" t="s">
        <v>189</v>
      </c>
      <c r="C72" s="75" t="s">
        <v>256</v>
      </c>
      <c r="D72" s="75">
        <v>1</v>
      </c>
      <c r="E72" s="75" t="s">
        <v>256</v>
      </c>
    </row>
    <row r="73" spans="2:5" x14ac:dyDescent="0.25">
      <c r="B73" s="75" t="s">
        <v>190</v>
      </c>
      <c r="C73" s="75" t="s">
        <v>257</v>
      </c>
      <c r="D73" s="75">
        <v>0</v>
      </c>
      <c r="E73" s="75" t="s">
        <v>257</v>
      </c>
    </row>
    <row r="74" spans="2:5" x14ac:dyDescent="0.25">
      <c r="B74" s="75" t="s">
        <v>190</v>
      </c>
      <c r="C74" s="75" t="s">
        <v>258</v>
      </c>
      <c r="D74" s="75">
        <v>1</v>
      </c>
      <c r="E74" s="75" t="s">
        <v>258</v>
      </c>
    </row>
    <row r="75" spans="2:5" x14ac:dyDescent="0.25">
      <c r="B75" s="75" t="s">
        <v>190</v>
      </c>
      <c r="C75" s="75" t="s">
        <v>259</v>
      </c>
      <c r="D75" s="75">
        <v>2</v>
      </c>
      <c r="E75" s="75" t="s">
        <v>259</v>
      </c>
    </row>
    <row r="76" spans="2:5" x14ac:dyDescent="0.25">
      <c r="B76" s="75" t="s">
        <v>191</v>
      </c>
      <c r="C76" s="75" t="s">
        <v>260</v>
      </c>
      <c r="D76" s="75">
        <v>0</v>
      </c>
      <c r="E76" s="75" t="s">
        <v>260</v>
      </c>
    </row>
    <row r="77" spans="2:5" x14ac:dyDescent="0.25">
      <c r="B77" s="75" t="s">
        <v>191</v>
      </c>
      <c r="C77" s="75" t="s">
        <v>261</v>
      </c>
      <c r="D77" s="75">
        <v>1</v>
      </c>
      <c r="E77" s="75" t="s">
        <v>261</v>
      </c>
    </row>
    <row r="78" spans="2:5" x14ac:dyDescent="0.25">
      <c r="B78" s="75" t="s">
        <v>191</v>
      </c>
      <c r="C78" s="75" t="s">
        <v>262</v>
      </c>
      <c r="D78" s="75">
        <v>2</v>
      </c>
      <c r="E78" s="75" t="s">
        <v>262</v>
      </c>
    </row>
    <row r="79" spans="2:5" x14ac:dyDescent="0.25">
      <c r="B79" s="75" t="s">
        <v>191</v>
      </c>
      <c r="C79" s="75" t="s">
        <v>263</v>
      </c>
      <c r="D79" s="75">
        <v>3</v>
      </c>
      <c r="E79" s="75" t="s">
        <v>263</v>
      </c>
    </row>
    <row r="80" spans="2:5" x14ac:dyDescent="0.25">
      <c r="B80" s="75" t="s">
        <v>191</v>
      </c>
      <c r="C80" s="75" t="s">
        <v>264</v>
      </c>
      <c r="D80" s="75">
        <v>4</v>
      </c>
      <c r="E80" s="75" t="s">
        <v>264</v>
      </c>
    </row>
    <row r="81" spans="2:5" x14ac:dyDescent="0.25">
      <c r="B81" s="75" t="s">
        <v>191</v>
      </c>
      <c r="C81" s="75" t="s">
        <v>265</v>
      </c>
      <c r="D81" s="75">
        <v>5</v>
      </c>
      <c r="E81" s="75" t="s">
        <v>265</v>
      </c>
    </row>
    <row r="82" spans="2:5" x14ac:dyDescent="0.25">
      <c r="B82" s="75" t="s">
        <v>191</v>
      </c>
      <c r="C82" s="75" t="s">
        <v>266</v>
      </c>
      <c r="D82" s="75">
        <v>6</v>
      </c>
      <c r="E82" s="75" t="s">
        <v>266</v>
      </c>
    </row>
    <row r="83" spans="2:5" x14ac:dyDescent="0.25">
      <c r="B83" s="75" t="s">
        <v>192</v>
      </c>
      <c r="C83" s="75" t="s">
        <v>267</v>
      </c>
      <c r="D83" s="75">
        <v>0</v>
      </c>
      <c r="E83" s="75" t="s">
        <v>267</v>
      </c>
    </row>
    <row r="84" spans="2:5" x14ac:dyDescent="0.25">
      <c r="B84" s="75" t="s">
        <v>192</v>
      </c>
      <c r="C84" s="75" t="s">
        <v>268</v>
      </c>
      <c r="D84" s="75">
        <v>1</v>
      </c>
      <c r="E84" s="75" t="s">
        <v>268</v>
      </c>
    </row>
    <row r="85" spans="2:5" x14ac:dyDescent="0.25">
      <c r="B85" s="75" t="s">
        <v>193</v>
      </c>
      <c r="C85" s="75" t="s">
        <v>269</v>
      </c>
      <c r="D85" s="75">
        <v>0</v>
      </c>
      <c r="E85" s="75" t="s">
        <v>269</v>
      </c>
    </row>
    <row r="86" spans="2:5" x14ac:dyDescent="0.25">
      <c r="B86" s="75" t="s">
        <v>193</v>
      </c>
      <c r="C86" s="75" t="s">
        <v>270</v>
      </c>
      <c r="D86" s="75">
        <v>1</v>
      </c>
      <c r="E86" s="75" t="s">
        <v>270</v>
      </c>
    </row>
    <row r="87" spans="2:5" x14ac:dyDescent="0.25">
      <c r="B87" s="75" t="s">
        <v>194</v>
      </c>
      <c r="C87" s="75" t="s">
        <v>271</v>
      </c>
      <c r="D87" s="75">
        <v>0</v>
      </c>
      <c r="E87" s="75" t="s">
        <v>271</v>
      </c>
    </row>
    <row r="88" spans="2:5" x14ac:dyDescent="0.25">
      <c r="B88" s="75" t="s">
        <v>194</v>
      </c>
      <c r="C88" s="75" t="s">
        <v>272</v>
      </c>
      <c r="D88" s="75">
        <v>1</v>
      </c>
      <c r="E88" s="75" t="s">
        <v>272</v>
      </c>
    </row>
    <row r="89" spans="2:5" x14ac:dyDescent="0.25">
      <c r="B89" s="75" t="s">
        <v>195</v>
      </c>
      <c r="C89" s="75" t="s">
        <v>273</v>
      </c>
      <c r="D89" s="75">
        <v>0</v>
      </c>
      <c r="E89" s="75" t="s">
        <v>273</v>
      </c>
    </row>
    <row r="90" spans="2:5" x14ac:dyDescent="0.25">
      <c r="B90" s="75" t="s">
        <v>195</v>
      </c>
      <c r="C90" s="75" t="s">
        <v>274</v>
      </c>
      <c r="D90" s="75">
        <v>1</v>
      </c>
      <c r="E90" s="75" t="s">
        <v>274</v>
      </c>
    </row>
    <row r="91" spans="2:5" x14ac:dyDescent="0.25">
      <c r="B91" s="75" t="s">
        <v>196</v>
      </c>
      <c r="C91" s="75" t="s">
        <v>275</v>
      </c>
      <c r="D91" s="75">
        <v>0</v>
      </c>
      <c r="E91" s="75" t="s">
        <v>275</v>
      </c>
    </row>
    <row r="92" spans="2:5" x14ac:dyDescent="0.25">
      <c r="B92" s="75" t="s">
        <v>196</v>
      </c>
      <c r="C92" s="75" t="s">
        <v>276</v>
      </c>
      <c r="D92" s="75">
        <v>1</v>
      </c>
      <c r="E92" s="75" t="s">
        <v>276</v>
      </c>
    </row>
    <row r="93" spans="2:5" x14ac:dyDescent="0.25">
      <c r="B93" s="75" t="s">
        <v>196</v>
      </c>
      <c r="C93" s="75" t="s">
        <v>277</v>
      </c>
      <c r="D93" s="75">
        <v>2</v>
      </c>
      <c r="E93" s="75" t="s">
        <v>277</v>
      </c>
    </row>
    <row r="94" spans="2:5" x14ac:dyDescent="0.25">
      <c r="B94" s="75" t="s">
        <v>196</v>
      </c>
      <c r="C94" s="75" t="s">
        <v>278</v>
      </c>
      <c r="D94" s="75">
        <v>3</v>
      </c>
      <c r="E94" s="75" t="s">
        <v>278</v>
      </c>
    </row>
    <row r="95" spans="2:5" x14ac:dyDescent="0.25">
      <c r="B95" s="75" t="s">
        <v>196</v>
      </c>
      <c r="C95" s="75" t="s">
        <v>279</v>
      </c>
      <c r="D95" s="75">
        <v>4</v>
      </c>
      <c r="E95" s="75" t="s">
        <v>279</v>
      </c>
    </row>
    <row r="96" spans="2:5" x14ac:dyDescent="0.25">
      <c r="B96" s="75" t="s">
        <v>197</v>
      </c>
      <c r="C96" s="75" t="s">
        <v>280</v>
      </c>
      <c r="D96" s="75">
        <v>0</v>
      </c>
      <c r="E96" s="75" t="s">
        <v>280</v>
      </c>
    </row>
    <row r="97" spans="2:5" x14ac:dyDescent="0.25">
      <c r="B97" s="75" t="s">
        <v>197</v>
      </c>
      <c r="C97" s="75" t="s">
        <v>281</v>
      </c>
      <c r="D97" s="75">
        <v>1</v>
      </c>
      <c r="E97" s="75" t="s">
        <v>281</v>
      </c>
    </row>
    <row r="98" spans="2:5" x14ac:dyDescent="0.25">
      <c r="B98" s="75" t="s">
        <v>197</v>
      </c>
      <c r="C98" s="75" t="s">
        <v>282</v>
      </c>
      <c r="D98" s="75">
        <v>2</v>
      </c>
      <c r="E98" s="75" t="s">
        <v>282</v>
      </c>
    </row>
    <row r="99" spans="2:5" x14ac:dyDescent="0.25">
      <c r="B99" s="75" t="s">
        <v>197</v>
      </c>
      <c r="C99" s="75" t="s">
        <v>283</v>
      </c>
      <c r="D99" s="75">
        <v>3</v>
      </c>
      <c r="E99" s="75" t="s">
        <v>283</v>
      </c>
    </row>
    <row r="100" spans="2:5" x14ac:dyDescent="0.25">
      <c r="B100" s="75" t="s">
        <v>197</v>
      </c>
      <c r="C100" s="75" t="s">
        <v>284</v>
      </c>
      <c r="D100" s="75">
        <v>4</v>
      </c>
      <c r="E100" s="75" t="s">
        <v>284</v>
      </c>
    </row>
    <row r="101" spans="2:5" x14ac:dyDescent="0.25">
      <c r="B101" s="75" t="s">
        <v>197</v>
      </c>
      <c r="C101" s="75" t="s">
        <v>285</v>
      </c>
      <c r="D101" s="75">
        <v>5</v>
      </c>
      <c r="E101" s="75" t="s">
        <v>285</v>
      </c>
    </row>
    <row r="102" spans="2:5" x14ac:dyDescent="0.25">
      <c r="B102" s="75" t="s">
        <v>197</v>
      </c>
      <c r="C102" s="75" t="s">
        <v>286</v>
      </c>
      <c r="D102" s="75">
        <v>6</v>
      </c>
      <c r="E102" s="75" t="s">
        <v>286</v>
      </c>
    </row>
    <row r="103" spans="2:5" x14ac:dyDescent="0.25">
      <c r="B103" t="s">
        <v>113</v>
      </c>
      <c r="C103" t="s">
        <v>154</v>
      </c>
      <c r="D103">
        <v>0</v>
      </c>
      <c r="E103" t="s">
        <v>154</v>
      </c>
    </row>
    <row r="104" spans="2:5" x14ac:dyDescent="0.25">
      <c r="B104" t="s">
        <v>113</v>
      </c>
      <c r="C104" t="s">
        <v>155</v>
      </c>
      <c r="D104">
        <v>0</v>
      </c>
      <c r="E104" t="s">
        <v>155</v>
      </c>
    </row>
    <row r="105" spans="2:5" x14ac:dyDescent="0.25">
      <c r="B105" t="s">
        <v>113</v>
      </c>
      <c r="C105" t="s">
        <v>156</v>
      </c>
      <c r="D105">
        <v>1</v>
      </c>
      <c r="E105" t="s">
        <v>156</v>
      </c>
    </row>
    <row r="106" spans="2:5" x14ac:dyDescent="0.25">
      <c r="B106" t="s">
        <v>113</v>
      </c>
      <c r="C106" t="s">
        <v>157</v>
      </c>
      <c r="D106">
        <v>2</v>
      </c>
      <c r="E106" t="s">
        <v>157</v>
      </c>
    </row>
    <row r="107" spans="2:5" x14ac:dyDescent="0.25">
      <c r="B107" t="s">
        <v>113</v>
      </c>
      <c r="C107" t="s">
        <v>158</v>
      </c>
      <c r="D107">
        <v>3</v>
      </c>
      <c r="E107" t="s">
        <v>158</v>
      </c>
    </row>
    <row r="108" spans="2:5" x14ac:dyDescent="0.25">
      <c r="B108" t="s">
        <v>113</v>
      </c>
      <c r="C108" t="s">
        <v>159</v>
      </c>
      <c r="D108">
        <v>4</v>
      </c>
      <c r="E108" t="s">
        <v>159</v>
      </c>
    </row>
    <row r="109" spans="2:5" x14ac:dyDescent="0.25">
      <c r="B109" t="s">
        <v>113</v>
      </c>
      <c r="C109" t="s">
        <v>160</v>
      </c>
      <c r="D109">
        <v>5</v>
      </c>
      <c r="E109" t="s">
        <v>160</v>
      </c>
    </row>
    <row r="110" spans="2:5" x14ac:dyDescent="0.25">
      <c r="B110" t="s">
        <v>113</v>
      </c>
      <c r="C110" t="s">
        <v>161</v>
      </c>
      <c r="D110">
        <v>6</v>
      </c>
      <c r="E110" t="s">
        <v>161</v>
      </c>
    </row>
    <row r="111" spans="2:5" x14ac:dyDescent="0.25">
      <c r="B111" t="s">
        <v>113</v>
      </c>
      <c r="C111" t="s">
        <v>162</v>
      </c>
      <c r="D111">
        <v>7</v>
      </c>
      <c r="E111" t="s">
        <v>162</v>
      </c>
    </row>
    <row r="112" spans="2:5" x14ac:dyDescent="0.25">
      <c r="B112" s="71" t="s">
        <v>163</v>
      </c>
      <c r="C112" s="70" t="b">
        <v>1</v>
      </c>
      <c r="D112" s="76">
        <v>0</v>
      </c>
      <c r="E112" s="70" t="b">
        <v>1</v>
      </c>
    </row>
    <row r="113" spans="2:5" x14ac:dyDescent="0.25">
      <c r="B113" s="70" t="s">
        <v>163</v>
      </c>
      <c r="C113" s="70" t="b">
        <v>0</v>
      </c>
      <c r="D113" s="76">
        <v>1</v>
      </c>
      <c r="E113" s="70" t="b">
        <v>0</v>
      </c>
    </row>
  </sheetData>
  <dataConsolidate/>
  <phoneticPr fontId="1" type="noConversion"/>
  <conditionalFormatting sqref="B63:B64">
    <cfRule type="expression" dxfId="5" priority="28">
      <formula>$K63="GROUP"</formula>
    </cfRule>
  </conditionalFormatting>
  <conditionalFormatting sqref="B65:B66">
    <cfRule type="expression" dxfId="4" priority="25">
      <formula>$K65="GROUP"</formula>
    </cfRule>
  </conditionalFormatting>
  <conditionalFormatting sqref="B67:B68">
    <cfRule type="expression" dxfId="3" priority="21">
      <formula>$K67="GROUP"</formula>
    </cfRule>
  </conditionalFormatting>
  <conditionalFormatting sqref="B69:B70">
    <cfRule type="expression" dxfId="2" priority="17">
      <formula>$K69="GROUP"</formula>
    </cfRule>
  </conditionalFormatting>
  <conditionalFormatting sqref="B71:B72">
    <cfRule type="expression" dxfId="1" priority="13">
      <formula>$K71="GROUP"</formula>
    </cfRule>
  </conditionalFormatting>
  <conditionalFormatting sqref="B73:B75">
    <cfRule type="expression" dxfId="0" priority="10">
      <formula>$K73="GROUP"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Desc</vt:lpstr>
      <vt:lpstr>Verify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icis</cp:lastModifiedBy>
  <cp:lastPrinted>2025-06-16T08:26:39Z</cp:lastPrinted>
  <dcterms:created xsi:type="dcterms:W3CDTF">2025-03-04T05:07:27Z</dcterms:created>
  <dcterms:modified xsi:type="dcterms:W3CDTF">2025-07-17T09:32:49Z</dcterms:modified>
</cp:coreProperties>
</file>