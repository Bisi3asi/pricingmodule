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Bond(QuantLib)\docs\"/>
    </mc:Choice>
  </mc:AlternateContent>
  <xr:revisionPtr revIDLastSave="0" documentId="13_ncr:1_{61C21CBF-E545-4D36-B42D-EC221E79D319}" xr6:coauthVersionLast="47" xr6:coauthVersionMax="47" xr10:uidLastSave="{00000000-0000-0000-0000-000000000000}"/>
  <bookViews>
    <workbookView xWindow="-120" yWindow="-120" windowWidth="29040" windowHeight="15720" tabRatio="806" xr2:uid="{00000000-000D-0000-FFFF-FFFF00000000}"/>
  </bookViews>
  <sheets>
    <sheet name="Bond" sheetId="10" r:id="rId1"/>
    <sheet name="Curve" sheetId="7" r:id="rId2"/>
    <sheet name="Curve Setting" sheetId="8" r:id="rId3"/>
  </sheets>
  <functionGroups builtInGroupCount="19"/>
  <definedNames>
    <definedName name="solver_adj" localSheetId="0" hidden="1">Bond!$Q$33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Bond!$Q$35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0" i="10" l="1"/>
  <c r="Y31" i="10"/>
  <c r="Y32" i="10"/>
  <c r="Y33" i="10"/>
  <c r="Y34" i="10"/>
  <c r="Y29" i="10"/>
  <c r="P4" i="7" a="1"/>
  <c r="P4" i="7" l="1"/>
  <c r="T19" i="10" l="1"/>
  <c r="T23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icis</author>
  </authors>
  <commentList>
    <comment ref="Z17" authorId="0" shapeId="0" xr:uid="{7B8DC182-D940-4EF0-9710-AFFD665324FC}">
      <text>
        <r>
          <rPr>
            <b/>
            <sz val="9"/>
            <color indexed="81"/>
            <rFont val="Tahoma"/>
            <family val="2"/>
          </rPr>
          <t>icis:</t>
        </r>
        <r>
          <rPr>
            <sz val="9"/>
            <color indexed="81"/>
            <rFont val="Tahoma"/>
            <family val="2"/>
          </rPr>
          <t xml:space="preserve">
VBA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CSR Delta </t>
        </r>
        <r>
          <rPr>
            <sz val="9"/>
            <color indexed="81"/>
            <rFont val="돋움"/>
            <family val="3"/>
            <charset val="129"/>
          </rPr>
          <t>산출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없음으로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미고려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<sst xmlns="http://schemas.openxmlformats.org/spreadsheetml/2006/main" count="321" uniqueCount="123">
  <si>
    <t>Business Day Convention</t>
    <phoneticPr fontId="1" type="noConversion"/>
  </si>
  <si>
    <t>Act/365</t>
    <phoneticPr fontId="1" type="noConversion"/>
  </si>
  <si>
    <t>Period End Date</t>
    <phoneticPr fontId="1" type="noConversion"/>
  </si>
  <si>
    <t>Maturity Date</t>
    <phoneticPr fontId="1" type="noConversion"/>
  </si>
  <si>
    <t>Revaluation Date</t>
    <phoneticPr fontId="1" type="noConversion"/>
  </si>
  <si>
    <t>Discount Curve</t>
    <phoneticPr fontId="1" type="noConversion"/>
  </si>
  <si>
    <t>M</t>
  </si>
  <si>
    <t>Base Date</t>
    <phoneticPr fontId="1" type="noConversion"/>
  </si>
  <si>
    <t>Currency</t>
    <phoneticPr fontId="1" type="noConversion"/>
  </si>
  <si>
    <t>CurveID</t>
    <phoneticPr fontId="1" type="noConversion"/>
  </si>
  <si>
    <t>Unit</t>
    <phoneticPr fontId="1" type="noConversion"/>
  </si>
  <si>
    <t>Market Data</t>
    <phoneticPr fontId="1" type="noConversion"/>
  </si>
  <si>
    <t>Term</t>
    <phoneticPr fontId="1" type="noConversion"/>
  </si>
  <si>
    <t>Exchange Rate</t>
    <phoneticPr fontId="1" type="noConversion"/>
  </si>
  <si>
    <t xml:space="preserve"> o Trade Information</t>
    <phoneticPr fontId="1" type="noConversion"/>
  </si>
  <si>
    <t>Discount Factor</t>
    <phoneticPr fontId="1" type="noConversion"/>
  </si>
  <si>
    <t>Present Value</t>
    <phoneticPr fontId="1" type="noConversion"/>
  </si>
  <si>
    <t>Year Fraction</t>
    <phoneticPr fontId="1" type="noConversion"/>
  </si>
  <si>
    <t xml:space="preserve"> o Sensitivity FRTB-SA</t>
    <phoneticPr fontId="1" type="noConversion"/>
  </si>
  <si>
    <t>1Y</t>
    <phoneticPr fontId="1" type="noConversion"/>
  </si>
  <si>
    <t>3Y</t>
    <phoneticPr fontId="1" type="noConversion"/>
  </si>
  <si>
    <t>5Y</t>
    <phoneticPr fontId="1" type="noConversion"/>
  </si>
  <si>
    <t>10Y</t>
    <phoneticPr fontId="1" type="noConversion"/>
  </si>
  <si>
    <t>Interest Rate Curve</t>
    <phoneticPr fontId="1" type="noConversion"/>
  </si>
  <si>
    <t>Tenor</t>
    <phoneticPr fontId="1" type="noConversion"/>
  </si>
  <si>
    <t>Sensitivity</t>
    <phoneticPr fontId="1" type="noConversion"/>
  </si>
  <si>
    <t>GIRR</t>
    <phoneticPr fontId="1" type="noConversion"/>
  </si>
  <si>
    <t>Currency pair</t>
    <phoneticPr fontId="1" type="noConversion"/>
  </si>
  <si>
    <t>Product Type</t>
    <phoneticPr fontId="1" type="noConversion"/>
  </si>
  <si>
    <t>Day Count Basis</t>
    <phoneticPr fontId="1" type="noConversion"/>
  </si>
  <si>
    <t>Product Code</t>
    <phoneticPr fontId="1" type="noConversion"/>
  </si>
  <si>
    <t>Trade ID</t>
    <phoneticPr fontId="1" type="noConversion"/>
  </si>
  <si>
    <t>***********</t>
    <phoneticPr fontId="1" type="noConversion"/>
  </si>
  <si>
    <t>IREUR-CRS</t>
    <phoneticPr fontId="1" type="noConversion"/>
  </si>
  <si>
    <t>IRKRW-CRS</t>
    <phoneticPr fontId="1" type="noConversion"/>
  </si>
  <si>
    <t>Net PV(in Domestic)</t>
    <phoneticPr fontId="1" type="noConversion"/>
  </si>
  <si>
    <t>IRKRW-CRS</t>
  </si>
  <si>
    <t>Discount Rate</t>
    <phoneticPr fontId="1" type="noConversion"/>
  </si>
  <si>
    <t>-</t>
    <phoneticPr fontId="1" type="noConversion"/>
  </si>
  <si>
    <t xml:space="preserve"> o Valuation - CashFlow</t>
    <phoneticPr fontId="1" type="noConversion"/>
  </si>
  <si>
    <t>IREUR-CRS</t>
  </si>
  <si>
    <t>M</t>
    <phoneticPr fontId="1" type="noConversion"/>
  </si>
  <si>
    <t>Y</t>
  </si>
  <si>
    <t>Y</t>
    <phoneticPr fontId="1" type="noConversion"/>
  </si>
  <si>
    <t>FX</t>
    <phoneticPr fontId="1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</si>
  <si>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</si>
  <si>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</si>
  <si>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</si>
  <si>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</si>
  <si>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</si>
  <si>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</si>
  <si>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</si>
  <si>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</si>
  <si>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</si>
  <si>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</si>
  <si>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1" type="noConversion"/>
  </si>
  <si>
    <t>6M</t>
    <phoneticPr fontId="1" type="noConversion"/>
  </si>
  <si>
    <t>Zero Rate</t>
    <phoneticPr fontId="1" type="noConversion"/>
  </si>
  <si>
    <t>□ Bond 상품 정의</t>
    <phoneticPr fontId="1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</si>
  <si>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1" type="noConversion"/>
  </si>
  <si>
    <t>□ Bond 상품 평가</t>
    <phoneticPr fontId="1" type="noConversion"/>
  </si>
  <si>
    <t xml:space="preserve"> - 채권 발행 원금, 쿠폰금리, 이자지급주기 등을 고려하여 채권의 만기시점까지 발생하는 현금흐름을 산출</t>
    <phoneticPr fontId="1" type="noConversion"/>
  </si>
  <si>
    <t xml:space="preserve"> - 산출한 현금흐름을 할인계수를 적용하여 현재시점으로 할인하여 평가</t>
    <phoneticPr fontId="1" type="noConversion"/>
  </si>
  <si>
    <t>FI0101</t>
    <phoneticPr fontId="1" type="noConversion"/>
  </si>
  <si>
    <t>Issue Date</t>
    <phoneticPr fontId="1" type="noConversion"/>
  </si>
  <si>
    <t>ISIN</t>
    <phoneticPr fontId="1" type="noConversion"/>
  </si>
  <si>
    <t>Issuer</t>
    <phoneticPr fontId="1" type="noConversion"/>
  </si>
  <si>
    <t>Face Value</t>
    <phoneticPr fontId="1" type="noConversion"/>
  </si>
  <si>
    <t>Trade Price</t>
    <phoneticPr fontId="1" type="noConversion"/>
  </si>
  <si>
    <t>Coupon Rate</t>
    <phoneticPr fontId="1" type="noConversion"/>
  </si>
  <si>
    <t>Coupon</t>
    <phoneticPr fontId="1" type="noConversion"/>
  </si>
  <si>
    <t>KR0100000001</t>
    <phoneticPr fontId="1" type="noConversion"/>
  </si>
  <si>
    <t>Republic of Korea</t>
    <phoneticPr fontId="1" type="noConversion"/>
  </si>
  <si>
    <t>Net Present Value</t>
    <phoneticPr fontId="1" type="noConversion"/>
  </si>
  <si>
    <t>Duration</t>
    <phoneticPr fontId="1" type="noConversion"/>
  </si>
  <si>
    <t>Convexity</t>
    <phoneticPr fontId="1" type="noConversion"/>
  </si>
  <si>
    <t>Clean Price</t>
    <phoneticPr fontId="1" type="noConversion"/>
  </si>
  <si>
    <t>Dirty Price</t>
    <phoneticPr fontId="1" type="noConversion"/>
  </si>
  <si>
    <t>Yield to Maturity</t>
    <phoneticPr fontId="1" type="noConversion"/>
  </si>
  <si>
    <t>Acc. Interest</t>
    <phoneticPr fontId="1" type="noConversion"/>
  </si>
  <si>
    <t>Floating Reference Curve</t>
    <phoneticPr fontId="1" type="noConversion"/>
  </si>
  <si>
    <t>Sector *</t>
    <phoneticPr fontId="1" type="noConversion"/>
  </si>
  <si>
    <t>Credit Quality *</t>
    <phoneticPr fontId="1" type="noConversion"/>
  </si>
  <si>
    <t>Curve</t>
    <phoneticPr fontId="1" type="noConversion"/>
  </si>
  <si>
    <t>Mod. Duration</t>
    <phoneticPr fontId="1" type="noConversion"/>
  </si>
  <si>
    <t>Start Date</t>
    <phoneticPr fontId="1" type="noConversion"/>
  </si>
  <si>
    <t>End Date</t>
    <phoneticPr fontId="1" type="noConversion"/>
  </si>
  <si>
    <t>IRKRW-IRS</t>
    <phoneticPr fontId="1" type="noConversion"/>
  </si>
  <si>
    <t>Pricipal Amount</t>
    <phoneticPr fontId="1" type="noConversion"/>
  </si>
  <si>
    <t>hk</t>
    <phoneticPr fontId="1" type="noConversion"/>
  </si>
  <si>
    <t>Credit Spread Curve</t>
    <phoneticPr fontId="1" type="noConversion"/>
  </si>
  <si>
    <t>IRKRW-Treasury-CSR-NSEC-B1</t>
    <phoneticPr fontId="1" type="noConversion"/>
  </si>
  <si>
    <t>CSR-Nsec</t>
    <phoneticPr fontId="1" type="noConversion"/>
  </si>
  <si>
    <t>Payment Date</t>
    <phoneticPr fontId="1" type="noConversion"/>
  </si>
  <si>
    <t>NLY_Days</t>
    <phoneticPr fontId="1" type="noConversion"/>
  </si>
  <si>
    <t>LY_Days</t>
    <phoneticPr fontId="1" type="noConversion"/>
  </si>
  <si>
    <t>Coupon Frequency(M)</t>
    <phoneticPr fontId="1" type="noConversion"/>
  </si>
  <si>
    <t>Adjusted</t>
  </si>
  <si>
    <t>IRKRW-IRS</t>
  </si>
  <si>
    <t>Mod.Following</t>
  </si>
  <si>
    <t>Coupon</t>
  </si>
  <si>
    <t>Coupon Day Count Basis</t>
    <phoneticPr fontId="1" type="noConversion"/>
  </si>
  <si>
    <t>Date</t>
    <phoneticPr fontId="1" type="noConversion"/>
  </si>
  <si>
    <t>Accrual Day Count Basis</t>
    <phoneticPr fontId="1" type="noConversion"/>
  </si>
  <si>
    <t>Act/Act</t>
  </si>
  <si>
    <t>Act/365</t>
  </si>
  <si>
    <t>IRUSD-RFR</t>
  </si>
  <si>
    <t>IRUSD-RFR</t>
    <phoneticPr fontId="1" type="noConversion"/>
  </si>
  <si>
    <t>USD</t>
    <phoneticPr fontId="1" type="noConversion"/>
  </si>
  <si>
    <t>Bond-Fixed Rate Bond</t>
    <phoneticPr fontId="1" type="noConversion"/>
  </si>
  <si>
    <t>DF = e^(-rT)</t>
    <phoneticPr fontId="1" type="noConversion"/>
  </si>
  <si>
    <t>범례</t>
    <phoneticPr fontId="1" type="noConversion"/>
  </si>
  <si>
    <t>VBA 산출값</t>
    <phoneticPr fontId="1" type="noConversion"/>
  </si>
  <si>
    <t>초기 입력값</t>
    <phoneticPr fontId="1" type="noConversion"/>
  </si>
  <si>
    <t>결과값</t>
    <phoneticPr fontId="1" type="noConversion"/>
  </si>
  <si>
    <t>단순 입력값 이동</t>
    <phoneticPr fontId="1" type="noConversion"/>
  </si>
  <si>
    <t>입력값 (구현간 미사용)</t>
    <phoneticPr fontId="1" type="noConversion"/>
  </si>
  <si>
    <t>GIRR Delta</t>
  </si>
  <si>
    <t>QuantLib 산출값</t>
    <phoneticPr fontId="1" type="noConversion"/>
  </si>
  <si>
    <t>산출값 차이율</t>
    <phoneticPr fontId="1" type="noConversion"/>
  </si>
  <si>
    <t>QuantLib</t>
    <phoneticPr fontId="1" type="noConversion"/>
  </si>
  <si>
    <t>오차율</t>
    <phoneticPr fontId="1" type="noConversion"/>
  </si>
  <si>
    <t>Sensitivity(QuantLib)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</si>
</sst>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77" formatCode="0.000%"/>
    <numFmt numFmtId="178" formatCode="_-* #,##0.00_-;\-* #,##0.00_-;_-* &quot;-&quot;_-;_-@_-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  <numFmt numFmtId="191" formatCode="#,##0.00_ 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4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2" fillId="2" borderId="0" xfId="0" applyFont="1" applyFill="1">
      <alignment vertical="center"/>
    </xf>
    <xf numFmtId="0" fontId="0" fillId="2" borderId="1" xfId="0" applyFill="1" applyBorder="1">
      <alignment vertical="center"/>
    </xf>
    <xf numFmtId="14" fontId="0" fillId="2" borderId="1" xfId="0" applyNumberFormat="1" applyFill="1" applyBorder="1">
      <alignment vertical="center"/>
    </xf>
    <xf numFmtId="0" fontId="2" fillId="4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41" fontId="0" fillId="2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4" borderId="1" xfId="0" applyFont="1" applyFill="1" applyBorder="1">
      <alignment vertical="center"/>
    </xf>
    <xf numFmtId="43" fontId="0" fillId="2" borderId="1" xfId="0" applyNumberFormat="1" applyFill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2" fillId="4" borderId="1" xfId="0" applyFont="1" applyFill="1" applyBorder="1" applyAlignment="1">
      <alignment horizontal="left" vertical="center"/>
    </xf>
    <xf numFmtId="178" fontId="0" fillId="2" borderId="1" xfId="1" applyNumberFormat="1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41" fontId="0" fillId="2" borderId="0" xfId="1" applyFont="1" applyFill="1">
      <alignment vertical="center"/>
    </xf>
    <xf numFmtId="0" fontId="2" fillId="7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1" xfId="0" applyFill="1" applyBorder="1">
      <alignment vertical="center"/>
    </xf>
    <xf numFmtId="14" fontId="0" fillId="2" borderId="1" xfId="0" applyNumberFormat="1" applyFill="1" applyBorder="1" applyAlignment="1">
      <alignment horizontal="center" vertical="center"/>
    </xf>
    <xf numFmtId="180" fontId="0" fillId="2" borderId="0" xfId="0" applyNumberFormat="1" applyFill="1">
      <alignment vertical="center"/>
    </xf>
    <xf numFmtId="0" fontId="0" fillId="7" borderId="5" xfId="0" applyFill="1" applyBorder="1" applyAlignment="1">
      <alignment vertical="center" wrapText="1"/>
    </xf>
    <xf numFmtId="14" fontId="0" fillId="2" borderId="0" xfId="0" applyNumberForma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2" fillId="4" borderId="1" xfId="1" applyFont="1" applyFill="1" applyBorder="1" applyAlignment="1">
      <alignment horizontal="center" vertical="center"/>
    </xf>
    <xf numFmtId="10" fontId="2" fillId="4" borderId="1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41" fontId="0" fillId="6" borderId="1" xfId="1" applyFont="1" applyFill="1" applyBorder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2" fillId="4" borderId="1" xfId="0" applyNumberFormat="1" applyFont="1" applyFill="1" applyBorder="1" applyAlignment="1">
      <alignment horizontal="center"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2" fillId="4" borderId="5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186" fontId="0" fillId="2" borderId="0" xfId="0" applyNumberFormat="1" applyFill="1">
      <alignment vertical="center"/>
    </xf>
    <xf numFmtId="0" fontId="0" fillId="2" borderId="10" xfId="0" applyFill="1" applyBorder="1">
      <alignment vertical="center"/>
    </xf>
    <xf numFmtId="0" fontId="0" fillId="2" borderId="12" xfId="0" applyFill="1" applyBorder="1">
      <alignment vertical="center"/>
    </xf>
    <xf numFmtId="10" fontId="0" fillId="10" borderId="1" xfId="2" applyNumberFormat="1" applyFont="1" applyFill="1" applyBorder="1" applyAlignment="1">
      <alignment horizontal="right" vertical="center"/>
    </xf>
    <xf numFmtId="41" fontId="0" fillId="10" borderId="1" xfId="1" applyFont="1" applyFill="1" applyBorder="1">
      <alignment vertical="center"/>
    </xf>
    <xf numFmtId="0" fontId="0" fillId="10" borderId="1" xfId="0" applyFill="1" applyBorder="1" applyAlignment="1">
      <alignment horizontal="center" vertical="center"/>
    </xf>
    <xf numFmtId="14" fontId="0" fillId="10" borderId="1" xfId="1" applyNumberFormat="1" applyFont="1" applyFill="1" applyBorder="1">
      <alignment vertical="center"/>
    </xf>
    <xf numFmtId="182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41" fontId="0" fillId="11" borderId="0" xfId="1" applyFont="1" applyFill="1" applyBorder="1" applyAlignment="1">
      <alignment horizontal="center" vertical="center"/>
    </xf>
    <xf numFmtId="183" fontId="0" fillId="11" borderId="0" xfId="0" applyNumberFormat="1" applyFill="1">
      <alignment vertical="center"/>
    </xf>
    <xf numFmtId="178" fontId="0" fillId="11" borderId="0" xfId="1" applyNumberFormat="1" applyFont="1" applyFill="1" applyBorder="1">
      <alignment vertical="center"/>
    </xf>
    <xf numFmtId="49" fontId="0" fillId="11" borderId="0" xfId="0" applyNumberFormat="1" applyFill="1">
      <alignment vertical="center"/>
    </xf>
    <xf numFmtId="0" fontId="0" fillId="12" borderId="3" xfId="0" applyFill="1" applyBorder="1" applyAlignment="1">
      <alignment horizontal="center" vertical="center"/>
    </xf>
    <xf numFmtId="41" fontId="0" fillId="12" borderId="0" xfId="1" applyFont="1" applyFill="1" applyBorder="1" applyAlignment="1">
      <alignment horizontal="center" vertical="center"/>
    </xf>
    <xf numFmtId="10" fontId="0" fillId="12" borderId="0" xfId="2" applyNumberFormat="1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14" fontId="0" fillId="10" borderId="1" xfId="0" applyNumberFormat="1" applyFill="1" applyBorder="1">
      <alignment vertical="center"/>
    </xf>
    <xf numFmtId="0" fontId="0" fillId="10" borderId="1" xfId="0" applyFill="1" applyBorder="1">
      <alignment vertical="center"/>
    </xf>
    <xf numFmtId="14" fontId="0" fillId="13" borderId="1" xfId="0" applyNumberFormat="1" applyFill="1" applyBorder="1">
      <alignment vertical="center"/>
    </xf>
    <xf numFmtId="0" fontId="0" fillId="13" borderId="1" xfId="0" applyFill="1" applyBorder="1">
      <alignment vertical="center"/>
    </xf>
    <xf numFmtId="0" fontId="0" fillId="3" borderId="1" xfId="0" applyFill="1" applyBorder="1">
      <alignment vertical="center"/>
    </xf>
    <xf numFmtId="181" fontId="0" fillId="13" borderId="1" xfId="0" applyNumberFormat="1" applyFill="1" applyBorder="1">
      <alignment vertical="center"/>
    </xf>
    <xf numFmtId="180" fontId="0" fillId="13" borderId="1" xfId="0" applyNumberForma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7" borderId="5" xfId="0" applyFill="1" applyBorder="1" applyAlignment="1">
      <alignment horizontal="left" vertical="center" wrapText="1"/>
    </xf>
    <xf numFmtId="0" fontId="0" fillId="7" borderId="6" xfId="0" applyFill="1" applyBorder="1" applyAlignment="1">
      <alignment horizontal="left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left" vertical="center"/>
    </xf>
    <xf numFmtId="0" fontId="0" fillId="7" borderId="6" xfId="0" applyFill="1" applyBorder="1" applyAlignment="1">
      <alignment horizontal="left" vertical="center"/>
    </xf>
    <xf numFmtId="41" fontId="0" fillId="10" borderId="1" xfId="1" applyFont="1" applyFill="1" applyBorder="1" applyAlignment="1">
      <alignment horizontal="center" vertical="center"/>
    </xf>
    <xf numFmtId="14" fontId="0" fillId="10" borderId="0" xfId="0" applyNumberFormat="1" applyFill="1" applyAlignment="1">
      <alignment horizontal="center" vertical="center"/>
    </xf>
    <xf numFmtId="14" fontId="0" fillId="10" borderId="0" xfId="1" applyNumberFormat="1" applyFont="1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43" fontId="0" fillId="15" borderId="1" xfId="0" applyNumberFormat="1" applyFill="1" applyBorder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right" vertical="center"/>
    </xf>
    <xf numFmtId="43" fontId="7" fillId="2" borderId="2" xfId="0" applyNumberFormat="1" applyFont="1" applyFill="1" applyBorder="1" applyAlignment="1">
      <alignment horizontal="right" vertical="center"/>
    </xf>
    <xf numFmtId="43" fontId="7" fillId="2" borderId="4" xfId="0" applyNumberFormat="1" applyFont="1" applyFill="1" applyBorder="1">
      <alignment vertical="center"/>
    </xf>
    <xf numFmtId="4" fontId="6" fillId="2" borderId="1" xfId="0" applyNumberFormat="1" applyFont="1" applyFill="1" applyBorder="1" applyAlignment="1">
      <alignment horizontal="right" vertical="center"/>
    </xf>
    <xf numFmtId="191" fontId="6" fillId="2" borderId="4" xfId="0" applyNumberFormat="1" applyFont="1" applyFill="1" applyBorder="1">
      <alignment vertical="center"/>
    </xf>
    <xf numFmtId="180" fontId="0" fillId="2" borderId="1" xfId="0" applyNumberFormat="1" applyFill="1" applyBorder="1">
      <alignment vertical="center"/>
    </xf>
    <xf numFmtId="178" fontId="0" fillId="2" borderId="9" xfId="1" applyNumberFormat="1" applyFont="1" applyFill="1" applyBorder="1">
      <alignment vertical="center"/>
    </xf>
    <xf numFmtId="178" fontId="0" fillId="2" borderId="11" xfId="1" applyNumberFormat="1" applyFont="1" applyFill="1" applyBorder="1">
      <alignment vertical="center"/>
    </xf>
    <xf numFmtId="43" fontId="7" fillId="2" borderId="12" xfId="0" applyNumberFormat="1" applyFont="1" applyFill="1" applyBorder="1" applyAlignment="1">
      <alignment horizontal="right" vertical="center"/>
    </xf>
    <xf numFmtId="43" fontId="7" fillId="2" borderId="8" xfId="0" applyNumberFormat="1" applyFont="1" applyFill="1" applyBorder="1" applyAlignment="1">
      <alignment horizontal="right" vertical="center"/>
    </xf>
    <xf numFmtId="43" fontId="7" fillId="2" borderId="10" xfId="0" applyNumberFormat="1" applyFont="1" applyFill="1" applyBorder="1" applyAlignment="1">
      <alignment horizontal="right" vertical="center"/>
    </xf>
    <xf numFmtId="178" fontId="7" fillId="2" borderId="7" xfId="1" applyNumberFormat="1" applyFont="1" applyFill="1" applyBorder="1" applyAlignment="1">
      <alignment horizontal="right" vertical="center"/>
    </xf>
    <xf numFmtId="178" fontId="0" fillId="15" borderId="7" xfId="1" applyNumberFormat="1" applyFont="1" applyFill="1" applyBorder="1">
      <alignment vertical="center"/>
    </xf>
    <xf numFmtId="191" fontId="11" fillId="2" borderId="8" xfId="0" applyNumberFormat="1" applyFont="1" applyFill="1" applyBorder="1">
      <alignment vertical="center"/>
    </xf>
    <xf numFmtId="178" fontId="0" fillId="15" borderId="9" xfId="1" applyNumberFormat="1" applyFont="1" applyFill="1" applyBorder="1">
      <alignment vertical="center"/>
    </xf>
    <xf numFmtId="191" fontId="11" fillId="2" borderId="10" xfId="0" applyNumberFormat="1" applyFont="1" applyFill="1" applyBorder="1">
      <alignment vertical="center"/>
    </xf>
    <xf numFmtId="178" fontId="0" fillId="15" borderId="11" xfId="1" applyNumberFormat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F78"/>
  <sheetViews>
    <sheetView tabSelected="1" topLeftCell="B1" zoomScale="70" zoomScaleNormal="70" workbookViewId="0">
      <pane ySplit="14" topLeftCell="A15" activePane="bottomLeft" state="frozen"/>
      <selection pane="bottomLeft" activeCell="C12" sqref="C12"/>
    </sheetView>
  </sheetViews>
  <sheetFormatPr defaultColWidth="9" defaultRowHeight="16.5" x14ac:dyDescent="0.3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6" width="20.625" style="1" customWidth="1"/>
    <col min="7" max="8" width="15.625" style="12" customWidth="1"/>
    <col min="9" max="9" width="20.875" style="12" customWidth="1"/>
    <col min="10" max="11" width="20.625" style="12" customWidth="1"/>
    <col min="12" max="12" width="20.625" style="27" customWidth="1"/>
    <col min="13" max="13" width="15.625" style="51" customWidth="1"/>
    <col min="14" max="14" width="15.625" style="27" customWidth="1"/>
    <col min="15" max="15" width="15.625" style="12" customWidth="1"/>
    <col min="16" max="16" width="20.625" style="12" customWidth="1"/>
    <col min="17" max="18" width="15.625" style="56" customWidth="1"/>
    <col min="19" max="19" width="20.625" style="53" customWidth="1"/>
    <col min="20" max="20" width="20.625" style="1" customWidth="1"/>
    <col min="21" max="21" width="4.875" style="1" customWidth="1"/>
    <col min="22" max="24" width="20.625" style="1" customWidth="1"/>
    <col min="25" max="25" width="21.25" style="1" bestFit="1" customWidth="1"/>
    <col min="26" max="28" width="20.625" style="1" customWidth="1"/>
    <col min="29" max="29" width="5.625" style="1" customWidth="1"/>
    <col min="30" max="32" width="20.625" style="1" customWidth="1"/>
    <col min="33" max="33" width="5.625" style="1" customWidth="1"/>
    <col min="34" max="16384" width="9" style="1"/>
  </cols>
  <sheetData>
    <row r="1" spans="2:29" s="2" customFormat="1" x14ac:dyDescent="0.3">
      <c r="G1" s="31"/>
      <c r="H1" s="31"/>
      <c r="I1" s="31"/>
      <c r="J1" s="31"/>
      <c r="K1" s="31"/>
      <c r="L1" s="41"/>
      <c r="M1" s="49"/>
      <c r="N1" s="41" t="s">
        <v>89</v>
      </c>
      <c r="O1" s="31"/>
      <c r="P1" s="31"/>
      <c r="Q1" s="54"/>
      <c r="R1" s="54"/>
      <c r="S1" s="62"/>
    </row>
    <row r="2" spans="2:29" s="3" customFormat="1" x14ac:dyDescent="0.3">
      <c r="G2" s="32"/>
      <c r="H2" s="32"/>
      <c r="I2" s="32"/>
      <c r="J2" s="32"/>
      <c r="K2" s="32"/>
      <c r="L2" s="42"/>
      <c r="M2" s="50"/>
      <c r="N2" s="42"/>
      <c r="O2" s="32"/>
      <c r="P2" s="32"/>
      <c r="Q2" s="55"/>
      <c r="R2" s="55"/>
      <c r="S2" s="63"/>
    </row>
    <row r="3" spans="2:29" ht="16.5" customHeight="1" x14ac:dyDescent="0.3"/>
    <row r="4" spans="2:29" ht="16.5" customHeight="1" x14ac:dyDescent="0.3">
      <c r="B4" s="4" t="s">
        <v>58</v>
      </c>
      <c r="C4" s="4"/>
    </row>
    <row r="5" spans="2:29" ht="16.5" customHeight="1" x14ac:dyDescent="0.3">
      <c r="B5" s="1" t="s">
        <v>59</v>
      </c>
    </row>
    <row r="6" spans="2:29" ht="16.5" customHeight="1" x14ac:dyDescent="0.3"/>
    <row r="7" spans="2:29" ht="16.5" customHeight="1" x14ac:dyDescent="0.3">
      <c r="B7" s="4" t="s">
        <v>60</v>
      </c>
      <c r="I7" s="93" t="s">
        <v>111</v>
      </c>
    </row>
    <row r="8" spans="2:29" ht="16.5" customHeight="1" x14ac:dyDescent="0.3">
      <c r="B8" s="1" t="s">
        <v>61</v>
      </c>
      <c r="C8" s="4"/>
      <c r="I8" s="129" t="s">
        <v>113</v>
      </c>
      <c r="J8" s="109"/>
    </row>
    <row r="9" spans="2:29" ht="16.5" customHeight="1" x14ac:dyDescent="0.3">
      <c r="B9" s="1" t="s">
        <v>62</v>
      </c>
      <c r="I9" s="77" t="s">
        <v>112</v>
      </c>
    </row>
    <row r="10" spans="2:29" ht="16.5" customHeight="1" thickBot="1" x14ac:dyDescent="0.35">
      <c r="I10" s="82" t="s">
        <v>115</v>
      </c>
    </row>
    <row r="11" spans="2:29" ht="16.5" customHeight="1" x14ac:dyDescent="0.3">
      <c r="I11" s="107" t="s">
        <v>114</v>
      </c>
      <c r="T11" s="110" t="s">
        <v>118</v>
      </c>
    </row>
    <row r="12" spans="2:29" ht="16.5" customHeight="1" thickBot="1" x14ac:dyDescent="0.35">
      <c r="B12" s="24" t="s">
        <v>55</v>
      </c>
      <c r="C12" s="25" t="s">
        <v>117</v>
      </c>
      <c r="F12" s="34" t="s">
        <v>73</v>
      </c>
      <c r="G12" s="48">
        <v>3118964.8285085866</v>
      </c>
      <c r="I12" s="94" t="s">
        <v>116</v>
      </c>
      <c r="J12" s="1"/>
      <c r="K12" s="1"/>
      <c r="L12" s="1"/>
      <c r="M12" s="12"/>
      <c r="O12" s="1"/>
      <c r="Q12" s="57"/>
      <c r="R12" s="57"/>
      <c r="T12" s="111" t="s">
        <v>119</v>
      </c>
    </row>
    <row r="13" spans="2:29" ht="16.5" customHeight="1" x14ac:dyDescent="0.3"/>
    <row r="14" spans="2:29" s="23" customFormat="1" ht="8.1" customHeight="1" x14ac:dyDescent="0.3">
      <c r="G14" s="33"/>
      <c r="H14" s="33"/>
      <c r="I14" s="33"/>
      <c r="J14" s="33"/>
      <c r="K14" s="33"/>
      <c r="L14" s="43"/>
      <c r="M14" s="52"/>
      <c r="N14" s="43"/>
      <c r="O14" s="33"/>
      <c r="P14" s="33"/>
      <c r="Q14" s="58"/>
      <c r="R14" s="58"/>
      <c r="S14" s="64"/>
    </row>
    <row r="16" spans="2:29" x14ac:dyDescent="0.3">
      <c r="B16" s="7" t="s">
        <v>14</v>
      </c>
      <c r="C16" s="7"/>
      <c r="D16" s="3"/>
      <c r="F16" s="7" t="s">
        <v>39</v>
      </c>
      <c r="G16" s="32"/>
      <c r="H16" s="32"/>
      <c r="V16" s="7" t="s">
        <v>18</v>
      </c>
      <c r="W16" s="3"/>
      <c r="X16" s="3"/>
      <c r="AC16" s="16"/>
    </row>
    <row r="17" spans="1:32" x14ac:dyDescent="0.3">
      <c r="V17" s="4" t="s">
        <v>26</v>
      </c>
      <c r="Z17" s="4" t="s">
        <v>92</v>
      </c>
      <c r="AD17" s="4" t="s">
        <v>44</v>
      </c>
    </row>
    <row r="18" spans="1:32" x14ac:dyDescent="0.3">
      <c r="A18" s="1">
        <v>1</v>
      </c>
      <c r="B18" s="102" t="s">
        <v>28</v>
      </c>
      <c r="C18" s="103"/>
      <c r="D18" s="35" t="s">
        <v>109</v>
      </c>
      <c r="F18" s="20"/>
      <c r="G18" s="15" t="s">
        <v>85</v>
      </c>
      <c r="H18" s="15" t="s">
        <v>86</v>
      </c>
      <c r="I18" s="15" t="s">
        <v>93</v>
      </c>
      <c r="J18" s="15" t="s">
        <v>94</v>
      </c>
      <c r="K18" s="15" t="s">
        <v>95</v>
      </c>
      <c r="L18" s="44" t="s">
        <v>88</v>
      </c>
      <c r="M18" s="45" t="s">
        <v>69</v>
      </c>
      <c r="N18" s="44" t="s">
        <v>70</v>
      </c>
      <c r="O18" s="15" t="s">
        <v>17</v>
      </c>
      <c r="P18" s="15" t="s">
        <v>5</v>
      </c>
      <c r="Q18" s="59" t="s">
        <v>37</v>
      </c>
      <c r="R18" s="59" t="s">
        <v>15</v>
      </c>
      <c r="S18" s="65" t="s">
        <v>16</v>
      </c>
      <c r="T18" s="15" t="s">
        <v>35</v>
      </c>
      <c r="V18" s="18" t="s">
        <v>23</v>
      </c>
      <c r="W18" s="18" t="s">
        <v>24</v>
      </c>
      <c r="X18" s="18" t="s">
        <v>25</v>
      </c>
      <c r="Y18" s="115" t="s">
        <v>122</v>
      </c>
      <c r="Z18" s="18" t="s">
        <v>23</v>
      </c>
      <c r="AA18" s="18" t="s">
        <v>24</v>
      </c>
      <c r="AB18" s="18" t="s">
        <v>25</v>
      </c>
      <c r="AD18" s="13" t="s">
        <v>27</v>
      </c>
      <c r="AE18" s="13" t="s">
        <v>13</v>
      </c>
      <c r="AF18" s="13" t="s">
        <v>25</v>
      </c>
    </row>
    <row r="19" spans="1:32" x14ac:dyDescent="0.3">
      <c r="A19" s="1">
        <v>2</v>
      </c>
      <c r="B19" s="102" t="s">
        <v>30</v>
      </c>
      <c r="C19" s="103"/>
      <c r="D19" s="35" t="s">
        <v>63</v>
      </c>
      <c r="E19" s="1">
        <v>1</v>
      </c>
      <c r="F19" s="85" t="s">
        <v>100</v>
      </c>
      <c r="G19" s="105">
        <v>45504</v>
      </c>
      <c r="H19" s="106">
        <v>45688</v>
      </c>
      <c r="I19" s="106">
        <v>45688</v>
      </c>
      <c r="J19" s="75">
        <v>31</v>
      </c>
      <c r="K19" s="76">
        <v>153</v>
      </c>
      <c r="L19" s="83">
        <v>3000000</v>
      </c>
      <c r="M19" s="84">
        <v>5.5E-2</v>
      </c>
      <c r="N19" s="78">
        <v>82989.108466202568</v>
      </c>
      <c r="O19" s="76">
        <v>8.4931506849315067E-2</v>
      </c>
      <c r="P19" s="76" t="s">
        <v>106</v>
      </c>
      <c r="Q19" s="79">
        <v>3.560209991369863</v>
      </c>
      <c r="R19" s="79">
        <v>0.99698082690490475</v>
      </c>
      <c r="S19" s="80">
        <v>82738.549982735465</v>
      </c>
      <c r="T19" s="108">
        <f>SUM(S:S)*D24</f>
        <v>3118964.8285085866</v>
      </c>
      <c r="U19" s="1">
        <v>1</v>
      </c>
      <c r="V19" s="95" t="s">
        <v>106</v>
      </c>
      <c r="W19" s="95" t="s">
        <v>45</v>
      </c>
      <c r="X19" s="124">
        <v>-11666.845120489597</v>
      </c>
      <c r="Y19" s="125">
        <v>-241845.609517768</v>
      </c>
      <c r="Z19" s="1" t="s">
        <v>33</v>
      </c>
      <c r="AA19" s="1" t="s">
        <v>56</v>
      </c>
      <c r="AB19" s="30">
        <v>0</v>
      </c>
      <c r="AD19" s="5"/>
      <c r="AE19" s="14"/>
      <c r="AF19" s="14"/>
    </row>
    <row r="20" spans="1:32" x14ac:dyDescent="0.3">
      <c r="A20" s="1">
        <v>3</v>
      </c>
      <c r="B20" s="102" t="s">
        <v>31</v>
      </c>
      <c r="C20" s="103"/>
      <c r="D20" s="35" t="s">
        <v>32</v>
      </c>
      <c r="E20" s="1">
        <v>2</v>
      </c>
      <c r="F20" s="85" t="s">
        <v>100</v>
      </c>
      <c r="G20" s="105">
        <v>45688</v>
      </c>
      <c r="H20" s="106">
        <v>45869</v>
      </c>
      <c r="I20" s="106">
        <v>45869</v>
      </c>
      <c r="J20" s="75">
        <v>181</v>
      </c>
      <c r="K20" s="76">
        <v>0</v>
      </c>
      <c r="L20" s="83">
        <v>3000000</v>
      </c>
      <c r="M20" s="84">
        <v>5.5E-2</v>
      </c>
      <c r="N20" s="78">
        <v>81821.917808219179</v>
      </c>
      <c r="O20" s="76">
        <v>0.58082191780821912</v>
      </c>
      <c r="P20" s="76" t="s">
        <v>106</v>
      </c>
      <c r="Q20" s="79">
        <v>5.5017562744657535</v>
      </c>
      <c r="R20" s="79">
        <v>0.96854977232788431</v>
      </c>
      <c r="S20" s="80">
        <v>79248.599864581542</v>
      </c>
      <c r="T20" s="112" t="s">
        <v>120</v>
      </c>
      <c r="U20" s="1">
        <v>2</v>
      </c>
      <c r="V20" s="95" t="s">
        <v>106</v>
      </c>
      <c r="W20" s="95" t="s">
        <v>46</v>
      </c>
      <c r="X20" s="126">
        <v>-33948.197150602937</v>
      </c>
      <c r="Y20" s="127">
        <v>-3818229.2562769698</v>
      </c>
      <c r="Z20" s="1" t="s">
        <v>33</v>
      </c>
      <c r="AA20" s="1" t="s">
        <v>19</v>
      </c>
      <c r="AB20" s="30">
        <v>0</v>
      </c>
    </row>
    <row r="21" spans="1:32" x14ac:dyDescent="0.3">
      <c r="A21" s="1">
        <v>4</v>
      </c>
      <c r="B21" s="102" t="s">
        <v>65</v>
      </c>
      <c r="C21" s="103"/>
      <c r="D21" s="35" t="s">
        <v>71</v>
      </c>
      <c r="E21" s="1">
        <v>3</v>
      </c>
      <c r="F21" s="85" t="s">
        <v>100</v>
      </c>
      <c r="G21" s="105">
        <v>45869</v>
      </c>
      <c r="H21" s="106">
        <v>46052</v>
      </c>
      <c r="I21" s="106">
        <v>46052</v>
      </c>
      <c r="J21" s="75">
        <v>183</v>
      </c>
      <c r="K21" s="76">
        <v>0</v>
      </c>
      <c r="L21" s="83">
        <v>3000000</v>
      </c>
      <c r="M21" s="84">
        <v>5.5E-2</v>
      </c>
      <c r="N21" s="78">
        <v>82726.027397260288</v>
      </c>
      <c r="O21" s="76">
        <v>1.0821917808219179</v>
      </c>
      <c r="P21" s="76" t="s">
        <v>106</v>
      </c>
      <c r="Q21" s="79">
        <v>5.286733610684931</v>
      </c>
      <c r="R21" s="79">
        <v>0.94439327321574695</v>
      </c>
      <c r="S21" s="80">
        <v>78125.903793834208</v>
      </c>
      <c r="T21" s="116">
        <v>3085630.4310130998</v>
      </c>
      <c r="U21" s="1">
        <v>3</v>
      </c>
      <c r="V21" s="95" t="s">
        <v>106</v>
      </c>
      <c r="W21" s="95" t="s">
        <v>47</v>
      </c>
      <c r="X21" s="126">
        <v>-135720.53393349051</v>
      </c>
      <c r="Y21" s="127">
        <v>-13548526.436048601</v>
      </c>
      <c r="Z21" s="1" t="s">
        <v>33</v>
      </c>
      <c r="AA21" s="1" t="s">
        <v>20</v>
      </c>
      <c r="AB21" s="30"/>
    </row>
    <row r="22" spans="1:32" x14ac:dyDescent="0.3">
      <c r="A22" s="1">
        <v>5</v>
      </c>
      <c r="B22" s="102" t="s">
        <v>66</v>
      </c>
      <c r="C22" s="103"/>
      <c r="D22" s="35" t="s">
        <v>72</v>
      </c>
      <c r="E22" s="1">
        <v>4</v>
      </c>
      <c r="F22" s="85" t="s">
        <v>100</v>
      </c>
      <c r="G22" s="105">
        <v>46052</v>
      </c>
      <c r="H22" s="106">
        <v>46234</v>
      </c>
      <c r="I22" s="106">
        <v>46234</v>
      </c>
      <c r="J22" s="75">
        <v>182</v>
      </c>
      <c r="K22" s="76">
        <v>0</v>
      </c>
      <c r="L22" s="83">
        <v>3000000</v>
      </c>
      <c r="M22" s="84">
        <v>5.5E-2</v>
      </c>
      <c r="N22" s="78">
        <v>82273.972602739726</v>
      </c>
      <c r="O22" s="76">
        <v>1.5808219178082192</v>
      </c>
      <c r="P22" s="76" t="s">
        <v>106</v>
      </c>
      <c r="Q22" s="79">
        <v>4.6089052515068492</v>
      </c>
      <c r="R22" s="79">
        <v>0.92973229939286162</v>
      </c>
      <c r="S22" s="80">
        <v>76492.769728130501</v>
      </c>
      <c r="T22" s="113" t="s">
        <v>121</v>
      </c>
      <c r="U22" s="1">
        <v>4</v>
      </c>
      <c r="V22" s="95" t="s">
        <v>106</v>
      </c>
      <c r="W22" s="95" t="s">
        <v>48</v>
      </c>
      <c r="X22" s="126">
        <v>-3187632.9392101616</v>
      </c>
      <c r="Y22" s="127">
        <v>-29873784.444518398</v>
      </c>
      <c r="Z22" s="1" t="s">
        <v>33</v>
      </c>
      <c r="AA22" s="1" t="s">
        <v>21</v>
      </c>
      <c r="AB22" s="30"/>
    </row>
    <row r="23" spans="1:32" x14ac:dyDescent="0.3">
      <c r="A23" s="1">
        <v>6</v>
      </c>
      <c r="B23" s="102" t="s">
        <v>8</v>
      </c>
      <c r="C23" s="103"/>
      <c r="D23" s="35" t="s">
        <v>108</v>
      </c>
      <c r="E23" s="1">
        <v>5</v>
      </c>
      <c r="F23" s="85" t="s">
        <v>100</v>
      </c>
      <c r="G23" s="105">
        <v>46234</v>
      </c>
      <c r="H23" s="106">
        <v>46416</v>
      </c>
      <c r="I23" s="106">
        <v>46416</v>
      </c>
      <c r="J23" s="75">
        <v>182</v>
      </c>
      <c r="K23" s="76">
        <v>0</v>
      </c>
      <c r="L23" s="83">
        <v>3000000</v>
      </c>
      <c r="M23" s="84">
        <v>5.5E-2</v>
      </c>
      <c r="N23" s="78">
        <v>82273.972602739726</v>
      </c>
      <c r="O23" s="76">
        <v>2.0794520547945203</v>
      </c>
      <c r="P23" s="76" t="s">
        <v>106</v>
      </c>
      <c r="Q23" s="79">
        <v>4.1370867498904111</v>
      </c>
      <c r="R23" s="79">
        <v>0.91756786413489633</v>
      </c>
      <c r="S23" s="80">
        <v>75491.953314988874</v>
      </c>
      <c r="T23" s="114">
        <f>T21/T19</f>
        <v>0.98931235222956126</v>
      </c>
      <c r="U23" s="1">
        <v>5</v>
      </c>
      <c r="V23" s="95" t="s">
        <v>106</v>
      </c>
      <c r="W23" s="95" t="s">
        <v>49</v>
      </c>
      <c r="X23" s="126">
        <v>-4076137.9352258518</v>
      </c>
      <c r="Y23" s="127">
        <v>-774902450.14817905</v>
      </c>
      <c r="Z23" s="1" t="s">
        <v>33</v>
      </c>
      <c r="AA23" s="1" t="s">
        <v>22</v>
      </c>
      <c r="AB23" s="30">
        <v>0</v>
      </c>
    </row>
    <row r="24" spans="1:32" x14ac:dyDescent="0.3">
      <c r="A24" s="1">
        <v>7</v>
      </c>
      <c r="B24" s="102" t="s">
        <v>13</v>
      </c>
      <c r="C24" s="103"/>
      <c r="D24" s="19">
        <v>1</v>
      </c>
      <c r="E24" s="1">
        <v>6</v>
      </c>
      <c r="F24" s="85" t="s">
        <v>100</v>
      </c>
      <c r="G24" s="105">
        <v>46416</v>
      </c>
      <c r="H24" s="106">
        <v>46598</v>
      </c>
      <c r="I24" s="106">
        <v>46598</v>
      </c>
      <c r="J24" s="75">
        <v>182</v>
      </c>
      <c r="K24" s="76">
        <v>0</v>
      </c>
      <c r="L24" s="83">
        <v>3000000</v>
      </c>
      <c r="M24" s="84">
        <v>5.5E-2</v>
      </c>
      <c r="N24" s="78">
        <v>82273.972602739726</v>
      </c>
      <c r="O24" s="76">
        <v>2.5780821917808221</v>
      </c>
      <c r="P24" s="76" t="s">
        <v>106</v>
      </c>
      <c r="Q24" s="79">
        <v>4.7521478416164387</v>
      </c>
      <c r="R24" s="79">
        <v>0.88469327388236341</v>
      </c>
      <c r="S24" s="80">
        <v>2726867.0518243159</v>
      </c>
      <c r="T24" s="66"/>
      <c r="U24" s="1">
        <v>6</v>
      </c>
      <c r="V24" s="95" t="s">
        <v>106</v>
      </c>
      <c r="W24" s="95" t="s">
        <v>50</v>
      </c>
      <c r="X24" s="126">
        <v>0</v>
      </c>
      <c r="Y24" s="127">
        <v>-34264140.959964097</v>
      </c>
      <c r="AB24" s="30"/>
    </row>
    <row r="25" spans="1:32" x14ac:dyDescent="0.3">
      <c r="A25" s="1">
        <v>8</v>
      </c>
      <c r="B25" s="102" t="s">
        <v>67</v>
      </c>
      <c r="C25" s="103"/>
      <c r="D25" s="72">
        <v>3000000</v>
      </c>
      <c r="E25" s="1">
        <v>7</v>
      </c>
      <c r="F25" s="85" t="s">
        <v>100</v>
      </c>
      <c r="G25" s="105">
        <v>46598</v>
      </c>
      <c r="H25" s="106">
        <v>46783</v>
      </c>
      <c r="I25" s="106">
        <v>46783</v>
      </c>
      <c r="J25" s="75">
        <v>154</v>
      </c>
      <c r="K25" s="76">
        <v>31</v>
      </c>
      <c r="L25" s="83">
        <v>3000000</v>
      </c>
      <c r="M25" s="84">
        <v>5.5E-2</v>
      </c>
      <c r="N25" s="78">
        <v>83591.848192229969</v>
      </c>
      <c r="O25" s="76">
        <v>3.0849315068493151</v>
      </c>
      <c r="P25" s="76" t="s">
        <v>106</v>
      </c>
      <c r="Q25" s="81"/>
      <c r="R25" s="79"/>
      <c r="S25" s="80"/>
      <c r="U25" s="1">
        <v>7</v>
      </c>
      <c r="V25" s="95" t="s">
        <v>106</v>
      </c>
      <c r="W25" s="95" t="s">
        <v>51</v>
      </c>
      <c r="X25" s="126">
        <v>0</v>
      </c>
      <c r="Y25" s="69"/>
      <c r="AB25" s="30"/>
    </row>
    <row r="26" spans="1:32" x14ac:dyDescent="0.3">
      <c r="A26" s="1">
        <v>9</v>
      </c>
      <c r="B26" s="102" t="s">
        <v>68</v>
      </c>
      <c r="C26" s="103"/>
      <c r="D26" s="19"/>
      <c r="E26" s="1">
        <v>8</v>
      </c>
      <c r="F26" s="28"/>
      <c r="G26" s="38"/>
      <c r="H26" s="39"/>
      <c r="I26" s="39"/>
      <c r="J26" s="40"/>
      <c r="L26" s="29"/>
      <c r="M26" s="46"/>
      <c r="N26" s="29"/>
      <c r="S26" s="30"/>
      <c r="T26" s="47"/>
      <c r="U26" s="1">
        <v>8</v>
      </c>
      <c r="V26" s="95" t="s">
        <v>106</v>
      </c>
      <c r="W26" s="95" t="s">
        <v>52</v>
      </c>
      <c r="X26" s="126">
        <v>0</v>
      </c>
      <c r="Y26" s="69"/>
      <c r="AB26" s="30"/>
    </row>
    <row r="27" spans="1:32" x14ac:dyDescent="0.3">
      <c r="A27" s="1">
        <v>10</v>
      </c>
      <c r="B27" s="101" t="s">
        <v>102</v>
      </c>
      <c r="C27" s="8" t="s">
        <v>64</v>
      </c>
      <c r="D27" s="74">
        <v>45504</v>
      </c>
      <c r="E27" s="1">
        <v>9</v>
      </c>
      <c r="F27" s="28"/>
      <c r="G27" s="38"/>
      <c r="H27" s="39"/>
      <c r="I27" s="39"/>
      <c r="J27" s="40"/>
      <c r="L27" s="29"/>
      <c r="M27" s="46"/>
      <c r="N27" s="29"/>
      <c r="S27" s="30"/>
      <c r="T27" s="16"/>
      <c r="U27" s="1">
        <v>9</v>
      </c>
      <c r="V27" s="95" t="s">
        <v>106</v>
      </c>
      <c r="W27" s="95" t="s">
        <v>53</v>
      </c>
      <c r="X27" s="126">
        <v>0</v>
      </c>
      <c r="Y27" s="69"/>
      <c r="AB27" s="30"/>
    </row>
    <row r="28" spans="1:32" x14ac:dyDescent="0.3">
      <c r="A28" s="1">
        <v>11</v>
      </c>
      <c r="B28" s="101"/>
      <c r="C28" s="8" t="s">
        <v>3</v>
      </c>
      <c r="D28" s="74">
        <v>46599</v>
      </c>
      <c r="E28" s="1">
        <v>10</v>
      </c>
      <c r="F28" s="28"/>
      <c r="G28" s="38"/>
      <c r="H28" s="39"/>
      <c r="I28" s="39"/>
      <c r="J28" s="40"/>
      <c r="L28" s="29"/>
      <c r="M28" s="46"/>
      <c r="N28" s="29"/>
      <c r="S28" s="30"/>
      <c r="T28" s="66"/>
      <c r="U28" s="1">
        <v>10</v>
      </c>
      <c r="V28" s="95" t="s">
        <v>106</v>
      </c>
      <c r="W28" s="95" t="s">
        <v>54</v>
      </c>
      <c r="X28" s="128">
        <v>0</v>
      </c>
      <c r="Y28" s="70"/>
      <c r="AB28" s="30"/>
    </row>
    <row r="29" spans="1:32" x14ac:dyDescent="0.3">
      <c r="A29" s="1">
        <v>12</v>
      </c>
      <c r="B29" s="101"/>
      <c r="C29" s="8" t="s">
        <v>4</v>
      </c>
      <c r="D29" s="74">
        <v>45657</v>
      </c>
      <c r="E29" s="1">
        <v>11</v>
      </c>
      <c r="F29" s="28"/>
      <c r="G29" s="38"/>
      <c r="H29" s="39"/>
      <c r="I29" s="39"/>
      <c r="J29" s="40"/>
      <c r="L29" s="29"/>
      <c r="M29" s="46"/>
      <c r="N29" s="29"/>
      <c r="S29" s="30"/>
      <c r="X29" s="123" t="s">
        <v>121</v>
      </c>
      <c r="Y29" s="121">
        <f>Y19/X19</f>
        <v>20.729306596607927</v>
      </c>
      <c r="AB29" s="30"/>
    </row>
    <row r="30" spans="1:32" x14ac:dyDescent="0.3">
      <c r="A30" s="1">
        <v>13</v>
      </c>
      <c r="B30" s="96" t="s">
        <v>69</v>
      </c>
      <c r="C30" s="97"/>
      <c r="D30" s="71">
        <v>5.5E-2</v>
      </c>
      <c r="E30" s="1">
        <v>12</v>
      </c>
      <c r="F30" s="28"/>
      <c r="G30" s="38"/>
      <c r="H30" s="39"/>
      <c r="I30" s="39"/>
      <c r="J30" s="40"/>
      <c r="L30" s="29"/>
      <c r="M30" s="46"/>
      <c r="N30" s="29"/>
      <c r="S30" s="30"/>
      <c r="X30" s="118"/>
      <c r="Y30" s="122">
        <f t="shared" ref="Y30:Y40" si="0">Y20/X20</f>
        <v>112.47222464681475</v>
      </c>
      <c r="AB30" s="30"/>
    </row>
    <row r="31" spans="1:32" x14ac:dyDescent="0.3">
      <c r="A31" s="1">
        <v>14</v>
      </c>
      <c r="B31" s="96" t="s">
        <v>96</v>
      </c>
      <c r="C31" s="97"/>
      <c r="D31" s="104">
        <v>6</v>
      </c>
      <c r="E31" s="1">
        <v>13</v>
      </c>
      <c r="F31" s="28"/>
      <c r="G31" s="38"/>
      <c r="H31" s="39"/>
      <c r="I31" s="39"/>
      <c r="J31" s="40"/>
      <c r="L31" s="29"/>
      <c r="M31" s="46"/>
      <c r="N31" s="29"/>
      <c r="Q31" s="30"/>
      <c r="S31" s="30"/>
      <c r="X31" s="118"/>
      <c r="Y31" s="122">
        <f t="shared" si="0"/>
        <v>99.826651453405134</v>
      </c>
      <c r="AB31" s="30"/>
    </row>
    <row r="32" spans="1:32" x14ac:dyDescent="0.3">
      <c r="A32" s="1">
        <v>15</v>
      </c>
      <c r="B32" s="96" t="s">
        <v>101</v>
      </c>
      <c r="C32" s="97"/>
      <c r="D32" s="73" t="s">
        <v>104</v>
      </c>
      <c r="E32" s="1">
        <v>14</v>
      </c>
      <c r="F32" s="28"/>
      <c r="G32" s="38"/>
      <c r="H32" s="39"/>
      <c r="I32" s="39"/>
      <c r="J32" s="40"/>
      <c r="L32" s="29"/>
      <c r="M32" s="46"/>
      <c r="N32" s="29"/>
      <c r="Q32" s="68"/>
      <c r="S32" s="30"/>
      <c r="X32" s="118"/>
      <c r="Y32" s="122">
        <f t="shared" si="0"/>
        <v>9.3717768056194668</v>
      </c>
      <c r="AB32" s="30"/>
    </row>
    <row r="33" spans="1:28" x14ac:dyDescent="0.3">
      <c r="A33" s="1">
        <v>16</v>
      </c>
      <c r="B33" s="96" t="s">
        <v>0</v>
      </c>
      <c r="C33" s="97"/>
      <c r="D33" s="104" t="s">
        <v>99</v>
      </c>
      <c r="E33" s="1">
        <v>15</v>
      </c>
      <c r="F33" s="28"/>
      <c r="G33" s="38"/>
      <c r="H33" s="39"/>
      <c r="I33" s="39"/>
      <c r="J33" s="40"/>
      <c r="L33" s="29"/>
      <c r="M33" s="46"/>
      <c r="N33" s="29"/>
      <c r="S33" s="30"/>
      <c r="T33" s="47"/>
      <c r="X33" s="118"/>
      <c r="Y33" s="122">
        <f t="shared" si="0"/>
        <v>190.10702347717364</v>
      </c>
      <c r="AB33" s="30"/>
    </row>
    <row r="34" spans="1:28" x14ac:dyDescent="0.3">
      <c r="A34" s="1">
        <v>17</v>
      </c>
      <c r="B34" s="96" t="s">
        <v>2</v>
      </c>
      <c r="C34" s="97"/>
      <c r="D34" s="104" t="s">
        <v>97</v>
      </c>
      <c r="E34" s="1">
        <v>16</v>
      </c>
      <c r="F34" s="28"/>
      <c r="G34" s="38"/>
      <c r="H34" s="39"/>
      <c r="I34" s="39"/>
      <c r="J34" s="40"/>
      <c r="L34" s="29"/>
      <c r="M34" s="46"/>
      <c r="N34" s="29"/>
      <c r="S34" s="30"/>
      <c r="T34" s="16"/>
      <c r="X34" s="119"/>
      <c r="Y34" s="120" t="e">
        <f t="shared" si="0"/>
        <v>#DIV/0!</v>
      </c>
      <c r="AB34" s="30"/>
    </row>
    <row r="35" spans="1:28" x14ac:dyDescent="0.3">
      <c r="A35" s="1">
        <v>18</v>
      </c>
      <c r="B35" s="98" t="s">
        <v>83</v>
      </c>
      <c r="C35" s="37" t="s">
        <v>5</v>
      </c>
      <c r="D35" s="104" t="s">
        <v>107</v>
      </c>
      <c r="E35" s="1">
        <v>17</v>
      </c>
      <c r="F35" s="28"/>
      <c r="G35" s="38"/>
      <c r="H35" s="39"/>
      <c r="I35" s="39"/>
      <c r="J35" s="40"/>
      <c r="L35" s="29"/>
      <c r="M35" s="46"/>
      <c r="N35" s="29"/>
      <c r="S35" s="30"/>
      <c r="T35" s="17"/>
      <c r="X35" s="30"/>
      <c r="Y35" s="16"/>
      <c r="AB35" s="30"/>
    </row>
    <row r="36" spans="1:28" ht="16.5" customHeight="1" x14ac:dyDescent="0.3">
      <c r="A36" s="1">
        <v>19</v>
      </c>
      <c r="B36" s="99"/>
      <c r="C36" s="37" t="s">
        <v>90</v>
      </c>
      <c r="D36" s="10" t="s">
        <v>91</v>
      </c>
      <c r="E36" s="1">
        <v>18</v>
      </c>
      <c r="F36" s="28"/>
      <c r="G36" s="38"/>
      <c r="H36" s="39"/>
      <c r="I36" s="39"/>
      <c r="J36" s="40"/>
      <c r="L36" s="29"/>
      <c r="M36" s="46"/>
      <c r="N36" s="29"/>
      <c r="S36" s="30"/>
      <c r="X36" s="30"/>
      <c r="Y36" s="16"/>
      <c r="AB36" s="30"/>
    </row>
    <row r="37" spans="1:28" x14ac:dyDescent="0.3">
      <c r="A37" s="1">
        <v>20</v>
      </c>
      <c r="B37" s="100"/>
      <c r="C37" s="37" t="s">
        <v>80</v>
      </c>
      <c r="D37" s="10" t="s">
        <v>38</v>
      </c>
      <c r="E37" s="1">
        <v>19</v>
      </c>
      <c r="F37" s="28"/>
      <c r="G37" s="38"/>
      <c r="H37" s="39"/>
      <c r="I37" s="39"/>
      <c r="J37" s="40"/>
      <c r="L37" s="29"/>
      <c r="M37" s="46"/>
      <c r="N37" s="29"/>
      <c r="S37" s="30"/>
      <c r="X37" s="30"/>
      <c r="Y37" s="16"/>
      <c r="AB37" s="30"/>
    </row>
    <row r="38" spans="1:28" x14ac:dyDescent="0.3">
      <c r="A38" s="1">
        <v>21</v>
      </c>
      <c r="B38" s="96" t="s">
        <v>103</v>
      </c>
      <c r="C38" s="97"/>
      <c r="D38" s="73" t="s">
        <v>105</v>
      </c>
      <c r="E38" s="1">
        <v>20</v>
      </c>
      <c r="F38" s="28"/>
      <c r="G38" s="38"/>
      <c r="H38" s="39"/>
      <c r="I38" s="39"/>
      <c r="J38" s="40"/>
      <c r="L38" s="29"/>
      <c r="M38" s="46"/>
      <c r="N38" s="29"/>
      <c r="Q38" s="30"/>
      <c r="S38" s="30"/>
      <c r="X38" s="30"/>
      <c r="Y38" s="16"/>
      <c r="AB38" s="30"/>
    </row>
    <row r="39" spans="1:28" x14ac:dyDescent="0.3">
      <c r="A39" s="1">
        <v>22</v>
      </c>
      <c r="B39" s="96" t="s">
        <v>82</v>
      </c>
      <c r="C39" s="97"/>
      <c r="D39" s="10"/>
      <c r="F39" s="28"/>
      <c r="G39" s="38"/>
      <c r="H39" s="38"/>
      <c r="I39" s="38"/>
      <c r="N39" s="29"/>
      <c r="X39" s="30"/>
      <c r="Y39" s="16"/>
      <c r="AB39" s="30"/>
    </row>
    <row r="40" spans="1:28" x14ac:dyDescent="0.3">
      <c r="A40" s="1">
        <v>23</v>
      </c>
      <c r="B40" s="96" t="s">
        <v>81</v>
      </c>
      <c r="C40" s="97"/>
      <c r="D40" s="10"/>
      <c r="F40" s="28"/>
      <c r="G40" s="38"/>
      <c r="H40" s="38"/>
      <c r="I40" s="38"/>
      <c r="N40" s="29"/>
      <c r="R40" s="60"/>
      <c r="Y40" s="16"/>
    </row>
    <row r="41" spans="1:28" x14ac:dyDescent="0.3">
      <c r="F41" s="28"/>
      <c r="G41" s="38"/>
      <c r="H41" s="38"/>
      <c r="I41" s="38"/>
      <c r="N41" s="29"/>
      <c r="R41" s="60"/>
    </row>
    <row r="42" spans="1:28" x14ac:dyDescent="0.3">
      <c r="A42" s="1">
        <v>25</v>
      </c>
      <c r="B42" s="21" t="s">
        <v>76</v>
      </c>
      <c r="C42" s="19"/>
      <c r="F42" s="28"/>
      <c r="G42" s="38"/>
      <c r="H42" s="38"/>
      <c r="I42" s="38"/>
      <c r="N42" s="29"/>
    </row>
    <row r="43" spans="1:28" x14ac:dyDescent="0.3">
      <c r="A43" s="1">
        <v>26</v>
      </c>
      <c r="B43" s="21" t="s">
        <v>79</v>
      </c>
      <c r="C43" s="19"/>
      <c r="F43" s="28"/>
      <c r="G43" s="38"/>
      <c r="H43" s="38"/>
      <c r="I43" s="38"/>
      <c r="N43" s="29"/>
      <c r="R43" s="60"/>
    </row>
    <row r="44" spans="1:28" x14ac:dyDescent="0.3">
      <c r="A44" s="1">
        <v>27</v>
      </c>
      <c r="B44" s="21" t="s">
        <v>77</v>
      </c>
      <c r="C44" s="19"/>
      <c r="D44" s="67"/>
      <c r="F44" s="28"/>
      <c r="G44" s="38"/>
      <c r="H44" s="38"/>
      <c r="I44" s="38"/>
      <c r="N44" s="29"/>
      <c r="R44" s="61"/>
    </row>
    <row r="45" spans="1:28" x14ac:dyDescent="0.3">
      <c r="A45" s="1">
        <v>28</v>
      </c>
      <c r="B45" s="21" t="s">
        <v>78</v>
      </c>
      <c r="C45" s="19"/>
      <c r="D45" s="22"/>
      <c r="F45" s="28"/>
      <c r="G45" s="38"/>
      <c r="H45" s="38"/>
      <c r="I45" s="38"/>
      <c r="N45" s="29"/>
    </row>
    <row r="46" spans="1:28" x14ac:dyDescent="0.3">
      <c r="A46" s="1">
        <v>29</v>
      </c>
      <c r="B46" s="21" t="s">
        <v>74</v>
      </c>
      <c r="C46" s="19"/>
      <c r="F46" s="28"/>
      <c r="G46" s="38"/>
      <c r="H46" s="38"/>
      <c r="I46" s="38"/>
      <c r="N46" s="29"/>
    </row>
    <row r="47" spans="1:28" x14ac:dyDescent="0.3">
      <c r="A47" s="1">
        <v>30</v>
      </c>
      <c r="B47" s="21" t="s">
        <v>84</v>
      </c>
      <c r="C47" s="19"/>
      <c r="F47" s="28"/>
      <c r="G47" s="38"/>
      <c r="H47" s="38"/>
      <c r="I47" s="38"/>
      <c r="N47" s="29"/>
    </row>
    <row r="48" spans="1:28" x14ac:dyDescent="0.3">
      <c r="A48" s="1">
        <v>31</v>
      </c>
      <c r="B48" s="21" t="s">
        <v>75</v>
      </c>
      <c r="C48" s="19"/>
      <c r="F48" s="28"/>
      <c r="G48" s="38"/>
      <c r="H48" s="38"/>
      <c r="I48" s="38"/>
      <c r="N48" s="29"/>
    </row>
    <row r="49" spans="1:14" x14ac:dyDescent="0.3">
      <c r="A49" s="1">
        <v>32</v>
      </c>
      <c r="F49" s="28"/>
      <c r="G49" s="38"/>
      <c r="H49" s="38"/>
      <c r="I49" s="38"/>
      <c r="N49" s="29"/>
    </row>
    <row r="50" spans="1:14" x14ac:dyDescent="0.3">
      <c r="F50" s="28"/>
      <c r="G50" s="38"/>
      <c r="H50" s="38"/>
      <c r="I50" s="38"/>
      <c r="N50" s="29"/>
    </row>
    <row r="51" spans="1:14" x14ac:dyDescent="0.3">
      <c r="F51" s="28"/>
      <c r="G51" s="38"/>
      <c r="H51" s="38"/>
      <c r="I51" s="38"/>
      <c r="N51" s="29"/>
    </row>
    <row r="52" spans="1:14" x14ac:dyDescent="0.3">
      <c r="F52" s="28"/>
      <c r="G52" s="38"/>
      <c r="H52" s="38"/>
      <c r="I52" s="38"/>
      <c r="N52" s="29"/>
    </row>
    <row r="53" spans="1:14" x14ac:dyDescent="0.3">
      <c r="F53" s="28"/>
      <c r="G53" s="38"/>
      <c r="H53" s="38"/>
      <c r="I53" s="38"/>
      <c r="N53" s="29"/>
    </row>
    <row r="54" spans="1:14" x14ac:dyDescent="0.3">
      <c r="F54" s="28"/>
      <c r="G54" s="38"/>
      <c r="H54" s="38"/>
      <c r="I54" s="38"/>
      <c r="N54" s="29"/>
    </row>
    <row r="55" spans="1:14" x14ac:dyDescent="0.3">
      <c r="F55" s="28"/>
      <c r="G55" s="38"/>
      <c r="H55" s="38"/>
      <c r="I55" s="38"/>
      <c r="N55" s="29"/>
    </row>
    <row r="56" spans="1:14" x14ac:dyDescent="0.3">
      <c r="F56" s="28"/>
      <c r="G56" s="38"/>
      <c r="H56" s="38"/>
      <c r="I56" s="38"/>
      <c r="N56" s="29"/>
    </row>
    <row r="57" spans="1:14" x14ac:dyDescent="0.3">
      <c r="F57" s="28"/>
      <c r="G57" s="38"/>
      <c r="H57" s="38"/>
      <c r="I57" s="38"/>
      <c r="N57" s="29"/>
    </row>
    <row r="58" spans="1:14" x14ac:dyDescent="0.3">
      <c r="F58" s="28"/>
      <c r="G58" s="38"/>
      <c r="H58" s="38"/>
      <c r="I58" s="38"/>
      <c r="N58" s="29"/>
    </row>
    <row r="59" spans="1:14" x14ac:dyDescent="0.3">
      <c r="F59" s="28"/>
      <c r="G59" s="38"/>
      <c r="H59" s="38"/>
      <c r="I59" s="38"/>
      <c r="N59" s="29"/>
    </row>
    <row r="60" spans="1:14" x14ac:dyDescent="0.3">
      <c r="F60" s="28"/>
      <c r="G60" s="38"/>
      <c r="H60" s="38"/>
      <c r="I60" s="38"/>
      <c r="N60" s="29"/>
    </row>
    <row r="61" spans="1:14" x14ac:dyDescent="0.3">
      <c r="F61" s="28"/>
      <c r="G61" s="38"/>
      <c r="H61" s="38"/>
      <c r="I61" s="38"/>
      <c r="N61" s="29"/>
    </row>
    <row r="62" spans="1:14" x14ac:dyDescent="0.3">
      <c r="F62" s="28"/>
      <c r="G62" s="38"/>
      <c r="H62" s="38"/>
      <c r="I62" s="38"/>
      <c r="N62" s="29"/>
    </row>
    <row r="63" spans="1:14" x14ac:dyDescent="0.3">
      <c r="F63" s="28"/>
      <c r="G63" s="38"/>
      <c r="H63" s="38"/>
      <c r="I63" s="38"/>
      <c r="N63" s="29"/>
    </row>
    <row r="64" spans="1:14" x14ac:dyDescent="0.3">
      <c r="F64" s="28"/>
      <c r="G64" s="38"/>
      <c r="H64" s="38"/>
      <c r="I64" s="38"/>
      <c r="N64" s="29"/>
    </row>
    <row r="65" spans="6:14" x14ac:dyDescent="0.3">
      <c r="F65" s="28"/>
      <c r="G65" s="38"/>
      <c r="H65" s="38"/>
      <c r="I65" s="38"/>
      <c r="N65" s="29"/>
    </row>
    <row r="66" spans="6:14" x14ac:dyDescent="0.3">
      <c r="F66" s="28"/>
      <c r="G66" s="38"/>
      <c r="H66" s="38"/>
      <c r="I66" s="38"/>
      <c r="N66" s="29"/>
    </row>
    <row r="67" spans="6:14" x14ac:dyDescent="0.3">
      <c r="F67" s="28"/>
      <c r="G67" s="38"/>
      <c r="H67" s="38"/>
      <c r="I67" s="38"/>
      <c r="N67" s="29"/>
    </row>
    <row r="68" spans="6:14" x14ac:dyDescent="0.3">
      <c r="F68" s="28"/>
      <c r="G68" s="38"/>
      <c r="H68" s="38"/>
      <c r="I68" s="38"/>
      <c r="N68" s="29"/>
    </row>
    <row r="69" spans="6:14" x14ac:dyDescent="0.3">
      <c r="F69" s="28"/>
      <c r="G69" s="38"/>
      <c r="H69" s="38"/>
      <c r="I69" s="38"/>
      <c r="N69" s="29"/>
    </row>
    <row r="70" spans="6:14" x14ac:dyDescent="0.3">
      <c r="F70" s="28"/>
      <c r="G70" s="38"/>
      <c r="H70" s="38"/>
      <c r="I70" s="38"/>
      <c r="N70" s="29"/>
    </row>
    <row r="71" spans="6:14" x14ac:dyDescent="0.3">
      <c r="F71" s="28"/>
      <c r="G71" s="38"/>
      <c r="H71" s="38"/>
      <c r="I71" s="38"/>
      <c r="N71" s="29"/>
    </row>
    <row r="72" spans="6:14" x14ac:dyDescent="0.3">
      <c r="F72" s="28"/>
      <c r="G72" s="38"/>
      <c r="H72" s="38"/>
      <c r="I72" s="38"/>
      <c r="N72" s="29"/>
    </row>
    <row r="73" spans="6:14" x14ac:dyDescent="0.3">
      <c r="F73" s="28"/>
      <c r="G73" s="38"/>
      <c r="H73" s="38"/>
      <c r="I73" s="38"/>
      <c r="N73" s="29"/>
    </row>
    <row r="74" spans="6:14" x14ac:dyDescent="0.3">
      <c r="F74" s="28"/>
      <c r="G74" s="38"/>
      <c r="H74" s="38"/>
      <c r="I74" s="38"/>
      <c r="N74" s="29"/>
    </row>
    <row r="75" spans="6:14" x14ac:dyDescent="0.3">
      <c r="F75" s="28"/>
      <c r="G75" s="38"/>
      <c r="H75" s="38"/>
      <c r="I75" s="38"/>
      <c r="N75" s="29"/>
    </row>
    <row r="76" spans="6:14" x14ac:dyDescent="0.3">
      <c r="F76" s="28"/>
      <c r="G76" s="38"/>
      <c r="H76" s="38"/>
      <c r="I76" s="38"/>
      <c r="N76" s="29"/>
    </row>
    <row r="77" spans="6:14" x14ac:dyDescent="0.3">
      <c r="F77" s="28"/>
      <c r="G77" s="38"/>
      <c r="H77" s="38"/>
      <c r="I77" s="38"/>
      <c r="N77" s="29"/>
    </row>
    <row r="78" spans="6:14" x14ac:dyDescent="0.3">
      <c r="F78" s="28"/>
      <c r="G78" s="38"/>
      <c r="H78" s="38"/>
      <c r="I78" s="38"/>
      <c r="N78" s="29"/>
    </row>
  </sheetData>
  <mergeCells count="19">
    <mergeCell ref="B18:C18"/>
    <mergeCell ref="B19:C19"/>
    <mergeCell ref="B20:C20"/>
    <mergeCell ref="B21:C21"/>
    <mergeCell ref="B22:C22"/>
    <mergeCell ref="B23:C23"/>
    <mergeCell ref="B30:C30"/>
    <mergeCell ref="B31:C31"/>
    <mergeCell ref="B24:C24"/>
    <mergeCell ref="B25:C25"/>
    <mergeCell ref="B26:C26"/>
    <mergeCell ref="B38:C38"/>
    <mergeCell ref="B35:B37"/>
    <mergeCell ref="B27:B29"/>
    <mergeCell ref="B39:C39"/>
    <mergeCell ref="B40:C40"/>
    <mergeCell ref="B32:C32"/>
    <mergeCell ref="B33:C33"/>
    <mergeCell ref="B34:C34"/>
  </mergeCells>
  <phoneticPr fontId="1" type="noConversion"/>
  <dataValidations count="5">
    <dataValidation type="list" allowBlank="1" showInputMessage="1" showErrorMessage="1" sqref="C12" xr:uid="{00000000-0002-0000-0000-000000000000}">
      <formula1>"Net Present Value, PV01, GIRR Delta"</formula1>
    </dataValidation>
    <dataValidation type="list" allowBlank="1" showInputMessage="1" showErrorMessage="1" sqref="D34" xr:uid="{00000000-0002-0000-0000-000001000000}">
      <formula1>"Adjusted, Unadjusted"</formula1>
    </dataValidation>
    <dataValidation type="list" allowBlank="1" showInputMessage="1" showErrorMessage="1" sqref="D33" xr:uid="{00000000-0002-0000-0000-000002000000}">
      <formula1>"Following, Mod.Following, Preceding, Mod.Preceding, End.Month"</formula1>
    </dataValidation>
    <dataValidation type="list" allowBlank="1" showInputMessage="1" showErrorMessage="1" sqref="D32 D38" xr:uid="{00000000-0002-0000-0000-000003000000}">
      <formula1>"30U/360, Act/Act, Act/360, Act/365, 30E/360"</formula1>
    </dataValidation>
    <dataValidation type="list" allowBlank="1" showInputMessage="1" showErrorMessage="1" sqref="D18" xr:uid="{00000000-0002-0000-0000-000004000000}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0.79998168889431442"/>
  </sheetPr>
  <dimension ref="A1:R59"/>
  <sheetViews>
    <sheetView zoomScale="80" zoomScaleNormal="80" workbookViewId="0">
      <pane ySplit="1" topLeftCell="A2" activePane="bottomLeft" state="frozen"/>
      <selection pane="bottomLeft" activeCell="D18" sqref="D18"/>
    </sheetView>
  </sheetViews>
  <sheetFormatPr defaultColWidth="9" defaultRowHeight="16.5" x14ac:dyDescent="0.3"/>
  <cols>
    <col min="1" max="1" width="14" style="1" customWidth="1"/>
    <col min="2" max="2" width="14" style="12" customWidth="1"/>
    <col min="3" max="3" width="11.375" style="12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10" width="10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5" width="25.5" style="1" customWidth="1"/>
    <col min="16" max="16" width="11.125" style="1" bestFit="1" customWidth="1"/>
    <col min="17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8" x14ac:dyDescent="0.3">
      <c r="A1" s="9" t="s">
        <v>7</v>
      </c>
      <c r="B1" s="9" t="s">
        <v>9</v>
      </c>
      <c r="C1" s="9" t="s">
        <v>12</v>
      </c>
      <c r="D1" s="9" t="s">
        <v>10</v>
      </c>
      <c r="E1" s="9" t="s">
        <v>11</v>
      </c>
      <c r="F1" s="9" t="s">
        <v>3</v>
      </c>
      <c r="G1" s="22"/>
      <c r="H1" s="9" t="s">
        <v>9</v>
      </c>
      <c r="I1" s="9" t="s">
        <v>12</v>
      </c>
      <c r="J1" s="9" t="s">
        <v>10</v>
      </c>
      <c r="K1" s="9" t="s">
        <v>17</v>
      </c>
      <c r="L1" s="9" t="s">
        <v>11</v>
      </c>
      <c r="M1" s="26" t="s">
        <v>15</v>
      </c>
      <c r="N1" s="26" t="s">
        <v>57</v>
      </c>
    </row>
    <row r="2" spans="1:18" x14ac:dyDescent="0.3">
      <c r="A2" s="6">
        <v>45657</v>
      </c>
      <c r="B2" s="11" t="s">
        <v>33</v>
      </c>
      <c r="C2" s="11">
        <v>3</v>
      </c>
      <c r="D2" s="11" t="s">
        <v>41</v>
      </c>
      <c r="E2" s="5">
        <v>2.6443870299999999</v>
      </c>
      <c r="F2" s="88">
        <v>45747</v>
      </c>
      <c r="H2" s="90" t="s">
        <v>40</v>
      </c>
      <c r="I2" s="90">
        <v>3</v>
      </c>
      <c r="J2" s="90" t="s">
        <v>6</v>
      </c>
      <c r="K2" s="90">
        <v>0.25</v>
      </c>
      <c r="L2" s="91">
        <v>2.6443870299999999</v>
      </c>
      <c r="M2" s="92">
        <v>0.9934324502832248</v>
      </c>
      <c r="N2" s="92">
        <v>2.6356843857541459</v>
      </c>
      <c r="P2" s="36"/>
    </row>
    <row r="3" spans="1:18" x14ac:dyDescent="0.3">
      <c r="A3" s="6">
        <v>45657</v>
      </c>
      <c r="B3" s="11" t="s">
        <v>33</v>
      </c>
      <c r="C3" s="11">
        <v>6</v>
      </c>
      <c r="D3" s="11" t="s">
        <v>41</v>
      </c>
      <c r="E3" s="5">
        <v>2.3805864799999998</v>
      </c>
      <c r="F3" s="88">
        <v>45839</v>
      </c>
      <c r="H3" s="90" t="s">
        <v>40</v>
      </c>
      <c r="I3" s="90">
        <v>6</v>
      </c>
      <c r="J3" s="90" t="s">
        <v>6</v>
      </c>
      <c r="K3" s="90">
        <v>0.5</v>
      </c>
      <c r="L3" s="91">
        <v>2.3805864799999998</v>
      </c>
      <c r="M3" s="92">
        <v>0.98239424802575681</v>
      </c>
      <c r="N3" s="92">
        <v>3.5525153258082858</v>
      </c>
      <c r="P3" s="36"/>
    </row>
    <row r="4" spans="1:18" x14ac:dyDescent="0.3">
      <c r="A4" s="6">
        <v>45657</v>
      </c>
      <c r="B4" s="11" t="s">
        <v>33</v>
      </c>
      <c r="C4" s="11">
        <v>1</v>
      </c>
      <c r="D4" s="11" t="s">
        <v>43</v>
      </c>
      <c r="E4" s="5">
        <v>2.10763173</v>
      </c>
      <c r="F4" s="88">
        <v>46022</v>
      </c>
      <c r="H4" s="90" t="s">
        <v>40</v>
      </c>
      <c r="I4" s="90">
        <v>1</v>
      </c>
      <c r="J4" s="90" t="s">
        <v>42</v>
      </c>
      <c r="K4" s="90">
        <v>1</v>
      </c>
      <c r="L4" s="91">
        <v>2.10763173</v>
      </c>
      <c r="M4" s="92">
        <v>0.96409336157745562</v>
      </c>
      <c r="N4" s="92">
        <v>3.6567140951673007</v>
      </c>
      <c r="P4" s="36" cm="1">
        <f t="array" ref="P4">calcforwardrate(L4,K4,L5,K5)</f>
        <v>1.954201481217138</v>
      </c>
    </row>
    <row r="5" spans="1:18" x14ac:dyDescent="0.3">
      <c r="A5" s="6">
        <v>45657</v>
      </c>
      <c r="B5" s="11" t="s">
        <v>33</v>
      </c>
      <c r="C5" s="11">
        <v>2</v>
      </c>
      <c r="D5" s="11" t="s">
        <v>43</v>
      </c>
      <c r="E5" s="5">
        <v>1.9759313300000001</v>
      </c>
      <c r="F5" s="88">
        <v>46387</v>
      </c>
      <c r="H5" s="90" t="s">
        <v>40</v>
      </c>
      <c r="I5" s="90">
        <v>2</v>
      </c>
      <c r="J5" s="90" t="s">
        <v>42</v>
      </c>
      <c r="K5" s="90">
        <v>2</v>
      </c>
      <c r="L5" s="91">
        <v>1.9759313300000001</v>
      </c>
      <c r="M5" s="92">
        <v>0.92960053708365964</v>
      </c>
      <c r="N5" s="92">
        <v>3.6500157563423876</v>
      </c>
      <c r="P5" s="36"/>
    </row>
    <row r="6" spans="1:18" x14ac:dyDescent="0.3">
      <c r="A6" s="6">
        <v>45657</v>
      </c>
      <c r="B6" s="11" t="s">
        <v>33</v>
      </c>
      <c r="C6" s="11">
        <v>3</v>
      </c>
      <c r="D6" s="11" t="s">
        <v>43</v>
      </c>
      <c r="E6" s="5">
        <v>1.98563969</v>
      </c>
      <c r="F6" s="88">
        <v>46752</v>
      </c>
      <c r="H6" s="90" t="s">
        <v>40</v>
      </c>
      <c r="I6" s="90">
        <v>3</v>
      </c>
      <c r="J6" s="90" t="s">
        <v>42</v>
      </c>
      <c r="K6" s="90">
        <v>3</v>
      </c>
      <c r="L6" s="91">
        <v>1.98563969</v>
      </c>
      <c r="M6" s="92">
        <v>0.87701176191929753</v>
      </c>
      <c r="N6" s="92">
        <v>4.3744958387116748</v>
      </c>
      <c r="R6" s="1" t="s">
        <v>110</v>
      </c>
    </row>
    <row r="7" spans="1:18" x14ac:dyDescent="0.3">
      <c r="A7" s="6">
        <v>45657</v>
      </c>
      <c r="B7" s="11" t="s">
        <v>33</v>
      </c>
      <c r="C7" s="11">
        <v>5</v>
      </c>
      <c r="D7" s="11" t="s">
        <v>43</v>
      </c>
      <c r="E7" s="5">
        <v>2.0714821400000001</v>
      </c>
      <c r="F7" s="88">
        <v>47483</v>
      </c>
      <c r="H7" s="90" t="s">
        <v>40</v>
      </c>
      <c r="I7" s="90">
        <v>5</v>
      </c>
      <c r="J7" s="90" t="s">
        <v>42</v>
      </c>
      <c r="K7" s="90">
        <v>5</v>
      </c>
      <c r="L7" s="91">
        <v>2.0714821400000001</v>
      </c>
      <c r="M7" s="92">
        <v>0.78988331983499027</v>
      </c>
      <c r="N7" s="92">
        <v>4.7174008168132735</v>
      </c>
    </row>
    <row r="8" spans="1:18" x14ac:dyDescent="0.3">
      <c r="A8" s="6">
        <v>45657</v>
      </c>
      <c r="B8" s="11" t="s">
        <v>33</v>
      </c>
      <c r="C8" s="11">
        <v>10</v>
      </c>
      <c r="D8" s="11" t="s">
        <v>43</v>
      </c>
      <c r="E8" s="5">
        <v>2.25037149</v>
      </c>
      <c r="F8" s="88">
        <v>49309</v>
      </c>
      <c r="H8" s="90" t="s">
        <v>40</v>
      </c>
      <c r="I8" s="90">
        <v>10</v>
      </c>
      <c r="J8" s="90" t="s">
        <v>42</v>
      </c>
      <c r="K8" s="90">
        <v>10</v>
      </c>
      <c r="L8" s="91">
        <v>2.25037149</v>
      </c>
      <c r="M8" s="92">
        <v>0.6299711271944991</v>
      </c>
      <c r="N8" s="92">
        <v>4.6208129049677975</v>
      </c>
    </row>
    <row r="9" spans="1:18" x14ac:dyDescent="0.3">
      <c r="A9" s="6">
        <v>45657</v>
      </c>
      <c r="B9" s="11" t="s">
        <v>33</v>
      </c>
      <c r="C9" s="11">
        <v>15</v>
      </c>
      <c r="D9" s="11" t="s">
        <v>43</v>
      </c>
      <c r="E9" s="5">
        <v>2.3612887700000003</v>
      </c>
      <c r="F9" s="88">
        <v>51135</v>
      </c>
      <c r="H9" s="90" t="s">
        <v>40</v>
      </c>
      <c r="I9" s="90">
        <v>15</v>
      </c>
      <c r="J9" s="90" t="s">
        <v>42</v>
      </c>
      <c r="K9" s="90">
        <v>15</v>
      </c>
      <c r="L9" s="91">
        <v>2.3612887700000003</v>
      </c>
      <c r="M9" s="92">
        <v>0.4517323912416642</v>
      </c>
      <c r="N9" s="92">
        <v>5.2977688617241432</v>
      </c>
    </row>
    <row r="10" spans="1:18" x14ac:dyDescent="0.3">
      <c r="A10" s="6">
        <v>45657</v>
      </c>
      <c r="B10" s="11" t="s">
        <v>33</v>
      </c>
      <c r="C10" s="11">
        <v>20</v>
      </c>
      <c r="D10" s="11" t="s">
        <v>43</v>
      </c>
      <c r="E10" s="5">
        <v>2.34768987</v>
      </c>
      <c r="F10" s="88">
        <v>52962</v>
      </c>
      <c r="H10" s="90" t="s">
        <v>40</v>
      </c>
      <c r="I10" s="90">
        <v>20</v>
      </c>
      <c r="J10" s="90" t="s">
        <v>42</v>
      </c>
      <c r="K10" s="90">
        <v>20</v>
      </c>
      <c r="L10" s="91">
        <v>2.34768987</v>
      </c>
      <c r="M10" s="92">
        <v>0.30954621636445284</v>
      </c>
      <c r="N10" s="92">
        <v>5.8632393605532425</v>
      </c>
    </row>
    <row r="11" spans="1:18" x14ac:dyDescent="0.3">
      <c r="A11" s="6">
        <v>45657</v>
      </c>
      <c r="B11" s="11" t="s">
        <v>33</v>
      </c>
      <c r="C11" s="11">
        <v>30</v>
      </c>
      <c r="D11" s="11" t="s">
        <v>43</v>
      </c>
      <c r="E11" s="5">
        <v>2.2255283000000001</v>
      </c>
      <c r="F11" s="88">
        <v>56614</v>
      </c>
      <c r="H11" s="90" t="s">
        <v>40</v>
      </c>
      <c r="I11" s="90">
        <v>30</v>
      </c>
      <c r="J11" s="90" t="s">
        <v>42</v>
      </c>
      <c r="K11" s="90">
        <v>30</v>
      </c>
      <c r="L11" s="91">
        <v>2.2255283000000001</v>
      </c>
      <c r="M11" s="92">
        <v>0.20716102375836631</v>
      </c>
      <c r="N11" s="92">
        <v>5.2475296518862384</v>
      </c>
    </row>
    <row r="12" spans="1:18" x14ac:dyDescent="0.3">
      <c r="A12" s="6">
        <v>45657</v>
      </c>
      <c r="B12" s="11" t="s">
        <v>34</v>
      </c>
      <c r="C12" s="11">
        <v>3</v>
      </c>
      <c r="D12" s="11" t="s">
        <v>6</v>
      </c>
      <c r="E12" s="5">
        <v>2.9931426999999999</v>
      </c>
      <c r="F12" s="88">
        <v>45747</v>
      </c>
      <c r="H12" s="90" t="s">
        <v>36</v>
      </c>
      <c r="I12" s="90">
        <v>3</v>
      </c>
      <c r="J12" s="90" t="s">
        <v>6</v>
      </c>
      <c r="K12" s="90">
        <v>0.25</v>
      </c>
      <c r="L12" s="92">
        <v>2.9931426999999999</v>
      </c>
      <c r="M12" s="92">
        <v>0.99257272051840295</v>
      </c>
      <c r="N12" s="92">
        <v>2.981999624471674</v>
      </c>
    </row>
    <row r="13" spans="1:18" x14ac:dyDescent="0.3">
      <c r="A13" s="6">
        <v>45657</v>
      </c>
      <c r="B13" s="11" t="s">
        <v>34</v>
      </c>
      <c r="C13" s="11">
        <v>6</v>
      </c>
      <c r="D13" s="11" t="s">
        <v>6</v>
      </c>
      <c r="E13" s="5">
        <v>2.5760796999999998</v>
      </c>
      <c r="F13" s="88">
        <v>45839</v>
      </c>
      <c r="H13" s="90" t="s">
        <v>36</v>
      </c>
      <c r="I13" s="90">
        <v>6</v>
      </c>
      <c r="J13" s="90" t="s">
        <v>6</v>
      </c>
      <c r="K13" s="90">
        <v>0.5</v>
      </c>
      <c r="L13" s="92">
        <v>2.5760796999999998</v>
      </c>
      <c r="M13" s="92">
        <v>0.98097231951689989</v>
      </c>
      <c r="N13" s="92">
        <v>3.8422072826681459</v>
      </c>
    </row>
    <row r="14" spans="1:18" x14ac:dyDescent="0.3">
      <c r="A14" s="6">
        <v>45657</v>
      </c>
      <c r="B14" s="11" t="s">
        <v>34</v>
      </c>
      <c r="C14" s="11">
        <v>1</v>
      </c>
      <c r="D14" s="11" t="s">
        <v>42</v>
      </c>
      <c r="E14" s="5">
        <v>2.3328591999999997</v>
      </c>
      <c r="F14" s="88">
        <v>46022</v>
      </c>
      <c r="H14" s="90" t="s">
        <v>36</v>
      </c>
      <c r="I14" s="90">
        <v>1</v>
      </c>
      <c r="J14" s="90" t="s">
        <v>42</v>
      </c>
      <c r="K14" s="90">
        <v>1</v>
      </c>
      <c r="L14" s="92">
        <v>2.3328591999999997</v>
      </c>
      <c r="M14" s="92">
        <v>0.96036485755742707</v>
      </c>
      <c r="N14" s="92">
        <v>4.0442006769092771</v>
      </c>
    </row>
    <row r="15" spans="1:18" x14ac:dyDescent="0.3">
      <c r="A15" s="6">
        <v>45657</v>
      </c>
      <c r="B15" s="11" t="s">
        <v>34</v>
      </c>
      <c r="C15" s="11">
        <v>2</v>
      </c>
      <c r="D15" s="11" t="s">
        <v>42</v>
      </c>
      <c r="E15" s="5">
        <v>2.1926168000000001</v>
      </c>
      <c r="F15" s="88">
        <v>46387</v>
      </c>
      <c r="H15" s="90" t="s">
        <v>36</v>
      </c>
      <c r="I15" s="90">
        <v>2</v>
      </c>
      <c r="J15" s="90" t="s">
        <v>42</v>
      </c>
      <c r="K15" s="90">
        <v>2</v>
      </c>
      <c r="L15" s="92">
        <v>2.1926168000000001</v>
      </c>
      <c r="M15" s="92">
        <v>0.92230245082843332</v>
      </c>
      <c r="N15" s="92">
        <v>4.0441035721648486</v>
      </c>
    </row>
    <row r="16" spans="1:18" x14ac:dyDescent="0.3">
      <c r="A16" s="6">
        <v>45657</v>
      </c>
      <c r="B16" s="11" t="s">
        <v>34</v>
      </c>
      <c r="C16" s="11">
        <v>3</v>
      </c>
      <c r="D16" s="11" t="s">
        <v>42</v>
      </c>
      <c r="E16" s="5">
        <v>2.1934282000000001</v>
      </c>
      <c r="F16" s="88">
        <v>46752</v>
      </c>
      <c r="H16" s="90" t="s">
        <v>36</v>
      </c>
      <c r="I16" s="90">
        <v>3</v>
      </c>
      <c r="J16" s="90" t="s">
        <v>42</v>
      </c>
      <c r="K16" s="90">
        <v>3</v>
      </c>
      <c r="L16" s="92">
        <v>2.1934282000000001</v>
      </c>
      <c r="M16" s="92">
        <v>0.86533236566844673</v>
      </c>
      <c r="N16" s="92">
        <v>4.8213869361231367</v>
      </c>
    </row>
    <row r="17" spans="1:14" x14ac:dyDescent="0.3">
      <c r="A17" s="6">
        <v>45657</v>
      </c>
      <c r="B17" s="11" t="s">
        <v>34</v>
      </c>
      <c r="C17" s="11">
        <v>5</v>
      </c>
      <c r="D17" s="11" t="s">
        <v>42</v>
      </c>
      <c r="E17" s="5">
        <v>2.2312499999999997</v>
      </c>
      <c r="F17" s="88">
        <v>47483</v>
      </c>
      <c r="H17" s="90" t="s">
        <v>36</v>
      </c>
      <c r="I17" s="90">
        <v>5</v>
      </c>
      <c r="J17" s="90" t="s">
        <v>42</v>
      </c>
      <c r="K17" s="90">
        <v>5</v>
      </c>
      <c r="L17" s="92">
        <v>2.2312499999999997</v>
      </c>
      <c r="M17" s="92">
        <v>0.77639382389595479</v>
      </c>
      <c r="N17" s="92">
        <v>5.0619076503095259</v>
      </c>
    </row>
    <row r="18" spans="1:14" x14ac:dyDescent="0.3">
      <c r="A18" s="6">
        <v>45657</v>
      </c>
      <c r="B18" s="11" t="s">
        <v>34</v>
      </c>
      <c r="C18" s="11">
        <v>10</v>
      </c>
      <c r="D18" s="11" t="s">
        <v>42</v>
      </c>
      <c r="E18" s="5">
        <v>2.2380958</v>
      </c>
      <c r="F18" s="88">
        <v>49309</v>
      </c>
      <c r="H18" s="90" t="s">
        <v>36</v>
      </c>
      <c r="I18" s="90">
        <v>10</v>
      </c>
      <c r="J18" s="90" t="s">
        <v>42</v>
      </c>
      <c r="K18" s="90">
        <v>10</v>
      </c>
      <c r="L18" s="92">
        <v>2.2380958</v>
      </c>
      <c r="M18" s="92">
        <v>0.63384678487120549</v>
      </c>
      <c r="N18" s="92">
        <v>4.5594801799141997</v>
      </c>
    </row>
    <row r="19" spans="1:14" x14ac:dyDescent="0.3">
      <c r="A19" s="6">
        <v>45657</v>
      </c>
      <c r="B19" s="11" t="s">
        <v>34</v>
      </c>
      <c r="C19" s="11">
        <v>15</v>
      </c>
      <c r="D19" s="11" t="s">
        <v>42</v>
      </c>
      <c r="E19" s="5">
        <v>2.1153660000000003</v>
      </c>
      <c r="F19" s="88">
        <v>51135</v>
      </c>
      <c r="H19" s="90" t="s">
        <v>36</v>
      </c>
      <c r="I19" s="90">
        <v>15</v>
      </c>
      <c r="J19" s="90" t="s">
        <v>42</v>
      </c>
      <c r="K19" s="90">
        <v>15</v>
      </c>
      <c r="L19" s="92">
        <v>2.1153660000000003</v>
      </c>
      <c r="M19" s="92">
        <v>0.49641159070590557</v>
      </c>
      <c r="N19" s="92">
        <v>4.6689991759724343</v>
      </c>
    </row>
    <row r="20" spans="1:14" x14ac:dyDescent="0.3">
      <c r="A20" s="6">
        <v>45657</v>
      </c>
      <c r="B20" s="11" t="s">
        <v>34</v>
      </c>
      <c r="C20" s="11">
        <v>20</v>
      </c>
      <c r="D20" s="11" t="s">
        <v>42</v>
      </c>
      <c r="E20" s="5">
        <v>2.0361275000000001</v>
      </c>
      <c r="F20" s="88">
        <v>52962</v>
      </c>
      <c r="H20" s="90" t="s">
        <v>36</v>
      </c>
      <c r="I20" s="90">
        <v>20</v>
      </c>
      <c r="J20" s="90" t="s">
        <v>42</v>
      </c>
      <c r="K20" s="90">
        <v>20</v>
      </c>
      <c r="L20" s="92">
        <v>2.0361275000000001</v>
      </c>
      <c r="M20" s="92">
        <v>0.36616396736651058</v>
      </c>
      <c r="N20" s="92">
        <v>5.0233702381643974</v>
      </c>
    </row>
    <row r="21" spans="1:14" x14ac:dyDescent="0.3">
      <c r="A21" s="6">
        <v>45657</v>
      </c>
      <c r="B21" s="11" t="s">
        <v>34</v>
      </c>
      <c r="C21" s="11">
        <v>30</v>
      </c>
      <c r="D21" s="11" t="s">
        <v>42</v>
      </c>
      <c r="E21" s="5">
        <v>2.0361275000000001</v>
      </c>
      <c r="F21" s="88">
        <v>56614</v>
      </c>
      <c r="H21" s="90" t="s">
        <v>36</v>
      </c>
      <c r="I21" s="90">
        <v>30</v>
      </c>
      <c r="J21" s="90" t="s">
        <v>42</v>
      </c>
      <c r="K21" s="90">
        <v>30</v>
      </c>
      <c r="L21" s="92">
        <v>2.0361275000000001</v>
      </c>
      <c r="M21" s="92">
        <v>0.22731268478788019</v>
      </c>
      <c r="N21" s="92">
        <v>4.9380958110361615</v>
      </c>
    </row>
    <row r="22" spans="1:14" x14ac:dyDescent="0.3">
      <c r="A22" s="6">
        <v>45657</v>
      </c>
      <c r="B22" s="11" t="s">
        <v>87</v>
      </c>
      <c r="C22" s="11">
        <v>3</v>
      </c>
      <c r="D22" s="11" t="s">
        <v>6</v>
      </c>
      <c r="E22" s="117">
        <v>3.6955175265000002</v>
      </c>
      <c r="F22" s="88">
        <v>45747</v>
      </c>
      <c r="H22" s="90" t="s">
        <v>98</v>
      </c>
      <c r="I22" s="90">
        <v>3</v>
      </c>
      <c r="J22" s="90" t="s">
        <v>6</v>
      </c>
      <c r="K22" s="90">
        <v>0.25</v>
      </c>
      <c r="L22" s="89">
        <v>3.6955175265000002</v>
      </c>
      <c r="M22" s="89">
        <v>0.99084578013364388</v>
      </c>
      <c r="N22" s="89">
        <v>3.6785508850710262</v>
      </c>
    </row>
    <row r="23" spans="1:14" x14ac:dyDescent="0.3">
      <c r="A23" s="6">
        <v>45657</v>
      </c>
      <c r="B23" s="11" t="s">
        <v>87</v>
      </c>
      <c r="C23" s="11">
        <v>6</v>
      </c>
      <c r="D23" s="11" t="s">
        <v>6</v>
      </c>
      <c r="E23" s="117">
        <v>3.4994148264999998</v>
      </c>
      <c r="F23" s="88">
        <v>45839</v>
      </c>
      <c r="H23" s="90" t="s">
        <v>98</v>
      </c>
      <c r="I23" s="90">
        <v>6</v>
      </c>
      <c r="J23" s="90" t="s">
        <v>6</v>
      </c>
      <c r="K23" s="90">
        <v>0.5</v>
      </c>
      <c r="L23" s="89">
        <v>3.4994148264999998</v>
      </c>
      <c r="M23" s="89">
        <v>0.97428442220411804</v>
      </c>
      <c r="N23" s="89">
        <v>5.2104006768557021</v>
      </c>
    </row>
    <row r="24" spans="1:14" x14ac:dyDescent="0.3">
      <c r="A24" s="6">
        <v>45657</v>
      </c>
      <c r="B24" s="11" t="s">
        <v>87</v>
      </c>
      <c r="C24" s="11">
        <v>1</v>
      </c>
      <c r="D24" s="11" t="s">
        <v>42</v>
      </c>
      <c r="E24" s="117">
        <v>3.1770956565000001</v>
      </c>
      <c r="F24" s="88">
        <v>46022</v>
      </c>
      <c r="H24" s="90" t="s">
        <v>98</v>
      </c>
      <c r="I24" s="90">
        <v>1</v>
      </c>
      <c r="J24" s="90" t="s">
        <v>42</v>
      </c>
      <c r="K24" s="90">
        <v>1</v>
      </c>
      <c r="L24" s="89">
        <v>3.1770956565000001</v>
      </c>
      <c r="M24" s="89">
        <v>0.94657926761263789</v>
      </c>
      <c r="N24" s="89">
        <v>5.4900563701416969</v>
      </c>
    </row>
    <row r="25" spans="1:14" x14ac:dyDescent="0.3">
      <c r="A25" s="6">
        <v>45657</v>
      </c>
      <c r="B25" s="11" t="s">
        <v>87</v>
      </c>
      <c r="C25" s="11">
        <v>2</v>
      </c>
      <c r="D25" s="11" t="s">
        <v>42</v>
      </c>
      <c r="E25" s="117">
        <v>3.0424227364999998</v>
      </c>
      <c r="F25" s="88">
        <v>46387</v>
      </c>
      <c r="H25" s="90" t="s">
        <v>98</v>
      </c>
      <c r="I25" s="90">
        <v>2</v>
      </c>
      <c r="J25" s="90" t="s">
        <v>42</v>
      </c>
      <c r="K25" s="90">
        <v>2</v>
      </c>
      <c r="L25" s="89">
        <v>3.0424227364999998</v>
      </c>
      <c r="M25" s="89">
        <v>0.89441964891242098</v>
      </c>
      <c r="N25" s="89">
        <v>5.5790104001411214</v>
      </c>
    </row>
    <row r="26" spans="1:14" x14ac:dyDescent="0.3">
      <c r="A26" s="6">
        <v>45657</v>
      </c>
      <c r="B26" s="11" t="s">
        <v>87</v>
      </c>
      <c r="C26" s="11">
        <v>3</v>
      </c>
      <c r="D26" s="11" t="s">
        <v>42</v>
      </c>
      <c r="E26" s="117">
        <v>3.0202555864999998</v>
      </c>
      <c r="F26" s="88">
        <v>46752</v>
      </c>
      <c r="H26" s="90" t="s">
        <v>98</v>
      </c>
      <c r="I26" s="90">
        <v>3</v>
      </c>
      <c r="J26" s="90" t="s">
        <v>42</v>
      </c>
      <c r="K26" s="90">
        <v>3</v>
      </c>
      <c r="L26" s="89">
        <v>3.0202555864999998</v>
      </c>
      <c r="M26" s="89">
        <v>0.82081662907730091</v>
      </c>
      <c r="N26" s="89">
        <v>6.5818515057917777</v>
      </c>
    </row>
    <row r="27" spans="1:14" x14ac:dyDescent="0.3">
      <c r="A27" s="6">
        <v>45657</v>
      </c>
      <c r="B27" s="11" t="s">
        <v>87</v>
      </c>
      <c r="C27" s="11">
        <v>5</v>
      </c>
      <c r="D27" s="11" t="s">
        <v>42</v>
      </c>
      <c r="E27" s="117">
        <v>3.0885111665</v>
      </c>
      <c r="F27" s="88">
        <v>47483</v>
      </c>
      <c r="H27" s="90" t="s">
        <v>98</v>
      </c>
      <c r="I27" s="90">
        <v>5</v>
      </c>
      <c r="J27" s="90" t="s">
        <v>42</v>
      </c>
      <c r="K27" s="90">
        <v>5</v>
      </c>
      <c r="L27" s="89">
        <v>3.0885111665</v>
      </c>
      <c r="M27" s="89">
        <v>0.70750964347777134</v>
      </c>
      <c r="N27" s="89">
        <v>6.9200803840072576</v>
      </c>
    </row>
    <row r="28" spans="1:14" x14ac:dyDescent="0.3">
      <c r="A28" s="6">
        <v>45657</v>
      </c>
      <c r="B28" s="11" t="s">
        <v>87</v>
      </c>
      <c r="C28" s="11">
        <v>10</v>
      </c>
      <c r="D28" s="11" t="s">
        <v>42</v>
      </c>
      <c r="E28" s="117">
        <v>3.2013205665000002</v>
      </c>
      <c r="F28" s="88">
        <v>49309</v>
      </c>
      <c r="H28" s="90" t="s">
        <v>98</v>
      </c>
      <c r="I28" s="90">
        <v>10</v>
      </c>
      <c r="J28" s="90" t="s">
        <v>42</v>
      </c>
      <c r="K28" s="90">
        <v>10</v>
      </c>
      <c r="L28" s="89">
        <v>3.2013205665000002</v>
      </c>
      <c r="M28" s="89">
        <v>0.52784589604823162</v>
      </c>
      <c r="N28" s="89">
        <v>6.3895090142134512</v>
      </c>
    </row>
    <row r="29" spans="1:14" x14ac:dyDescent="0.3">
      <c r="A29" s="6">
        <v>45657</v>
      </c>
      <c r="B29" s="11" t="s">
        <v>87</v>
      </c>
      <c r="C29" s="11">
        <v>15</v>
      </c>
      <c r="D29" s="11" t="s">
        <v>42</v>
      </c>
      <c r="E29" s="117">
        <v>3.0458265364999999</v>
      </c>
      <c r="F29" s="88">
        <v>51135</v>
      </c>
      <c r="H29" s="90" t="s">
        <v>98</v>
      </c>
      <c r="I29" s="90">
        <v>15</v>
      </c>
      <c r="J29" s="90" t="s">
        <v>42</v>
      </c>
      <c r="K29" s="90">
        <v>15</v>
      </c>
      <c r="L29" s="89">
        <v>3.0458265364999999</v>
      </c>
      <c r="M29" s="89">
        <v>0.37805554699404958</v>
      </c>
      <c r="N29" s="89">
        <v>6.484760962925959</v>
      </c>
    </row>
    <row r="30" spans="1:14" x14ac:dyDescent="0.3">
      <c r="A30" s="6">
        <v>45657</v>
      </c>
      <c r="B30" s="11" t="s">
        <v>87</v>
      </c>
      <c r="C30" s="11">
        <v>20</v>
      </c>
      <c r="D30" s="11" t="s">
        <v>42</v>
      </c>
      <c r="E30" s="117">
        <v>2.8645762365</v>
      </c>
      <c r="F30" s="88">
        <v>52962</v>
      </c>
      <c r="H30" s="90" t="s">
        <v>98</v>
      </c>
      <c r="I30" s="90">
        <v>20</v>
      </c>
      <c r="J30" s="90" t="s">
        <v>42</v>
      </c>
      <c r="K30" s="90">
        <v>20</v>
      </c>
      <c r="L30" s="89">
        <v>2.8645762365</v>
      </c>
      <c r="M30" s="89">
        <v>0.26388329948560357</v>
      </c>
      <c r="N30" s="89">
        <v>6.6612416048529663</v>
      </c>
    </row>
    <row r="31" spans="1:14" x14ac:dyDescent="0.3">
      <c r="A31" s="6">
        <v>45657</v>
      </c>
      <c r="B31" s="11" t="s">
        <v>87</v>
      </c>
      <c r="C31" s="11">
        <v>30</v>
      </c>
      <c r="D31" s="11" t="s">
        <v>42</v>
      </c>
      <c r="E31" s="117">
        <v>2.5420388964999998</v>
      </c>
      <c r="F31" s="88">
        <v>56614</v>
      </c>
      <c r="H31" s="90" t="s">
        <v>98</v>
      </c>
      <c r="I31" s="90">
        <v>30</v>
      </c>
      <c r="J31" s="90" t="s">
        <v>42</v>
      </c>
      <c r="K31" s="90">
        <v>30</v>
      </c>
      <c r="L31" s="89">
        <v>2.5420388964999998</v>
      </c>
      <c r="M31" s="89">
        <v>0.19673446102253395</v>
      </c>
      <c r="N31" s="89">
        <v>5.4196679102934198</v>
      </c>
    </row>
    <row r="32" spans="1:14" x14ac:dyDescent="0.3">
      <c r="A32" s="86">
        <v>45657</v>
      </c>
      <c r="B32" s="73" t="s">
        <v>107</v>
      </c>
      <c r="C32" s="73">
        <v>3</v>
      </c>
      <c r="D32" s="73" t="s">
        <v>6</v>
      </c>
      <c r="E32" s="87">
        <v>4.3402634400000002</v>
      </c>
      <c r="F32" s="88">
        <v>45747</v>
      </c>
      <c r="H32" s="90" t="s">
        <v>106</v>
      </c>
      <c r="I32" s="90">
        <v>3</v>
      </c>
      <c r="J32" s="90" t="s">
        <v>6</v>
      </c>
      <c r="K32" s="90">
        <v>0.25</v>
      </c>
      <c r="L32" s="89">
        <v>4.3402634400000002</v>
      </c>
      <c r="M32" s="89">
        <v>0.98926581438347394</v>
      </c>
      <c r="N32" s="89">
        <v>4.316885043550502</v>
      </c>
    </row>
    <row r="33" spans="1:14" x14ac:dyDescent="0.3">
      <c r="A33" s="86">
        <v>45657</v>
      </c>
      <c r="B33" s="73" t="s">
        <v>107</v>
      </c>
      <c r="C33" s="73">
        <v>6</v>
      </c>
      <c r="D33" s="73" t="s">
        <v>6</v>
      </c>
      <c r="E33" s="87">
        <v>5.5216721900000003</v>
      </c>
      <c r="F33" s="88">
        <v>45839</v>
      </c>
      <c r="H33" s="90" t="s">
        <v>106</v>
      </c>
      <c r="I33" s="90">
        <v>6</v>
      </c>
      <c r="J33" s="90" t="s">
        <v>6</v>
      </c>
      <c r="K33" s="90">
        <v>0.5</v>
      </c>
      <c r="L33" s="89">
        <v>5.5216721900000003</v>
      </c>
      <c r="M33" s="89">
        <v>0.95984426912277221</v>
      </c>
      <c r="N33" s="89">
        <v>8.1968454686133718</v>
      </c>
    </row>
    <row r="34" spans="1:14" x14ac:dyDescent="0.3">
      <c r="A34" s="86">
        <v>45657</v>
      </c>
      <c r="B34" s="73" t="s">
        <v>107</v>
      </c>
      <c r="C34" s="73">
        <v>1</v>
      </c>
      <c r="D34" s="73" t="s">
        <v>42</v>
      </c>
      <c r="E34" s="87">
        <v>5.3984635599999997</v>
      </c>
      <c r="F34" s="88">
        <v>46022</v>
      </c>
      <c r="H34" s="90" t="s">
        <v>106</v>
      </c>
      <c r="I34" s="90">
        <v>1</v>
      </c>
      <c r="J34" s="90" t="s">
        <v>42</v>
      </c>
      <c r="K34" s="90">
        <v>1</v>
      </c>
      <c r="L34" s="89">
        <v>5.3984635599999997</v>
      </c>
      <c r="M34" s="89">
        <v>0.91153158914612942</v>
      </c>
      <c r="N34" s="89">
        <v>9.2629029242177605</v>
      </c>
    </row>
    <row r="35" spans="1:14" x14ac:dyDescent="0.3">
      <c r="A35" s="86">
        <v>45657</v>
      </c>
      <c r="B35" s="73" t="s">
        <v>107</v>
      </c>
      <c r="C35" s="73">
        <v>2</v>
      </c>
      <c r="D35" s="73" t="s">
        <v>42</v>
      </c>
      <c r="E35" s="87">
        <v>4.0390825100000001</v>
      </c>
      <c r="F35" s="88">
        <v>46387</v>
      </c>
      <c r="H35" s="90" t="s">
        <v>106</v>
      </c>
      <c r="I35" s="90">
        <v>2</v>
      </c>
      <c r="J35" s="90" t="s">
        <v>42</v>
      </c>
      <c r="K35" s="90">
        <v>2</v>
      </c>
      <c r="L35" s="89">
        <v>4.0390825100000001</v>
      </c>
      <c r="M35" s="89">
        <v>0.86401237494792826</v>
      </c>
      <c r="N35" s="89">
        <v>7.3084093712127052</v>
      </c>
    </row>
    <row r="36" spans="1:14" x14ac:dyDescent="0.3">
      <c r="A36" s="86">
        <v>45657</v>
      </c>
      <c r="B36" s="73" t="s">
        <v>107</v>
      </c>
      <c r="C36" s="73">
        <v>3</v>
      </c>
      <c r="D36" s="73" t="s">
        <v>42</v>
      </c>
      <c r="E36" s="87">
        <v>5.2725841500000001</v>
      </c>
      <c r="F36" s="88">
        <v>46752</v>
      </c>
      <c r="H36" s="90" t="s">
        <v>106</v>
      </c>
      <c r="I36" s="90">
        <v>3</v>
      </c>
      <c r="J36" s="90" t="s">
        <v>42</v>
      </c>
      <c r="K36" s="90">
        <v>3</v>
      </c>
      <c r="L36" s="89">
        <v>5.2725841500000001</v>
      </c>
      <c r="M36" s="89">
        <v>0.71015270708224554</v>
      </c>
      <c r="N36" s="89">
        <v>11.409175055857325</v>
      </c>
    </row>
    <row r="37" spans="1:14" x14ac:dyDescent="0.3">
      <c r="A37" s="86">
        <v>45657</v>
      </c>
      <c r="B37" s="73" t="s">
        <v>107</v>
      </c>
      <c r="C37" s="73">
        <v>5</v>
      </c>
      <c r="D37" s="73" t="s">
        <v>42</v>
      </c>
      <c r="E37" s="87">
        <v>5.2419111599999999</v>
      </c>
      <c r="F37" s="88">
        <v>47483</v>
      </c>
      <c r="H37" s="90" t="s">
        <v>106</v>
      </c>
      <c r="I37" s="90">
        <v>5</v>
      </c>
      <c r="J37" s="90" t="s">
        <v>42</v>
      </c>
      <c r="K37" s="90">
        <v>5</v>
      </c>
      <c r="L37" s="89">
        <v>5.2419111599999999</v>
      </c>
      <c r="M37" s="89">
        <v>0.56401345718076767</v>
      </c>
      <c r="N37" s="89">
        <v>11.453543350382827</v>
      </c>
    </row>
    <row r="38" spans="1:14" x14ac:dyDescent="0.3">
      <c r="A38" s="86">
        <v>45657</v>
      </c>
      <c r="B38" s="73" t="s">
        <v>107</v>
      </c>
      <c r="C38" s="73">
        <v>10</v>
      </c>
      <c r="D38" s="73" t="s">
        <v>42</v>
      </c>
      <c r="E38" s="87">
        <v>5.2650623699999999</v>
      </c>
      <c r="F38" s="88">
        <v>49309</v>
      </c>
      <c r="H38" s="90" t="s">
        <v>106</v>
      </c>
      <c r="I38" s="90">
        <v>10</v>
      </c>
      <c r="J38" s="90" t="s">
        <v>42</v>
      </c>
      <c r="K38" s="90">
        <v>10</v>
      </c>
      <c r="L38" s="89">
        <v>5.2650623699999999</v>
      </c>
      <c r="M38" s="89">
        <v>0.36821853934147386</v>
      </c>
      <c r="N38" s="89">
        <v>9.990786601702597</v>
      </c>
    </row>
    <row r="39" spans="1:14" x14ac:dyDescent="0.3">
      <c r="A39" s="86">
        <v>45657</v>
      </c>
      <c r="B39" s="73" t="s">
        <v>107</v>
      </c>
      <c r="C39" s="73">
        <v>15</v>
      </c>
      <c r="D39" s="73" t="s">
        <v>42</v>
      </c>
      <c r="E39" s="87">
        <v>4.0591492300000001</v>
      </c>
      <c r="F39" s="88">
        <v>51135</v>
      </c>
      <c r="H39" s="90" t="s">
        <v>106</v>
      </c>
      <c r="I39" s="90">
        <v>15</v>
      </c>
      <c r="J39" s="90" t="s">
        <v>42</v>
      </c>
      <c r="K39" s="90">
        <v>15</v>
      </c>
      <c r="L39" s="89">
        <v>4.0591492300000001</v>
      </c>
      <c r="M39" s="89">
        <v>0.31880847765750131</v>
      </c>
      <c r="N39" s="89">
        <v>7.6210982667896845</v>
      </c>
    </row>
    <row r="40" spans="1:14" x14ac:dyDescent="0.3">
      <c r="A40" s="86">
        <v>45657</v>
      </c>
      <c r="B40" s="73" t="s">
        <v>107</v>
      </c>
      <c r="C40" s="73">
        <v>20</v>
      </c>
      <c r="D40" s="73" t="s">
        <v>42</v>
      </c>
      <c r="E40" s="87">
        <v>4.0345753799999997</v>
      </c>
      <c r="F40" s="88">
        <v>52962</v>
      </c>
      <c r="H40" s="90" t="s">
        <v>106</v>
      </c>
      <c r="I40" s="90">
        <v>20</v>
      </c>
      <c r="J40" s="90" t="s">
        <v>42</v>
      </c>
      <c r="K40" s="90">
        <v>20</v>
      </c>
      <c r="L40" s="89">
        <v>4.0345753799999997</v>
      </c>
      <c r="M40" s="89">
        <v>0.17872028145725996</v>
      </c>
      <c r="N40" s="89">
        <v>8.6096668440605324</v>
      </c>
    </row>
    <row r="41" spans="1:14" x14ac:dyDescent="0.3">
      <c r="A41" s="86">
        <v>45657</v>
      </c>
      <c r="B41" s="73" t="s">
        <v>107</v>
      </c>
      <c r="C41" s="73">
        <v>30</v>
      </c>
      <c r="D41" s="73" t="s">
        <v>42</v>
      </c>
      <c r="E41" s="87">
        <v>3.77604176</v>
      </c>
      <c r="F41" s="88">
        <v>56614</v>
      </c>
      <c r="H41" s="90" t="s">
        <v>106</v>
      </c>
      <c r="I41" s="90">
        <v>30</v>
      </c>
      <c r="J41" s="90" t="s">
        <v>42</v>
      </c>
      <c r="K41" s="90">
        <v>30</v>
      </c>
      <c r="L41" s="89">
        <v>3.77604176</v>
      </c>
      <c r="M41" s="89">
        <v>0.10847061412994113</v>
      </c>
      <c r="N41" s="89">
        <v>7.4042532673226287</v>
      </c>
    </row>
    <row r="42" spans="1:14" x14ac:dyDescent="0.3">
      <c r="A42" s="5"/>
      <c r="B42" s="11"/>
      <c r="C42" s="11"/>
      <c r="D42" s="5"/>
      <c r="E42" s="5"/>
      <c r="F42" s="5"/>
      <c r="H42" s="5"/>
      <c r="I42" s="5"/>
      <c r="J42" s="5"/>
      <c r="K42" s="5"/>
      <c r="L42" s="5"/>
      <c r="M42" s="5"/>
      <c r="N42" s="5"/>
    </row>
    <row r="43" spans="1:14" x14ac:dyDescent="0.3">
      <c r="A43" s="5"/>
      <c r="B43" s="11"/>
      <c r="C43" s="11"/>
      <c r="D43" s="5"/>
      <c r="E43" s="5"/>
      <c r="F43" s="5"/>
      <c r="H43" s="5"/>
      <c r="I43" s="5"/>
      <c r="J43" s="5"/>
      <c r="K43" s="5"/>
      <c r="L43" s="5"/>
      <c r="M43" s="5"/>
      <c r="N43" s="5"/>
    </row>
    <row r="44" spans="1:14" x14ac:dyDescent="0.3">
      <c r="A44" s="5"/>
      <c r="B44" s="11"/>
      <c r="C44" s="11"/>
      <c r="D44" s="5"/>
      <c r="E44" s="5"/>
      <c r="F44" s="5"/>
      <c r="H44" s="5"/>
      <c r="I44" s="5"/>
      <c r="J44" s="5"/>
      <c r="K44" s="5"/>
      <c r="L44" s="5"/>
      <c r="M44" s="5"/>
      <c r="N44" s="5"/>
    </row>
    <row r="45" spans="1:14" x14ac:dyDescent="0.3">
      <c r="A45" s="5"/>
      <c r="B45" s="11"/>
      <c r="C45" s="11"/>
      <c r="D45" s="5"/>
      <c r="E45" s="5"/>
      <c r="F45" s="5"/>
      <c r="H45" s="5"/>
      <c r="I45" s="5"/>
      <c r="J45" s="5"/>
      <c r="K45" s="5"/>
      <c r="L45" s="5"/>
      <c r="M45" s="5"/>
      <c r="N45" s="5"/>
    </row>
    <row r="46" spans="1:14" x14ac:dyDescent="0.3">
      <c r="A46" s="5"/>
      <c r="B46" s="11"/>
      <c r="C46" s="11"/>
      <c r="D46" s="5"/>
      <c r="E46" s="5"/>
      <c r="F46" s="5"/>
      <c r="H46" s="5"/>
      <c r="I46" s="5"/>
      <c r="J46" s="5"/>
      <c r="K46" s="5"/>
      <c r="L46" s="5"/>
      <c r="M46" s="5"/>
      <c r="N46" s="5"/>
    </row>
    <row r="47" spans="1:14" x14ac:dyDescent="0.3">
      <c r="A47" s="5"/>
      <c r="B47" s="11"/>
      <c r="C47" s="11"/>
      <c r="D47" s="5"/>
      <c r="E47" s="5"/>
      <c r="F47" s="5"/>
      <c r="H47" s="5"/>
      <c r="I47" s="5"/>
      <c r="J47" s="5"/>
      <c r="K47" s="5"/>
      <c r="L47" s="5"/>
      <c r="M47" s="5"/>
      <c r="N47" s="5"/>
    </row>
    <row r="48" spans="1:14" x14ac:dyDescent="0.3">
      <c r="A48" s="5"/>
      <c r="B48" s="11"/>
      <c r="C48" s="11"/>
      <c r="D48" s="5"/>
      <c r="E48" s="5"/>
      <c r="F48" s="5"/>
      <c r="H48" s="5"/>
      <c r="I48" s="5"/>
      <c r="J48" s="5"/>
      <c r="K48" s="5"/>
      <c r="L48" s="5"/>
      <c r="M48" s="5"/>
      <c r="N48" s="5"/>
    </row>
    <row r="49" spans="1:14" x14ac:dyDescent="0.3">
      <c r="A49" s="5"/>
      <c r="B49" s="11"/>
      <c r="C49" s="11"/>
      <c r="D49" s="5"/>
      <c r="E49" s="5"/>
      <c r="F49" s="5"/>
      <c r="H49" s="5"/>
      <c r="I49" s="5"/>
      <c r="J49" s="5"/>
      <c r="K49" s="5"/>
      <c r="L49" s="5"/>
      <c r="M49" s="5"/>
      <c r="N49" s="5"/>
    </row>
    <row r="50" spans="1:14" x14ac:dyDescent="0.3">
      <c r="A50" s="5"/>
      <c r="B50" s="11"/>
      <c r="C50" s="11"/>
      <c r="D50" s="5"/>
      <c r="E50" s="5"/>
      <c r="F50" s="5"/>
      <c r="H50" s="5"/>
      <c r="I50" s="5"/>
      <c r="J50" s="5"/>
      <c r="K50" s="5"/>
      <c r="L50" s="5"/>
      <c r="M50" s="5"/>
      <c r="N50" s="5"/>
    </row>
    <row r="51" spans="1:14" x14ac:dyDescent="0.3">
      <c r="A51" s="5"/>
      <c r="B51" s="11"/>
      <c r="C51" s="11"/>
      <c r="D51" s="5"/>
      <c r="E51" s="5"/>
      <c r="F51" s="5"/>
      <c r="H51" s="5"/>
      <c r="I51" s="5"/>
      <c r="J51" s="5"/>
      <c r="K51" s="5"/>
      <c r="L51" s="5"/>
      <c r="M51" s="5"/>
      <c r="N51" s="5"/>
    </row>
    <row r="52" spans="1:14" x14ac:dyDescent="0.3">
      <c r="A52" s="5"/>
      <c r="B52" s="11"/>
      <c r="C52" s="11"/>
      <c r="D52" s="5"/>
      <c r="E52" s="5"/>
      <c r="F52" s="5"/>
      <c r="H52" s="5"/>
      <c r="I52" s="5"/>
      <c r="J52" s="5"/>
      <c r="K52" s="5"/>
      <c r="L52" s="5"/>
      <c r="M52" s="5"/>
      <c r="N52" s="5"/>
    </row>
    <row r="53" spans="1:14" x14ac:dyDescent="0.3">
      <c r="A53" s="5"/>
      <c r="B53" s="11"/>
      <c r="C53" s="11"/>
      <c r="D53" s="5"/>
      <c r="E53" s="5"/>
      <c r="F53" s="5"/>
      <c r="H53" s="5"/>
      <c r="I53" s="5"/>
      <c r="J53" s="5"/>
      <c r="K53" s="5"/>
      <c r="L53" s="5"/>
      <c r="M53" s="5"/>
      <c r="N53" s="5"/>
    </row>
    <row r="54" spans="1:14" x14ac:dyDescent="0.3">
      <c r="A54" s="5"/>
      <c r="B54" s="11"/>
      <c r="C54" s="11"/>
      <c r="D54" s="5"/>
      <c r="E54" s="5"/>
      <c r="F54" s="5"/>
      <c r="H54" s="5"/>
      <c r="I54" s="5"/>
      <c r="J54" s="5"/>
      <c r="K54" s="5"/>
      <c r="L54" s="5"/>
      <c r="M54" s="5"/>
      <c r="N54" s="5"/>
    </row>
    <row r="55" spans="1:14" x14ac:dyDescent="0.3">
      <c r="A55" s="5"/>
      <c r="B55" s="11"/>
      <c r="C55" s="11"/>
      <c r="D55" s="5"/>
      <c r="E55" s="5"/>
      <c r="F55" s="5"/>
      <c r="H55" s="5"/>
      <c r="I55" s="5"/>
      <c r="J55" s="5"/>
      <c r="K55" s="5"/>
      <c r="L55" s="5"/>
      <c r="M55" s="5"/>
      <c r="N55" s="5"/>
    </row>
    <row r="56" spans="1:14" x14ac:dyDescent="0.3">
      <c r="A56" s="5"/>
      <c r="B56" s="11"/>
      <c r="C56" s="11"/>
      <c r="D56" s="5"/>
      <c r="E56" s="5"/>
      <c r="F56" s="5"/>
      <c r="H56" s="5"/>
      <c r="I56" s="5"/>
      <c r="J56" s="5"/>
      <c r="K56" s="5"/>
      <c r="L56" s="5"/>
      <c r="M56" s="5"/>
      <c r="N56" s="5"/>
    </row>
    <row r="57" spans="1:14" x14ac:dyDescent="0.3">
      <c r="A57" s="5"/>
      <c r="B57" s="11"/>
      <c r="C57" s="11"/>
      <c r="D57" s="5"/>
      <c r="E57" s="5"/>
      <c r="F57" s="5"/>
      <c r="H57" s="5"/>
      <c r="I57" s="5"/>
      <c r="J57" s="5"/>
      <c r="K57" s="5"/>
      <c r="L57" s="5"/>
      <c r="M57" s="5"/>
      <c r="N57" s="5"/>
    </row>
    <row r="58" spans="1:14" x14ac:dyDescent="0.3">
      <c r="A58" s="5"/>
      <c r="B58" s="11"/>
      <c r="C58" s="11"/>
      <c r="D58" s="5"/>
      <c r="E58" s="5"/>
      <c r="F58" s="5"/>
      <c r="H58" s="5"/>
      <c r="I58" s="5"/>
      <c r="J58" s="5"/>
      <c r="K58" s="5"/>
      <c r="L58" s="5"/>
      <c r="M58" s="5"/>
      <c r="N58" s="5"/>
    </row>
    <row r="59" spans="1:14" x14ac:dyDescent="0.3">
      <c r="A59" s="5"/>
      <c r="B59" s="11"/>
      <c r="C59" s="11"/>
      <c r="D59" s="5"/>
      <c r="E59" s="5"/>
      <c r="F59" s="5"/>
      <c r="H59" s="5"/>
      <c r="I59" s="5"/>
      <c r="J59" s="5"/>
      <c r="K59" s="5"/>
      <c r="L59" s="5"/>
      <c r="M59" s="5"/>
      <c r="N59" s="5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4"/>
  <sheetViews>
    <sheetView workbookViewId="0">
      <selection activeCell="J17" sqref="J17"/>
    </sheetView>
  </sheetViews>
  <sheetFormatPr defaultRowHeight="16.5" x14ac:dyDescent="0.3"/>
  <cols>
    <col min="1" max="1" width="11.375" bestFit="1" customWidth="1"/>
    <col min="2" max="2" width="16" bestFit="1" customWidth="1"/>
  </cols>
  <sheetData>
    <row r="1" spans="1:2" x14ac:dyDescent="0.3">
      <c r="A1" t="s">
        <v>9</v>
      </c>
      <c r="B1" t="s">
        <v>29</v>
      </c>
    </row>
    <row r="2" spans="1:2" x14ac:dyDescent="0.3">
      <c r="A2" t="s">
        <v>33</v>
      </c>
      <c r="B2" t="s">
        <v>1</v>
      </c>
    </row>
    <row r="3" spans="1:2" x14ac:dyDescent="0.3">
      <c r="A3" t="s">
        <v>34</v>
      </c>
      <c r="B3" t="s">
        <v>1</v>
      </c>
    </row>
    <row r="4" spans="1:2" x14ac:dyDescent="0.3">
      <c r="A4" t="s">
        <v>87</v>
      </c>
      <c r="B4" t="s">
        <v>1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Bond</vt:lpstr>
      <vt:lpstr>Curve</vt:lpstr>
      <vt:lpstr>Curve 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2025-05-08T05:54:20Z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