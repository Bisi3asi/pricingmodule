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wo\Desktop\WB업무\01_업무\2024\20240730_Module 개발_FX Swap\"/>
    </mc:Choice>
  </mc:AlternateContent>
  <xr:revisionPtr revIDLastSave="0" documentId="13_ncr:1_{0695A086-888A-4E1C-B8D4-1D8D9CC97553}" xr6:coauthVersionLast="47" xr6:coauthVersionMax="47" xr10:uidLastSave="{00000000-0000-0000-0000-000000000000}"/>
  <bookViews>
    <workbookView xWindow="-110" yWindow="-110" windowWidth="38620" windowHeight="21100" xr2:uid="{EC7E951D-4997-4089-8F92-E220B41995D4}"/>
  </bookViews>
  <sheets>
    <sheet name="FX_Swap" sheetId="1" r:id="rId1"/>
    <sheet name="FX_Forward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3" l="1"/>
  <c r="C10" i="1"/>
  <c r="C29" i="1" s="1"/>
  <c r="K39" i="3"/>
  <c r="K38" i="3"/>
  <c r="K37" i="3"/>
  <c r="K36" i="3"/>
  <c r="X32" i="3"/>
  <c r="W32" i="3"/>
  <c r="V32" i="3"/>
  <c r="U32" i="3"/>
  <c r="X31" i="3"/>
  <c r="W31" i="3"/>
  <c r="V31" i="3"/>
  <c r="U31" i="3"/>
  <c r="X30" i="3"/>
  <c r="W30" i="3"/>
  <c r="V30" i="3"/>
  <c r="U30" i="3"/>
  <c r="X29" i="3"/>
  <c r="W29" i="3"/>
  <c r="V29" i="3"/>
  <c r="U29" i="3"/>
  <c r="X28" i="3"/>
  <c r="W28" i="3"/>
  <c r="V28" i="3"/>
  <c r="U28" i="3"/>
  <c r="X27" i="3"/>
  <c r="W27" i="3"/>
  <c r="V27" i="3"/>
  <c r="U27" i="3"/>
  <c r="X26" i="3"/>
  <c r="W26" i="3"/>
  <c r="V26" i="3"/>
  <c r="U26" i="3"/>
  <c r="X25" i="3"/>
  <c r="W25" i="3"/>
  <c r="V25" i="3"/>
  <c r="U25" i="3"/>
  <c r="X24" i="3"/>
  <c r="W24" i="3"/>
  <c r="V24" i="3"/>
  <c r="U24" i="3"/>
  <c r="X23" i="3"/>
  <c r="W23" i="3"/>
  <c r="V23" i="3"/>
  <c r="U23" i="3"/>
  <c r="X22" i="3"/>
  <c r="W22" i="3"/>
  <c r="V22" i="3"/>
  <c r="U22" i="3"/>
  <c r="F22" i="3"/>
  <c r="X21" i="3"/>
  <c r="W21" i="3"/>
  <c r="V21" i="3"/>
  <c r="U21" i="3"/>
  <c r="K21" i="3"/>
  <c r="F21" i="3"/>
  <c r="X20" i="3"/>
  <c r="W20" i="3"/>
  <c r="V20" i="3"/>
  <c r="U20" i="3"/>
  <c r="F20" i="3"/>
  <c r="X19" i="3"/>
  <c r="W19" i="3"/>
  <c r="V19" i="3"/>
  <c r="U19" i="3"/>
  <c r="K19" i="3"/>
  <c r="F19" i="3"/>
  <c r="X18" i="3"/>
  <c r="W18" i="3"/>
  <c r="V18" i="3"/>
  <c r="U18" i="3"/>
  <c r="K18" i="3"/>
  <c r="X17" i="3"/>
  <c r="W17" i="3"/>
  <c r="V17" i="3"/>
  <c r="U17" i="3"/>
  <c r="X16" i="3"/>
  <c r="W16" i="3"/>
  <c r="V16" i="3"/>
  <c r="U16" i="3"/>
  <c r="X15" i="3"/>
  <c r="W15" i="3"/>
  <c r="V15" i="3"/>
  <c r="U15" i="3"/>
  <c r="X14" i="3"/>
  <c r="W14" i="3"/>
  <c r="V14" i="3"/>
  <c r="U14" i="3"/>
  <c r="F14" i="3"/>
  <c r="AF13" i="3"/>
  <c r="X13" i="3"/>
  <c r="W13" i="3"/>
  <c r="V13" i="3"/>
  <c r="U13" i="3"/>
  <c r="F13" i="3"/>
  <c r="AF12" i="3"/>
  <c r="X12" i="3"/>
  <c r="W12" i="3"/>
  <c r="V12" i="3"/>
  <c r="U12" i="3"/>
  <c r="F12" i="3"/>
  <c r="X11" i="3"/>
  <c r="W11" i="3"/>
  <c r="V11" i="3"/>
  <c r="U11" i="3"/>
  <c r="G11" i="3"/>
  <c r="X10" i="3"/>
  <c r="W10" i="3"/>
  <c r="V10" i="3"/>
  <c r="U10" i="3"/>
  <c r="X9" i="3"/>
  <c r="W9" i="3"/>
  <c r="V9" i="3"/>
  <c r="U9" i="3"/>
  <c r="X8" i="3"/>
  <c r="W8" i="3"/>
  <c r="V8" i="3"/>
  <c r="U8" i="3"/>
  <c r="X7" i="3"/>
  <c r="W7" i="3"/>
  <c r="V7" i="3"/>
  <c r="U7" i="3"/>
  <c r="X6" i="3"/>
  <c r="W6" i="3"/>
  <c r="V6" i="3"/>
  <c r="U6" i="3"/>
  <c r="C6" i="3"/>
  <c r="AF5" i="3"/>
  <c r="X5" i="3"/>
  <c r="W5" i="3"/>
  <c r="V5" i="3"/>
  <c r="U5" i="3"/>
  <c r="F5" i="3"/>
  <c r="AF4" i="3"/>
  <c r="X4" i="3"/>
  <c r="W4" i="3"/>
  <c r="V4" i="3"/>
  <c r="U4" i="3"/>
  <c r="F4" i="3"/>
  <c r="X3" i="3"/>
  <c r="W3" i="3"/>
  <c r="V3" i="3"/>
  <c r="U3" i="3"/>
  <c r="F3" i="3"/>
  <c r="F2" i="3"/>
  <c r="F1" i="3"/>
  <c r="C48" i="1"/>
  <c r="C46" i="1"/>
  <c r="U32" i="1"/>
  <c r="T32" i="1"/>
  <c r="S32" i="1"/>
  <c r="R32" i="1"/>
  <c r="U31" i="1"/>
  <c r="T31" i="1"/>
  <c r="S31" i="1"/>
  <c r="R31" i="1"/>
  <c r="U30" i="1"/>
  <c r="T30" i="1"/>
  <c r="S30" i="1"/>
  <c r="R30" i="1"/>
  <c r="U29" i="1"/>
  <c r="T29" i="1"/>
  <c r="S29" i="1"/>
  <c r="R29" i="1"/>
  <c r="U28" i="1"/>
  <c r="T28" i="1"/>
  <c r="S28" i="1"/>
  <c r="R28" i="1"/>
  <c r="U27" i="1"/>
  <c r="T27" i="1"/>
  <c r="S27" i="1"/>
  <c r="R27" i="1"/>
  <c r="U26" i="1"/>
  <c r="T26" i="1"/>
  <c r="S26" i="1"/>
  <c r="R26" i="1"/>
  <c r="U25" i="1"/>
  <c r="T25" i="1"/>
  <c r="S25" i="1"/>
  <c r="R25" i="1"/>
  <c r="U24" i="1"/>
  <c r="T24" i="1"/>
  <c r="S24" i="1"/>
  <c r="R24" i="1"/>
  <c r="U23" i="1"/>
  <c r="T23" i="1"/>
  <c r="S23" i="1"/>
  <c r="R23" i="1"/>
  <c r="U22" i="1"/>
  <c r="T22" i="1"/>
  <c r="S22" i="1"/>
  <c r="R22" i="1"/>
  <c r="U21" i="1"/>
  <c r="T21" i="1"/>
  <c r="S21" i="1"/>
  <c r="R21" i="1"/>
  <c r="U20" i="1"/>
  <c r="T20" i="1"/>
  <c r="S20" i="1"/>
  <c r="R20" i="1"/>
  <c r="U19" i="1"/>
  <c r="T19" i="1"/>
  <c r="S19" i="1"/>
  <c r="R19" i="1"/>
  <c r="C28" i="1"/>
  <c r="U18" i="1"/>
  <c r="T18" i="1"/>
  <c r="S18" i="1"/>
  <c r="R18" i="1"/>
  <c r="C27" i="1"/>
  <c r="U17" i="1"/>
  <c r="T17" i="1"/>
  <c r="S17" i="1"/>
  <c r="R17" i="1"/>
  <c r="U16" i="1"/>
  <c r="T16" i="1"/>
  <c r="S16" i="1"/>
  <c r="R16" i="1"/>
  <c r="U15" i="1"/>
  <c r="T15" i="1"/>
  <c r="S15" i="1"/>
  <c r="R15" i="1"/>
  <c r="U14" i="1"/>
  <c r="T14" i="1"/>
  <c r="S14" i="1"/>
  <c r="R14" i="1"/>
  <c r="AC13" i="1"/>
  <c r="U13" i="1"/>
  <c r="T13" i="1"/>
  <c r="S13" i="1"/>
  <c r="R13" i="1"/>
  <c r="AC12" i="1"/>
  <c r="U12" i="1"/>
  <c r="T12" i="1"/>
  <c r="S12" i="1"/>
  <c r="R12" i="1"/>
  <c r="U11" i="1"/>
  <c r="T11" i="1"/>
  <c r="S11" i="1"/>
  <c r="R11" i="1"/>
  <c r="C11" i="1"/>
  <c r="E11" i="1" s="1"/>
  <c r="U10" i="1"/>
  <c r="T10" i="1"/>
  <c r="S10" i="1"/>
  <c r="R10" i="1"/>
  <c r="U9" i="1"/>
  <c r="T9" i="1"/>
  <c r="S9" i="1"/>
  <c r="R9" i="1"/>
  <c r="E9" i="1"/>
  <c r="U8" i="1"/>
  <c r="T8" i="1"/>
  <c r="S8" i="1"/>
  <c r="R8" i="1"/>
  <c r="U7" i="1"/>
  <c r="T7" i="1"/>
  <c r="S7" i="1"/>
  <c r="R7" i="1"/>
  <c r="E7" i="1"/>
  <c r="U6" i="1"/>
  <c r="T6" i="1"/>
  <c r="S6" i="1"/>
  <c r="R6" i="1"/>
  <c r="C6" i="1"/>
  <c r="C47" i="1" s="1"/>
  <c r="AC5" i="1"/>
  <c r="U5" i="1"/>
  <c r="T5" i="1"/>
  <c r="S5" i="1"/>
  <c r="R5" i="1"/>
  <c r="E5" i="1"/>
  <c r="AC4" i="1"/>
  <c r="U4" i="1"/>
  <c r="T4" i="1"/>
  <c r="S4" i="1"/>
  <c r="R4" i="1"/>
  <c r="U3" i="1"/>
  <c r="T3" i="1"/>
  <c r="S3" i="1"/>
  <c r="R3" i="1"/>
  <c r="E2" i="1"/>
  <c r="P1" i="1"/>
  <c r="L1" i="1"/>
  <c r="E1" i="1"/>
  <c r="K44" i="3" a="1"/>
  <c r="K42" i="3" a="1"/>
  <c r="K23" i="3" a="1"/>
  <c r="M41" i="3" a="1"/>
  <c r="C36" i="1" a="1"/>
  <c r="AG5" i="3" a="1"/>
  <c r="K26" i="3" a="1"/>
  <c r="K41" i="3" a="1"/>
  <c r="AD13" i="1" a="1"/>
  <c r="C33" i="1" a="1"/>
  <c r="AD12" i="1" a="1"/>
  <c r="AD5" i="1" a="1"/>
  <c r="C32" i="1" a="1"/>
  <c r="AG12" i="3" a="1"/>
  <c r="AD4" i="1" a="1"/>
  <c r="AG4" i="3" a="1"/>
  <c r="AG13" i="3" a="1"/>
  <c r="C51" i="1" a="1"/>
  <c r="K27" i="3" a="1"/>
  <c r="K45" i="3" a="1"/>
  <c r="M44" i="3" a="1"/>
  <c r="C54" i="1" a="1"/>
  <c r="K24" i="3" a="1"/>
  <c r="C53" i="1" a="1"/>
  <c r="C50" i="1" a="1"/>
  <c r="C4" i="1" l="1"/>
  <c r="C45" i="1" s="1"/>
  <c r="C50" i="1"/>
  <c r="C51" i="1"/>
  <c r="C53" i="1"/>
  <c r="C54" i="1"/>
  <c r="C36" i="1"/>
  <c r="C33" i="1"/>
  <c r="C32" i="1"/>
  <c r="K41" i="3"/>
  <c r="K26" i="3"/>
  <c r="M41" i="3"/>
  <c r="K23" i="3"/>
  <c r="K42" i="3"/>
  <c r="K44" i="3"/>
  <c r="K27" i="3"/>
  <c r="K24" i="3"/>
  <c r="M44" i="3"/>
  <c r="K45" i="3"/>
  <c r="AG13" i="3"/>
  <c r="AH13" i="3" s="1"/>
  <c r="AG5" i="3"/>
  <c r="AH5" i="3" s="1"/>
  <c r="AG12" i="3"/>
  <c r="AH12" i="3" s="1"/>
  <c r="AG4" i="3"/>
  <c r="AH4" i="3" s="1"/>
  <c r="AD13" i="1"/>
  <c r="AE13" i="1" s="1"/>
  <c r="AD12" i="1"/>
  <c r="AE12" i="1" s="1"/>
  <c r="AD5" i="1"/>
  <c r="AE5" i="1" s="1"/>
  <c r="AD4" i="1"/>
  <c r="AE4" i="1" s="1"/>
  <c r="C30" i="1"/>
  <c r="C35" i="1" a="1"/>
  <c r="C35" i="1" l="1"/>
  <c r="C52" i="1"/>
  <c r="K46" i="3"/>
  <c r="K49" i="3" s="1"/>
  <c r="C34" i="1"/>
  <c r="C39" i="1" s="1"/>
  <c r="AE7" i="3"/>
  <c r="AE8" i="3" s="1"/>
  <c r="AE15" i="3"/>
  <c r="AE16" i="3" s="1"/>
  <c r="K25" i="3"/>
  <c r="K30" i="3" s="1"/>
  <c r="K28" i="3"/>
  <c r="K31" i="3" s="1"/>
  <c r="K43" i="3"/>
  <c r="K48" i="3" s="1"/>
  <c r="K50" i="3" s="1"/>
  <c r="AB15" i="1"/>
  <c r="AB16" i="1" s="1"/>
  <c r="AB7" i="1"/>
  <c r="AB8" i="1" s="1"/>
  <c r="C55" i="1"/>
  <c r="C37" i="1"/>
  <c r="C40" i="1" s="1"/>
  <c r="C41" i="1" s="1"/>
  <c r="C57" i="1" l="1"/>
  <c r="C58" i="1"/>
  <c r="K32" i="3"/>
  <c r="K15" i="3" s="1"/>
  <c r="C59" i="1" l="1"/>
  <c r="D13" i="1" s="1"/>
  <c r="C2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이준우</author>
  </authors>
  <commentList>
    <comment ref="F6" authorId="0" shapeId="0" xr:uid="{0A68D9FE-00AD-4F9E-ACFD-B65FABE6B7E5}">
      <text>
        <r>
          <rPr>
            <b/>
            <sz val="9"/>
            <color indexed="81"/>
            <rFont val="Tahoma"/>
            <family val="2"/>
          </rPr>
          <t>이준우:</t>
        </r>
        <r>
          <rPr>
            <sz val="9"/>
            <color indexed="81"/>
            <rFont val="Tahoma"/>
            <family val="2"/>
          </rPr>
          <t xml:space="preserve">
통화마다 표시 기준이 상이하므로, 평가기스템이 해당값을 입력해줘야 함.
※통화관련 정보는 평가엔진이 아닌 시스템에서 관리되는 정보임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<sst xmlns="http://schemas.openxmlformats.org/spreadsheetml/2006/main" count="166" uniqueCount="58">
  <si>
    <t>Date</t>
  </si>
  <si>
    <t>Rate</t>
  </si>
  <si>
    <t>Start</t>
  </si>
  <si>
    <t>End</t>
  </si>
  <si>
    <t>Time</t>
  </si>
  <si>
    <t>DF</t>
  </si>
  <si>
    <t>Excel</t>
  </si>
  <si>
    <t>asOfDate</t>
  </si>
  <si>
    <t>SettleDate</t>
  </si>
  <si>
    <t>isRCVCcyForeign</t>
  </si>
  <si>
    <t>rcvNearAmt</t>
  </si>
  <si>
    <t>rcvNearDate</t>
  </si>
  <si>
    <t>payNearAmt</t>
  </si>
  <si>
    <t>payNearDate</t>
  </si>
  <si>
    <t>rcvFarAmt</t>
  </si>
  <si>
    <t>rcvFarDate</t>
  </si>
  <si>
    <t>payFarAmt</t>
  </si>
  <si>
    <t>payFarDate</t>
  </si>
  <si>
    <t>StartDate</t>
  </si>
  <si>
    <t>EndDate</t>
  </si>
  <si>
    <t>RCVCurve</t>
  </si>
  <si>
    <t>rcvSettleDF</t>
  </si>
  <si>
    <t>rcvPaymentDF</t>
  </si>
  <si>
    <t>rcvForwardDF</t>
  </si>
  <si>
    <t>paySettleDF</t>
  </si>
  <si>
    <t>payPaymentDF</t>
  </si>
  <si>
    <t>payForwardDF</t>
  </si>
  <si>
    <t>Pricing</t>
  </si>
  <si>
    <t>Pay Interpolator</t>
  </si>
  <si>
    <t>RCV Interpolator</t>
  </si>
  <si>
    <t>PayCurve</t>
  </si>
  <si>
    <t>spotFXRate</t>
  </si>
  <si>
    <t>TestCode Input</t>
  </si>
  <si>
    <t>notionalAmt</t>
  </si>
  <si>
    <t>Parameter</t>
  </si>
  <si>
    <t>Instrument</t>
  </si>
  <si>
    <t>Input</t>
  </si>
  <si>
    <t>Far_Leg</t>
  </si>
  <si>
    <t>pvRcvFarAmt</t>
  </si>
  <si>
    <t>pvPayFarAmt</t>
  </si>
  <si>
    <t>NPV</t>
  </si>
  <si>
    <t>Near_Leg</t>
  </si>
  <si>
    <t>rcvNearPaymentDF</t>
  </si>
  <si>
    <t>rcvNearSettleDF</t>
  </si>
  <si>
    <t>rcvNearForwardDF</t>
  </si>
  <si>
    <t>payNearPaymentDF</t>
  </si>
  <si>
    <t>payNearSettleDF</t>
  </si>
  <si>
    <t>payNearForwardDF</t>
  </si>
  <si>
    <t>farLegNPV</t>
  </si>
  <si>
    <t>nearLegNPV</t>
  </si>
  <si>
    <t>isRCV</t>
  </si>
  <si>
    <t>swapPoint</t>
  </si>
  <si>
    <t>swapPointDenominator</t>
  </si>
  <si>
    <t>contractFXRate</t>
  </si>
  <si>
    <t>paymentDate</t>
  </si>
  <si>
    <t>입력데이터</t>
  </si>
  <si>
    <t>매핑데이터</t>
  </si>
  <si>
    <t>Font 색 구분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</si>
</sst>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00000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7"/>
      <name val="Aptos Narrow"/>
      <family val="2"/>
      <scheme val="minor"/>
    </font>
    <font>
      <sz val="11"/>
      <color theme="7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Aptos Narrow"/>
      <family val="2"/>
      <scheme val="minor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11" fontId="0" fillId="0" borderId="0" xfId="0" applyNumberFormat="1"/>
    <xf numFmtId="43" fontId="0" fillId="0" borderId="0" xfId="0" applyNumberFormat="1"/>
    <xf numFmtId="0" fontId="2" fillId="2" borderId="0" xfId="0" applyFont="1" applyFill="1"/>
    <xf numFmtId="1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3" fontId="0" fillId="3" borderId="0" xfId="1" applyFont="1" applyFill="1" applyAlignment="1">
      <alignment horizontal="center"/>
    </xf>
    <xf numFmtId="43" fontId="0" fillId="3" borderId="0" xfId="0" applyNumberFormat="1" applyFill="1" applyAlignment="1">
      <alignment horizontal="center"/>
    </xf>
    <xf numFmtId="43" fontId="3" fillId="3" borderId="0" xfId="1" applyFont="1" applyFill="1" applyAlignment="1">
      <alignment horizontal="center"/>
    </xf>
    <xf numFmtId="0" fontId="2" fillId="4" borderId="0" xfId="0" applyFont="1" applyFill="1"/>
    <xf numFmtId="14" fontId="0" fillId="3" borderId="0" xfId="0" applyNumberFormat="1" applyFill="1"/>
    <xf numFmtId="0" fontId="0" fillId="3" borderId="0" xfId="0" applyFill="1"/>
    <xf numFmtId="0" fontId="4" fillId="5" borderId="0" xfId="0" applyFont="1" applyFill="1"/>
    <xf numFmtId="0" fontId="3" fillId="0" borderId="0" xfId="0" applyFont="1"/>
    <xf numFmtId="2" fontId="3" fillId="0" borderId="0" xfId="0" applyNumberFormat="1" applyFont="1"/>
    <xf numFmtId="2" fontId="0" fillId="0" borderId="0" xfId="0" applyNumberFormat="1"/>
    <xf numFmtId="0" fontId="4" fillId="0" borderId="0" xfId="0" applyFont="1"/>
    <xf numFmtId="14" fontId="9" fillId="3" borderId="0" xfId="0" applyNumberFormat="1" applyFont="1" applyFill="1" applyAlignment="1">
      <alignment horizontal="center"/>
    </xf>
    <xf numFmtId="43" fontId="9" fillId="3" borderId="0" xfId="1" applyFont="1" applyFill="1" applyAlignment="1">
      <alignment horizontal="center"/>
    </xf>
    <xf numFmtId="2" fontId="9" fillId="3" borderId="0" xfId="1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43" fontId="9" fillId="3" borderId="0" xfId="0" applyNumberFormat="1" applyFont="1" applyFill="1" applyAlignment="1">
      <alignment horizontal="center"/>
    </xf>
    <xf numFmtId="0" fontId="9" fillId="0" borderId="0" xfId="0" applyFont="1"/>
    <xf numFmtId="0" fontId="10" fillId="0" borderId="0" xfId="0" applyFont="1"/>
    <xf numFmtId="0" fontId="10" fillId="6" borderId="0" xfId="0" applyFont="1" applyFill="1"/>
    <xf numFmtId="164" fontId="3" fillId="0" borderId="0" xfId="0" applyNumberFormat="1" applyFo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1042276</xdr:colOff>
      <xdr:row>14</xdr:row>
      <xdr:rowOff>157656</xdr:rowOff>
    </xdr:from>
    <xdr:to>
      <xdr:col>2</xdr:col>
      <xdr:colOff>801414</xdr:colOff>
      <xdr:row>18</xdr:row>
      <xdr:rowOff>30655</xdr:rowOff>
    </xdr:to>
    <xdr:sp macro="[0]!Sheet1.cal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D54ADB-3252-4F57-8053-2A28D33977C5}"/>
            </a:ext>
          </a:extLst>
        </xdr:cNvPr>
        <xdr:cNvSpPr/>
      </xdr:nvSpPr>
      <xdr:spPr>
        <a:xfrm>
          <a:off x="1694793" y="2732690"/>
          <a:ext cx="1029138" cy="6087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Calc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6664-4110-47E5-8519-B2DDFACC9AA0}">
  <sheetPr codeName="Sheet1"/>
  <dimension ref="A1:AE59"/>
  <sheetViews>
    <sheetView tabSelected="1" zoomScale="145" zoomScaleNormal="145" workbookViewId="0">
      <selection activeCell="D16" sqref="D16"/>
    </sheetView>
  </sheetViews>
  <sheetFormatPr defaultRowHeight="14.5" x14ac:dyDescent="0.35"/>
  <cols>
    <col min="1" max="1" width="9.36328125" style="13" bestFit="1" customWidth="1"/>
    <col min="2" max="2" width="18.1796875" customWidth="1"/>
    <col min="3" max="3" width="19.54296875" bestFit="1" customWidth="1"/>
    <col min="4" max="4" width="10.08984375" bestFit="1" customWidth="1"/>
    <col min="6" max="6" width="9.36328125" style="13" bestFit="1" customWidth="1"/>
    <col min="7" max="7" width="17.08984375" bestFit="1" customWidth="1"/>
    <col min="8" max="8" width="18.54296875" bestFit="1" customWidth="1"/>
    <col min="10" max="11" width="10.08984375" bestFit="1" customWidth="1"/>
    <col min="14" max="15" width="10.08984375" bestFit="1" customWidth="1"/>
    <col min="28" max="28" width="10.08984375" bestFit="1" customWidth="1"/>
  </cols>
  <sheetData>
    <row r="1" spans="1:31" x14ac:dyDescent="0.35">
      <c r="A1" s="13" t="s">
        <v>35</v>
      </c>
      <c r="B1" s="4" t="s">
        <v>7</v>
      </c>
      <c r="C1" s="5">
        <v>45288</v>
      </c>
      <c r="E1">
        <f>VALUE(TEXT(C1,"yyyymmdd"))</f>
        <v>20231228</v>
      </c>
      <c r="F1" s="13" t="s">
        <v>27</v>
      </c>
      <c r="G1" s="4" t="s">
        <v>31</v>
      </c>
      <c r="H1" s="6">
        <v>1288</v>
      </c>
      <c r="J1" t="s">
        <v>20</v>
      </c>
      <c r="L1">
        <f>COUNTA(L3:L34)</f>
        <v>32</v>
      </c>
      <c r="N1" t="s">
        <v>30</v>
      </c>
      <c r="P1">
        <f>COUNTA(P3:P33)</f>
        <v>31</v>
      </c>
      <c r="R1" t="s">
        <v>32</v>
      </c>
    </row>
    <row r="2" spans="1:31" x14ac:dyDescent="0.35">
      <c r="A2" s="13" t="s">
        <v>36</v>
      </c>
      <c r="B2" s="4" t="s">
        <v>8</v>
      </c>
      <c r="C2" s="5">
        <v>45293</v>
      </c>
      <c r="E2">
        <f>VALUE(TEXT(C2,"yyyymmdd"))</f>
        <v>20240102</v>
      </c>
      <c r="F2" s="13" t="s">
        <v>34</v>
      </c>
      <c r="J2" s="10" t="s">
        <v>18</v>
      </c>
      <c r="K2" s="10" t="s">
        <v>19</v>
      </c>
      <c r="L2" s="10" t="s">
        <v>1</v>
      </c>
      <c r="N2" s="10" t="s">
        <v>18</v>
      </c>
      <c r="O2" s="10" t="s">
        <v>19</v>
      </c>
      <c r="P2" s="10" t="s">
        <v>1</v>
      </c>
      <c r="AA2" t="s">
        <v>29</v>
      </c>
    </row>
    <row r="3" spans="1:31" x14ac:dyDescent="0.35">
      <c r="B3" s="4" t="s">
        <v>9</v>
      </c>
      <c r="C3" s="6" t="b">
        <v>1</v>
      </c>
      <c r="J3" s="11">
        <v>45288</v>
      </c>
      <c r="K3" s="11">
        <v>45288</v>
      </c>
      <c r="L3" s="12">
        <v>5.4239024999999996E-2</v>
      </c>
      <c r="N3" s="11">
        <v>45288</v>
      </c>
      <c r="O3" s="11">
        <v>45288</v>
      </c>
      <c r="P3" s="12">
        <v>2.5921402114464115E-2</v>
      </c>
      <c r="R3" t="str">
        <f>"rcvCCYCurveDates.emplace_back("&amp;K3&amp;");"</f>
        <v>rcvCCYCurveDates.emplace_back(45288);</v>
      </c>
      <c r="S3" t="str">
        <f>"rcvCCYYields.push_back("&amp;L3/100&amp;");"</f>
        <v>rcvCCYYields.push_back(0.00054239025);</v>
      </c>
      <c r="T3" t="str">
        <f>"payCCYCurveDates.emplace_back("&amp;O3&amp;");"</f>
        <v>payCCYCurveDates.emplace_back(45288);</v>
      </c>
      <c r="U3" t="str">
        <f>"payCCYYields.push_back("&amp;P3/100&amp;");"</f>
        <v>payCCYYields.push_back(0.000259214021144641);</v>
      </c>
      <c r="AB3" t="s">
        <v>0</v>
      </c>
      <c r="AC3" t="s">
        <v>4</v>
      </c>
      <c r="AD3" t="s">
        <v>1</v>
      </c>
      <c r="AE3" t="s">
        <v>5</v>
      </c>
    </row>
    <row r="4" spans="1:31" x14ac:dyDescent="0.35">
      <c r="B4" s="4" t="s">
        <v>10</v>
      </c>
      <c r="C4" s="7">
        <f>C6*D4</f>
        <v>12880000000</v>
      </c>
      <c r="D4">
        <v>1288</v>
      </c>
      <c r="J4" s="11">
        <v>45288</v>
      </c>
      <c r="K4" s="11">
        <v>45289</v>
      </c>
      <c r="L4" s="12">
        <v>5.4239024999999996E-2</v>
      </c>
      <c r="N4" s="11">
        <v>45288</v>
      </c>
      <c r="O4" s="11">
        <v>45289</v>
      </c>
      <c r="P4" s="12">
        <v>2.5921402114464115E-2</v>
      </c>
      <c r="R4" t="str">
        <f t="shared" ref="R4:R32" si="0">"rcvCCYCurveDates.emplace_back("&amp;K4&amp;");"</f>
        <v>rcvCCYCurveDates.emplace_back(45289);</v>
      </c>
      <c r="S4" t="str">
        <f t="shared" ref="S4:S32" si="1">"rcvCCYYields.push_back("&amp;L4/100&amp;");"</f>
        <v>rcvCCYYields.push_back(0.00054239025);</v>
      </c>
      <c r="T4" t="str">
        <f t="shared" ref="T4:T32" si="2">"payCCYCurveDates.emplace_back("&amp;O4&amp;");"</f>
        <v>payCCYCurveDates.emplace_back(45289);</v>
      </c>
      <c r="U4" t="str">
        <f t="shared" ref="U4:U32" si="3">"payCCYYields.push_back("&amp;P4/100&amp;");"</f>
        <v>payCCYYields.push_back(0.000259214021144641);</v>
      </c>
      <c r="AA4" t="s">
        <v>2</v>
      </c>
      <c r="AB4" s="1">
        <v>45293</v>
      </c>
      <c r="AC4">
        <f>(AB4-$C$1)/365</f>
        <v>1.3698630136986301E-2</v>
      </c>
      <c r="AD4" cm="1">
        <f t="array" ref="AD4">interp_rate(AB4,$K$3:$K$24,$L$3:$L$24)/100</f>
        <v>5.4227919769230773E-4</v>
      </c>
      <c r="AE4">
        <f>EXP(-AD4*AC4)</f>
        <v>0.99999257154543097</v>
      </c>
    </row>
    <row r="5" spans="1:31" x14ac:dyDescent="0.35">
      <c r="B5" s="4" t="s">
        <v>11</v>
      </c>
      <c r="C5" s="5">
        <v>45293</v>
      </c>
      <c r="E5">
        <f>VALUE(TEXT(C5,"yyyymmdd"))</f>
        <v>20240102</v>
      </c>
      <c r="J5" s="11">
        <v>45293</v>
      </c>
      <c r="K5" s="11">
        <v>45302</v>
      </c>
      <c r="L5" s="12">
        <v>5.4202933000000002E-2</v>
      </c>
      <c r="N5" s="11">
        <v>45289</v>
      </c>
      <c r="O5" s="11">
        <v>45293</v>
      </c>
      <c r="P5" s="12">
        <v>-2.4271082976221998E-3</v>
      </c>
      <c r="R5" t="str">
        <f t="shared" si="0"/>
        <v>rcvCCYCurveDates.emplace_back(45302);</v>
      </c>
      <c r="S5" t="str">
        <f t="shared" si="1"/>
        <v>rcvCCYYields.push_back(0.00054202933);</v>
      </c>
      <c r="T5" t="str">
        <f t="shared" si="2"/>
        <v>payCCYCurveDates.emplace_back(45293);</v>
      </c>
      <c r="U5" t="str">
        <f t="shared" si="3"/>
        <v>payCCYYields.push_back(-0.000024271082976222);</v>
      </c>
      <c r="AA5" t="s">
        <v>3</v>
      </c>
      <c r="AB5" s="1">
        <v>45294</v>
      </c>
      <c r="AC5">
        <f>(AB5-$C$1)/365</f>
        <v>1.643835616438356E-2</v>
      </c>
      <c r="AD5" cm="1">
        <f t="array" ref="AD5">interp_rate(AB5,$K$3:$K$24,$L$3:$L$24)/100</f>
        <v>5.4225143461538458E-4</v>
      </c>
      <c r="AE5">
        <f>EXP(-AD5*AC5)</f>
        <v>0.99999108631751421</v>
      </c>
    </row>
    <row r="6" spans="1:31" x14ac:dyDescent="0.35">
      <c r="B6" s="4" t="s">
        <v>12</v>
      </c>
      <c r="C6" s="8">
        <f>C8</f>
        <v>10000000</v>
      </c>
      <c r="J6" s="11">
        <v>45293</v>
      </c>
      <c r="K6" s="11">
        <v>45309</v>
      </c>
      <c r="L6" s="12">
        <v>5.4184961999999996E-2</v>
      </c>
      <c r="N6" s="11">
        <v>45293</v>
      </c>
      <c r="O6" s="11">
        <v>45300</v>
      </c>
      <c r="P6" s="12">
        <v>1.6429667944946779E-2</v>
      </c>
      <c r="R6" t="str">
        <f t="shared" si="0"/>
        <v>rcvCCYCurveDates.emplace_back(45309);</v>
      </c>
      <c r="S6" t="str">
        <f t="shared" si="1"/>
        <v>rcvCCYYields.push_back(0.00054184962);</v>
      </c>
      <c r="T6" t="str">
        <f t="shared" si="2"/>
        <v>payCCYCurveDates.emplace_back(45300);</v>
      </c>
      <c r="U6" t="str">
        <f t="shared" si="3"/>
        <v>payCCYYields.push_back(0.000164296679449468);</v>
      </c>
      <c r="AB6" t="s">
        <v>6</v>
      </c>
    </row>
    <row r="7" spans="1:31" x14ac:dyDescent="0.35">
      <c r="B7" s="4" t="s">
        <v>13</v>
      </c>
      <c r="C7" s="5">
        <v>45293</v>
      </c>
      <c r="E7">
        <f>VALUE(TEXT(C7,"yyyymmdd"))</f>
        <v>20240102</v>
      </c>
      <c r="J7" s="11">
        <v>45293</v>
      </c>
      <c r="K7" s="11">
        <v>45328</v>
      </c>
      <c r="L7" s="12">
        <v>5.4153040999999999E-2</v>
      </c>
      <c r="N7" s="11">
        <v>45293</v>
      </c>
      <c r="O7" s="11">
        <v>45324</v>
      </c>
      <c r="P7" s="12">
        <v>2.7775361820030639E-2</v>
      </c>
      <c r="R7" t="str">
        <f t="shared" si="0"/>
        <v>rcvCCYCurveDates.emplace_back(45328);</v>
      </c>
      <c r="S7" t="str">
        <f t="shared" si="1"/>
        <v>rcvCCYYields.push_back(0.00054153041);</v>
      </c>
      <c r="T7" t="str">
        <f t="shared" si="2"/>
        <v>payCCYCurveDates.emplace_back(45324);</v>
      </c>
      <c r="U7" t="str">
        <f t="shared" si="3"/>
        <v>payCCYYields.push_back(0.000277753618200306);</v>
      </c>
      <c r="AA7" t="s">
        <v>5</v>
      </c>
      <c r="AB7">
        <f>AE5/AE4</f>
        <v>0.99999851476105017</v>
      </c>
      <c r="AD7" s="2"/>
    </row>
    <row r="8" spans="1:31" x14ac:dyDescent="0.35">
      <c r="B8" s="4" t="s">
        <v>14</v>
      </c>
      <c r="C8" s="9">
        <v>10000000</v>
      </c>
      <c r="J8" s="11">
        <v>45293</v>
      </c>
      <c r="K8" s="11">
        <v>45357</v>
      </c>
      <c r="L8" s="12">
        <v>5.4001650000000005E-2</v>
      </c>
      <c r="N8" s="11">
        <v>45293</v>
      </c>
      <c r="O8" s="11">
        <v>45355</v>
      </c>
      <c r="P8" s="12">
        <v>3.0292987291278092E-2</v>
      </c>
      <c r="R8" t="str">
        <f t="shared" si="0"/>
        <v>rcvCCYCurveDates.emplace_back(45357);</v>
      </c>
      <c r="S8" t="str">
        <f t="shared" si="1"/>
        <v>rcvCCYYields.push_back(0.0005400165);</v>
      </c>
      <c r="T8" t="str">
        <f t="shared" si="2"/>
        <v>payCCYCurveDates.emplace_back(45355);</v>
      </c>
      <c r="U8" t="str">
        <f t="shared" si="3"/>
        <v>payCCYYields.push_back(0.000302929872912781);</v>
      </c>
      <c r="AA8" t="s">
        <v>1</v>
      </c>
      <c r="AB8">
        <f>-LN(AB7)/(AC5-AC4)</f>
        <v>5.4211261927058466E-4</v>
      </c>
      <c r="AD8" s="2"/>
    </row>
    <row r="9" spans="1:31" x14ac:dyDescent="0.35">
      <c r="B9" s="4" t="s">
        <v>15</v>
      </c>
      <c r="C9" s="5">
        <v>45384</v>
      </c>
      <c r="E9">
        <f>VALUE(TEXT(C9,"yyyymmdd"))</f>
        <v>20240402</v>
      </c>
      <c r="J9" s="11">
        <v>45293</v>
      </c>
      <c r="K9" s="11">
        <v>45386</v>
      </c>
      <c r="L9" s="12">
        <v>5.3706658000000004E-2</v>
      </c>
      <c r="N9" s="11">
        <v>45293</v>
      </c>
      <c r="O9" s="11">
        <v>45384</v>
      </c>
      <c r="P9" s="12">
        <v>3.0798310409703392E-2</v>
      </c>
      <c r="R9" t="str">
        <f t="shared" si="0"/>
        <v>rcvCCYCurveDates.emplace_back(45386);</v>
      </c>
      <c r="S9" t="str">
        <f t="shared" si="1"/>
        <v>rcvCCYYields.push_back(0.00053706658);</v>
      </c>
      <c r="T9" t="str">
        <f t="shared" si="2"/>
        <v>payCCYCurveDates.emplace_back(45384);</v>
      </c>
      <c r="U9" t="str">
        <f t="shared" si="3"/>
        <v>payCCYYields.push_back(0.000307983104097034);</v>
      </c>
    </row>
    <row r="10" spans="1:31" x14ac:dyDescent="0.35">
      <c r="B10" s="4" t="s">
        <v>16</v>
      </c>
      <c r="C10" s="8">
        <f>C8*D10</f>
        <v>12812500000</v>
      </c>
      <c r="D10">
        <v>1281.25</v>
      </c>
      <c r="J10" s="11">
        <v>45293</v>
      </c>
      <c r="K10" s="11">
        <v>45418</v>
      </c>
      <c r="L10" s="12">
        <v>5.3221619999999997E-2</v>
      </c>
      <c r="N10" s="11">
        <v>45293</v>
      </c>
      <c r="O10" s="11">
        <v>45475</v>
      </c>
      <c r="P10" s="12">
        <v>3.0280022673714314E-2</v>
      </c>
      <c r="R10" t="str">
        <f t="shared" si="0"/>
        <v>rcvCCYCurveDates.emplace_back(45418);</v>
      </c>
      <c r="S10" t="str">
        <f t="shared" si="1"/>
        <v>rcvCCYYields.push_back(0.0005322162);</v>
      </c>
      <c r="T10" t="str">
        <f t="shared" si="2"/>
        <v>payCCYCurveDates.emplace_back(45475);</v>
      </c>
      <c r="U10" t="str">
        <f t="shared" si="3"/>
        <v>payCCYYields.push_back(0.000302800226737143);</v>
      </c>
      <c r="AA10" t="s">
        <v>28</v>
      </c>
    </row>
    <row r="11" spans="1:31" x14ac:dyDescent="0.35">
      <c r="B11" s="4" t="s">
        <v>17</v>
      </c>
      <c r="C11" s="5">
        <f>C9</f>
        <v>45384</v>
      </c>
      <c r="E11">
        <f>VALUE(TEXT(C11,"yyyymmdd"))</f>
        <v>20240402</v>
      </c>
      <c r="J11" s="11">
        <v>45293</v>
      </c>
      <c r="K11" s="11">
        <v>45448</v>
      </c>
      <c r="L11" s="12">
        <v>5.2414642999999997E-2</v>
      </c>
      <c r="N11" s="11">
        <v>45293</v>
      </c>
      <c r="O11" s="11">
        <v>45567</v>
      </c>
      <c r="P11" s="12">
        <v>2.9346022611893417E-2</v>
      </c>
      <c r="R11" t="str">
        <f t="shared" si="0"/>
        <v>rcvCCYCurveDates.emplace_back(45448);</v>
      </c>
      <c r="S11" t="str">
        <f t="shared" si="1"/>
        <v>rcvCCYYields.push_back(0.00052414643);</v>
      </c>
      <c r="T11" t="str">
        <f t="shared" si="2"/>
        <v>payCCYCurveDates.emplace_back(45567);</v>
      </c>
      <c r="U11" t="str">
        <f t="shared" si="3"/>
        <v>payCCYYields.push_back(0.000293460226118934);</v>
      </c>
      <c r="AB11" t="s">
        <v>0</v>
      </c>
      <c r="AC11" t="s">
        <v>4</v>
      </c>
      <c r="AD11" t="s">
        <v>1</v>
      </c>
      <c r="AE11" t="s">
        <v>5</v>
      </c>
    </row>
    <row r="12" spans="1:31" x14ac:dyDescent="0.35">
      <c r="J12" s="11">
        <v>45293</v>
      </c>
      <c r="K12" s="11">
        <v>45478</v>
      </c>
      <c r="L12" s="12">
        <v>5.1674616999999999E-2</v>
      </c>
      <c r="N12" s="11">
        <v>45293</v>
      </c>
      <c r="O12" s="11">
        <v>45659</v>
      </c>
      <c r="P12" s="12">
        <v>2.7831327150649777E-2</v>
      </c>
      <c r="R12" t="str">
        <f t="shared" si="0"/>
        <v>rcvCCYCurveDates.emplace_back(45478);</v>
      </c>
      <c r="S12" t="str">
        <f t="shared" si="1"/>
        <v>rcvCCYYields.push_back(0.00051674617);</v>
      </c>
      <c r="T12" t="str">
        <f t="shared" si="2"/>
        <v>payCCYCurveDates.emplace_back(45659);</v>
      </c>
      <c r="U12" t="str">
        <f t="shared" si="3"/>
        <v>payCCYYields.push_back(0.000278313271506498);</v>
      </c>
      <c r="AA12" t="s">
        <v>2</v>
      </c>
      <c r="AB12" s="1">
        <v>45293</v>
      </c>
      <c r="AC12">
        <f>(AB12-$C$1)/365</f>
        <v>1.3698630136986301E-2</v>
      </c>
      <c r="AD12" cm="1">
        <f t="array" ref="AD12">interp_rate(AB12,$O$3:$O$24,$P$3:$P$24)/100</f>
        <v>-2.4271082976221999E-5</v>
      </c>
      <c r="AE12">
        <f>EXP(-AD12*AC12)</f>
        <v>1.0000003324806439</v>
      </c>
    </row>
    <row r="13" spans="1:31" x14ac:dyDescent="0.35">
      <c r="B13" s="4" t="s">
        <v>40</v>
      </c>
      <c r="C13" s="8">
        <v>0</v>
      </c>
      <c r="D13" s="2">
        <f>C13-C59</f>
        <v>0</v>
      </c>
      <c r="J13" s="11">
        <v>45293</v>
      </c>
      <c r="K13" s="11">
        <v>45510</v>
      </c>
      <c r="L13" s="12">
        <v>5.0941666999999996E-2</v>
      </c>
      <c r="N13" s="11">
        <v>45293</v>
      </c>
      <c r="O13" s="11">
        <v>45845</v>
      </c>
      <c r="P13" s="12">
        <v>2.59502886916105E-2</v>
      </c>
      <c r="R13" t="str">
        <f t="shared" si="0"/>
        <v>rcvCCYCurveDates.emplace_back(45510);</v>
      </c>
      <c r="S13" t="str">
        <f t="shared" si="1"/>
        <v>rcvCCYYields.push_back(0.00050941667);</v>
      </c>
      <c r="T13" t="str">
        <f t="shared" si="2"/>
        <v>payCCYCurveDates.emplace_back(45845);</v>
      </c>
      <c r="U13" t="str">
        <f t="shared" si="3"/>
        <v>payCCYYields.push_back(0.000259502886916105);</v>
      </c>
      <c r="AA13" t="s">
        <v>3</v>
      </c>
      <c r="AB13" s="1">
        <v>45294</v>
      </c>
      <c r="AC13">
        <f>(AB13-$C$1)/365</f>
        <v>1.643835616438356E-2</v>
      </c>
      <c r="AD13" cm="1">
        <f t="array" ref="AD13">interp_rate(AB13,$O$3:$O$24,$P$3:$P$24)/100</f>
        <v>2.6671687988765433E-6</v>
      </c>
      <c r="AE13">
        <f>EXP(-AD13*AC13)</f>
        <v>0.99999995615613024</v>
      </c>
    </row>
    <row r="14" spans="1:31" x14ac:dyDescent="0.35">
      <c r="J14" s="11">
        <v>45293</v>
      </c>
      <c r="K14" s="11">
        <v>45540</v>
      </c>
      <c r="L14" s="12">
        <v>5.0170589999999994E-2</v>
      </c>
      <c r="N14" s="11">
        <v>45293</v>
      </c>
      <c r="O14" s="11">
        <v>46028</v>
      </c>
      <c r="P14" s="12">
        <v>2.4141303421780315E-2</v>
      </c>
      <c r="R14" t="str">
        <f t="shared" si="0"/>
        <v>rcvCCYCurveDates.emplace_back(45540);</v>
      </c>
      <c r="S14" t="str">
        <f t="shared" si="1"/>
        <v>rcvCCYYields.push_back(0.0005017059);</v>
      </c>
      <c r="T14" t="str">
        <f t="shared" si="2"/>
        <v>payCCYCurveDates.emplace_back(46028);</v>
      </c>
      <c r="U14" t="str">
        <f t="shared" si="3"/>
        <v>payCCYYields.push_back(0.000241413034217803);</v>
      </c>
      <c r="AB14" t="s">
        <v>6</v>
      </c>
    </row>
    <row r="15" spans="1:31" x14ac:dyDescent="0.35">
      <c r="J15" s="11">
        <v>45293</v>
      </c>
      <c r="K15" s="11">
        <v>45569</v>
      </c>
      <c r="L15" s="12">
        <v>4.9499760000000004E-2</v>
      </c>
      <c r="N15" s="11">
        <v>45293</v>
      </c>
      <c r="O15" s="11">
        <v>46210</v>
      </c>
      <c r="P15" s="12">
        <v>2.3713004910229783E-2</v>
      </c>
      <c r="R15" t="str">
        <f t="shared" si="0"/>
        <v>rcvCCYCurveDates.emplace_back(45569);</v>
      </c>
      <c r="S15" t="str">
        <f t="shared" si="1"/>
        <v>rcvCCYYields.push_back(0.0004949976);</v>
      </c>
      <c r="T15" t="str">
        <f t="shared" si="2"/>
        <v>payCCYCurveDates.emplace_back(46210);</v>
      </c>
      <c r="U15" t="str">
        <f t="shared" si="3"/>
        <v>payCCYYields.push_back(0.000237130049102298);</v>
      </c>
      <c r="AA15" t="s">
        <v>5</v>
      </c>
      <c r="AB15">
        <f>AE13/AE12</f>
        <v>0.99999962367561146</v>
      </c>
      <c r="AD15" s="2"/>
    </row>
    <row r="16" spans="1:31" x14ac:dyDescent="0.35">
      <c r="J16" s="11">
        <v>45293</v>
      </c>
      <c r="K16" s="11">
        <v>45602</v>
      </c>
      <c r="L16" s="12">
        <v>4.8732314999999998E-2</v>
      </c>
      <c r="N16" s="11">
        <v>45293</v>
      </c>
      <c r="O16" s="11">
        <v>46393</v>
      </c>
      <c r="P16" s="12">
        <v>2.3247783913682582E-2</v>
      </c>
      <c r="R16" t="str">
        <f t="shared" si="0"/>
        <v>rcvCCYCurveDates.emplace_back(45602);</v>
      </c>
      <c r="S16" t="str">
        <f t="shared" si="1"/>
        <v>rcvCCYYields.push_back(0.00048732315);</v>
      </c>
      <c r="T16" t="str">
        <f t="shared" si="2"/>
        <v>payCCYCurveDates.emplace_back(46393);</v>
      </c>
      <c r="U16" t="str">
        <f t="shared" si="3"/>
        <v>payCCYYields.push_back(0.000232477839136826);</v>
      </c>
      <c r="AA16" t="s">
        <v>1</v>
      </c>
      <c r="AB16">
        <f>-LN(AB15)/(AC13-AC12)</f>
        <v>1.3735842766283177E-4</v>
      </c>
      <c r="AD16" s="2"/>
    </row>
    <row r="17" spans="2:30" x14ac:dyDescent="0.35">
      <c r="J17" s="11">
        <v>45293</v>
      </c>
      <c r="K17" s="11">
        <v>45630</v>
      </c>
      <c r="L17" s="12">
        <v>4.8077527000000002E-2</v>
      </c>
      <c r="N17" s="11">
        <v>45293</v>
      </c>
      <c r="O17" s="11">
        <v>46575</v>
      </c>
      <c r="P17" s="12">
        <v>2.3042800621973579E-2</v>
      </c>
      <c r="R17" t="str">
        <f t="shared" si="0"/>
        <v>rcvCCYCurveDates.emplace_back(45630);</v>
      </c>
      <c r="S17" t="str">
        <f t="shared" si="1"/>
        <v>rcvCCYYields.push_back(0.00048077527);</v>
      </c>
      <c r="T17" t="str">
        <f t="shared" si="2"/>
        <v>payCCYCurveDates.emplace_back(46575);</v>
      </c>
      <c r="U17" t="str">
        <f t="shared" si="3"/>
        <v>payCCYYields.push_back(0.000230428006219736);</v>
      </c>
      <c r="AB17" s="1"/>
    </row>
    <row r="18" spans="2:30" x14ac:dyDescent="0.35">
      <c r="J18" s="11">
        <v>45293</v>
      </c>
      <c r="K18" s="11">
        <v>45663</v>
      </c>
      <c r="L18" s="12">
        <v>4.7319516999999998E-2</v>
      </c>
      <c r="N18" s="11">
        <v>45293</v>
      </c>
      <c r="O18" s="11">
        <v>46758</v>
      </c>
      <c r="P18" s="12">
        <v>2.2835465784953692E-2</v>
      </c>
      <c r="R18" t="str">
        <f t="shared" si="0"/>
        <v>rcvCCYCurveDates.emplace_back(45663);</v>
      </c>
      <c r="S18" t="str">
        <f t="shared" si="1"/>
        <v>rcvCCYYields.push_back(0.00047319517);</v>
      </c>
      <c r="T18" t="str">
        <f t="shared" si="2"/>
        <v>payCCYCurveDates.emplace_back(46758);</v>
      </c>
      <c r="U18" t="str">
        <f t="shared" si="3"/>
        <v>payCCYYields.push_back(0.000228354657849537);</v>
      </c>
      <c r="AB18" s="1"/>
    </row>
    <row r="19" spans="2:30" x14ac:dyDescent="0.35">
      <c r="J19" s="11">
        <v>45293</v>
      </c>
      <c r="K19" s="11">
        <v>45845</v>
      </c>
      <c r="L19" s="12">
        <v>4.3503721000000002E-2</v>
      </c>
      <c r="N19" s="11">
        <v>45293</v>
      </c>
      <c r="O19" s="11">
        <v>46940</v>
      </c>
      <c r="P19" s="12">
        <v>2.2722982045543811E-2</v>
      </c>
      <c r="R19" t="str">
        <f t="shared" si="0"/>
        <v>rcvCCYCurveDates.emplace_back(45845);</v>
      </c>
      <c r="S19" t="str">
        <f t="shared" si="1"/>
        <v>rcvCCYYields.push_back(0.00043503721);</v>
      </c>
      <c r="T19" t="str">
        <f t="shared" si="2"/>
        <v>payCCYCurveDates.emplace_back(46940);</v>
      </c>
      <c r="U19" t="str">
        <f t="shared" si="3"/>
        <v>payCCYYields.push_back(0.000227229820455438);</v>
      </c>
    </row>
    <row r="20" spans="2:30" x14ac:dyDescent="0.35">
      <c r="J20" s="11">
        <v>45293</v>
      </c>
      <c r="K20" s="11">
        <v>46028</v>
      </c>
      <c r="L20" s="12">
        <v>4.0560109000000004E-2</v>
      </c>
      <c r="N20" s="11">
        <v>45293</v>
      </c>
      <c r="O20" s="11">
        <v>47122</v>
      </c>
      <c r="P20" s="12">
        <v>2.2607366519886197E-2</v>
      </c>
      <c r="R20" t="str">
        <f t="shared" si="0"/>
        <v>rcvCCYCurveDates.emplace_back(46028);</v>
      </c>
      <c r="S20" t="str">
        <f t="shared" si="1"/>
        <v>rcvCCYYields.push_back(0.00040560109);</v>
      </c>
      <c r="T20" t="str">
        <f t="shared" si="2"/>
        <v>payCCYCurveDates.emplace_back(47122);</v>
      </c>
      <c r="U20" t="str">
        <f t="shared" si="3"/>
        <v>payCCYYields.push_back(0.000226073665198862);</v>
      </c>
      <c r="AD20" s="2"/>
    </row>
    <row r="21" spans="2:30" x14ac:dyDescent="0.35">
      <c r="J21" s="11">
        <v>45293</v>
      </c>
      <c r="K21" s="11">
        <v>46393</v>
      </c>
      <c r="L21" s="12">
        <v>3.7287486000000002E-2</v>
      </c>
      <c r="N21" s="11">
        <v>45293</v>
      </c>
      <c r="O21" s="11">
        <v>47304</v>
      </c>
      <c r="P21" s="12">
        <v>2.2408526534297077E-2</v>
      </c>
      <c r="R21" t="str">
        <f t="shared" si="0"/>
        <v>rcvCCYCurveDates.emplace_back(46393);</v>
      </c>
      <c r="S21" t="str">
        <f t="shared" si="1"/>
        <v>rcvCCYYields.push_back(0.00037287486);</v>
      </c>
      <c r="T21" t="str">
        <f t="shared" si="2"/>
        <v>payCCYCurveDates.emplace_back(47304);</v>
      </c>
      <c r="U21" t="str">
        <f t="shared" si="3"/>
        <v>payCCYYields.push_back(0.000224085265342971);</v>
      </c>
      <c r="AD21" s="2"/>
    </row>
    <row r="22" spans="2:30" x14ac:dyDescent="0.35">
      <c r="J22" s="11">
        <v>45293</v>
      </c>
      <c r="K22" s="11">
        <v>46758</v>
      </c>
      <c r="L22" s="12">
        <v>3.5634644E-2</v>
      </c>
      <c r="N22" s="11">
        <v>45293</v>
      </c>
      <c r="O22" s="11">
        <v>47487</v>
      </c>
      <c r="P22" s="12">
        <v>2.2209301164431473E-2</v>
      </c>
      <c r="R22" t="str">
        <f t="shared" si="0"/>
        <v>rcvCCYCurveDates.emplace_back(46758);</v>
      </c>
      <c r="S22" t="str">
        <f t="shared" si="1"/>
        <v>rcvCCYYields.push_back(0.00035634644);</v>
      </c>
      <c r="T22" t="str">
        <f t="shared" si="2"/>
        <v>payCCYCurveDates.emplace_back(47487);</v>
      </c>
      <c r="U22" t="str">
        <f t="shared" si="3"/>
        <v>payCCYYields.push_back(0.000222093011644315);</v>
      </c>
    </row>
    <row r="23" spans="2:30" x14ac:dyDescent="0.35">
      <c r="B23" s="27" t="s">
        <v>27</v>
      </c>
      <c r="C23" s="27"/>
      <c r="J23" s="11">
        <v>45293</v>
      </c>
      <c r="K23" s="11">
        <v>47122</v>
      </c>
      <c r="L23" s="12">
        <v>3.47523E-2</v>
      </c>
      <c r="N23" s="11">
        <v>45293</v>
      </c>
      <c r="O23" s="11">
        <v>47669</v>
      </c>
      <c r="P23" s="12">
        <v>2.2141467802845247E-2</v>
      </c>
      <c r="R23" t="str">
        <f t="shared" si="0"/>
        <v>rcvCCYCurveDates.emplace_back(47122);</v>
      </c>
      <c r="S23" t="str">
        <f t="shared" si="1"/>
        <v>rcvCCYYields.push_back(0.000347523);</v>
      </c>
      <c r="T23" t="str">
        <f t="shared" si="2"/>
        <v>payCCYCurveDates.emplace_back(47669);</v>
      </c>
      <c r="U23" t="str">
        <f t="shared" si="3"/>
        <v>payCCYYields.push_back(0.000221414678028452);</v>
      </c>
    </row>
    <row r="24" spans="2:30" x14ac:dyDescent="0.35">
      <c r="B24" t="s">
        <v>40</v>
      </c>
      <c r="C24" s="16">
        <f>C41+C59</f>
        <v>0</v>
      </c>
      <c r="J24" s="11">
        <v>45293</v>
      </c>
      <c r="K24" s="11">
        <v>47487</v>
      </c>
      <c r="L24" s="12">
        <v>3.4331832999999999E-2</v>
      </c>
      <c r="N24" s="11">
        <v>45293</v>
      </c>
      <c r="O24" s="11">
        <v>47854</v>
      </c>
      <c r="P24" s="12">
        <v>2.2069629983697506E-2</v>
      </c>
      <c r="R24" t="str">
        <f t="shared" si="0"/>
        <v>rcvCCYCurveDates.emplace_back(47487);</v>
      </c>
      <c r="S24" t="str">
        <f t="shared" si="1"/>
        <v>rcvCCYYields.push_back(0.00034331833);</v>
      </c>
      <c r="T24" t="str">
        <f t="shared" si="2"/>
        <v>payCCYCurveDates.emplace_back(47854);</v>
      </c>
      <c r="U24" t="str">
        <f t="shared" si="3"/>
        <v>payCCYYields.push_back(0.000220696299836975);</v>
      </c>
    </row>
    <row r="25" spans="2:30" x14ac:dyDescent="0.35">
      <c r="J25" s="11">
        <v>45293</v>
      </c>
      <c r="K25" s="11">
        <v>47854</v>
      </c>
      <c r="L25" s="12">
        <v>3.4079231000000001E-2</v>
      </c>
      <c r="N25" s="11">
        <v>45293</v>
      </c>
      <c r="O25" s="11">
        <v>48036</v>
      </c>
      <c r="P25" s="12">
        <v>2.19152743512371E-2</v>
      </c>
      <c r="R25" t="str">
        <f t="shared" si="0"/>
        <v>rcvCCYCurveDates.emplace_back(47854);</v>
      </c>
      <c r="S25" t="str">
        <f t="shared" si="1"/>
        <v>rcvCCYYields.push_back(0.00034079231);</v>
      </c>
      <c r="T25" t="str">
        <f t="shared" si="2"/>
        <v>payCCYCurveDates.emplace_back(48036);</v>
      </c>
      <c r="U25" t="str">
        <f t="shared" si="3"/>
        <v>payCCYYields.push_back(0.000219152743512371);</v>
      </c>
    </row>
    <row r="26" spans="2:30" x14ac:dyDescent="0.35">
      <c r="B26" s="27" t="s">
        <v>37</v>
      </c>
      <c r="C26" s="27"/>
      <c r="J26" s="11">
        <v>45293</v>
      </c>
      <c r="K26" s="11">
        <v>48219</v>
      </c>
      <c r="L26" s="12">
        <v>3.3973531000000001E-2</v>
      </c>
      <c r="N26" s="11">
        <v>45293</v>
      </c>
      <c r="O26" s="11">
        <v>48219</v>
      </c>
      <c r="P26" s="12">
        <v>2.1762279543257199E-2</v>
      </c>
      <c r="R26" t="str">
        <f t="shared" si="0"/>
        <v>rcvCCYCurveDates.emplace_back(48219);</v>
      </c>
      <c r="S26" t="str">
        <f t="shared" si="1"/>
        <v>rcvCCYYields.push_back(0.00033973531);</v>
      </c>
      <c r="T26" t="str">
        <f t="shared" si="2"/>
        <v>payCCYCurveDates.emplace_back(48219);</v>
      </c>
      <c r="U26" t="str">
        <f t="shared" si="3"/>
        <v>payCCYYields.push_back(0.000217622795432572);</v>
      </c>
    </row>
    <row r="27" spans="2:30" x14ac:dyDescent="0.35">
      <c r="B27" t="s">
        <v>14</v>
      </c>
      <c r="C27" s="3">
        <f>C8</f>
        <v>10000000</v>
      </c>
      <c r="J27" s="11">
        <v>45293</v>
      </c>
      <c r="K27" s="11">
        <v>48585</v>
      </c>
      <c r="L27" s="12">
        <v>3.396134E-2</v>
      </c>
      <c r="N27" s="11">
        <v>45293</v>
      </c>
      <c r="O27" s="11">
        <v>48402</v>
      </c>
      <c r="P27" s="12">
        <v>2.1912197676130486E-2</v>
      </c>
      <c r="R27" t="str">
        <f t="shared" si="0"/>
        <v>rcvCCYCurveDates.emplace_back(48585);</v>
      </c>
      <c r="S27" t="str">
        <f t="shared" si="1"/>
        <v>rcvCCYYields.push_back(0.0003396134);</v>
      </c>
      <c r="T27" t="str">
        <f t="shared" si="2"/>
        <v>payCCYCurveDates.emplace_back(48402);</v>
      </c>
      <c r="U27" t="str">
        <f t="shared" si="3"/>
        <v>payCCYYields.push_back(0.000219121976761305);</v>
      </c>
    </row>
    <row r="28" spans="2:30" x14ac:dyDescent="0.35">
      <c r="B28" t="s">
        <v>15</v>
      </c>
      <c r="C28" s="1">
        <f>C9</f>
        <v>45384</v>
      </c>
      <c r="J28" s="11">
        <v>45293</v>
      </c>
      <c r="K28" s="11">
        <v>48949</v>
      </c>
      <c r="L28" s="12">
        <v>3.3990035000000002E-2</v>
      </c>
      <c r="N28" s="11">
        <v>45293</v>
      </c>
      <c r="O28" s="11">
        <v>48585</v>
      </c>
      <c r="P28" s="12">
        <v>2.2051973444771989E-2</v>
      </c>
      <c r="R28" t="str">
        <f t="shared" si="0"/>
        <v>rcvCCYCurveDates.emplace_back(48949);</v>
      </c>
      <c r="S28" t="str">
        <f t="shared" si="1"/>
        <v>rcvCCYYields.push_back(0.00033990035);</v>
      </c>
      <c r="T28" t="str">
        <f t="shared" si="2"/>
        <v>payCCYCurveDates.emplace_back(48585);</v>
      </c>
      <c r="U28" t="str">
        <f t="shared" si="3"/>
        <v>payCCYYields.push_back(0.00022051973444772);</v>
      </c>
    </row>
    <row r="29" spans="2:30" x14ac:dyDescent="0.35">
      <c r="B29" t="s">
        <v>16</v>
      </c>
      <c r="C29" s="3">
        <f>C10</f>
        <v>12812500000</v>
      </c>
      <c r="J29" s="11">
        <v>45293</v>
      </c>
      <c r="K29" s="11">
        <v>49313</v>
      </c>
      <c r="L29" s="12">
        <v>3.4062185000000002E-2</v>
      </c>
      <c r="N29" s="11">
        <v>45293</v>
      </c>
      <c r="O29" s="11">
        <v>48767</v>
      </c>
      <c r="P29" s="12">
        <v>2.1972300279127645E-2</v>
      </c>
      <c r="R29" t="str">
        <f t="shared" si="0"/>
        <v>rcvCCYCurveDates.emplace_back(49313);</v>
      </c>
      <c r="S29" t="str">
        <f t="shared" si="1"/>
        <v>rcvCCYYields.push_back(0.00034062185);</v>
      </c>
      <c r="T29" t="str">
        <f t="shared" si="2"/>
        <v>payCCYCurveDates.emplace_back(48767);</v>
      </c>
      <c r="U29" t="str">
        <f t="shared" si="3"/>
        <v>payCCYYields.push_back(0.000219723002791276);</v>
      </c>
    </row>
    <row r="30" spans="2:30" x14ac:dyDescent="0.35">
      <c r="B30" t="s">
        <v>17</v>
      </c>
      <c r="C30" s="1">
        <f>C11</f>
        <v>45384</v>
      </c>
      <c r="J30" s="11">
        <v>45293</v>
      </c>
      <c r="K30" s="11">
        <v>49678</v>
      </c>
      <c r="L30" s="12">
        <v>3.4149918000000001E-2</v>
      </c>
      <c r="N30" s="11">
        <v>45293</v>
      </c>
      <c r="O30" s="11">
        <v>48949</v>
      </c>
      <c r="P30" s="12">
        <v>2.1894606579366208E-2</v>
      </c>
      <c r="R30" t="str">
        <f t="shared" si="0"/>
        <v>rcvCCYCurveDates.emplace_back(49678);</v>
      </c>
      <c r="S30" t="str">
        <f t="shared" si="1"/>
        <v>rcvCCYYields.push_back(0.00034149918);</v>
      </c>
      <c r="T30" t="str">
        <f t="shared" si="2"/>
        <v>payCCYCurveDates.emplace_back(48949);</v>
      </c>
      <c r="U30" t="str">
        <f t="shared" si="3"/>
        <v>payCCYYields.push_back(0.000218946065793662);</v>
      </c>
    </row>
    <row r="31" spans="2:30" x14ac:dyDescent="0.35">
      <c r="J31" s="11">
        <v>45293</v>
      </c>
      <c r="K31" s="11">
        <v>50775</v>
      </c>
      <c r="L31" s="12">
        <v>3.4371154000000001E-2</v>
      </c>
      <c r="N31" s="11">
        <v>45293</v>
      </c>
      <c r="O31" s="11">
        <v>49678</v>
      </c>
      <c r="P31" s="12">
        <v>2.1689920430683424E-2</v>
      </c>
      <c r="R31" t="str">
        <f t="shared" si="0"/>
        <v>rcvCCYCurveDates.emplace_back(50775);</v>
      </c>
      <c r="S31" t="str">
        <f t="shared" si="1"/>
        <v>rcvCCYYields.push_back(0.00034371154);</v>
      </c>
      <c r="T31" t="str">
        <f t="shared" si="2"/>
        <v>payCCYCurveDates.emplace_back(49678);</v>
      </c>
      <c r="U31" t="str">
        <f t="shared" si="3"/>
        <v>payCCYYields.push_back(0.000216899204306834);</v>
      </c>
    </row>
    <row r="32" spans="2:30" x14ac:dyDescent="0.35">
      <c r="B32" t="s">
        <v>22</v>
      </c>
      <c r="C32" cm="1">
        <f t="array" ref="C32">EXP(-interp_rate(C28,$K$3:$K$33,$L$3:$L$33)*(C28-$C$1)/365)</f>
        <v>0.98596843548473612</v>
      </c>
      <c r="J32" s="11">
        <v>45293</v>
      </c>
      <c r="K32" s="11">
        <v>52602</v>
      </c>
      <c r="L32" s="12">
        <v>3.4096695000000003E-2</v>
      </c>
      <c r="N32" s="11">
        <v>45293</v>
      </c>
      <c r="O32" s="11">
        <v>50775</v>
      </c>
      <c r="P32" s="12">
        <v>2.1315061159470669E-2</v>
      </c>
      <c r="R32" t="str">
        <f t="shared" si="0"/>
        <v>rcvCCYCurveDates.emplace_back(52602);</v>
      </c>
      <c r="S32" t="str">
        <f t="shared" si="1"/>
        <v>rcvCCYYields.push_back(0.00034096695);</v>
      </c>
      <c r="T32" t="str">
        <f t="shared" si="2"/>
        <v>payCCYCurveDates.emplace_back(50775);</v>
      </c>
      <c r="U32" t="str">
        <f t="shared" si="3"/>
        <v>payCCYYields.push_back(0.000213150611594707);</v>
      </c>
    </row>
    <row r="33" spans="2:16" x14ac:dyDescent="0.35">
      <c r="B33" t="s">
        <v>21</v>
      </c>
      <c r="C33" cm="1">
        <f t="array" ref="C33">EXP(-interp_rate($C$2,$K$3:$K$33,$L$3:$L$33)*($C$2-$C$1)/365)</f>
        <v>0.99925742762741165</v>
      </c>
      <c r="J33" s="11">
        <v>45293</v>
      </c>
      <c r="K33" s="11">
        <v>54429</v>
      </c>
      <c r="L33" s="12">
        <v>3.2936454999999996E-2</v>
      </c>
      <c r="N33" s="11">
        <v>45293</v>
      </c>
      <c r="O33" s="11">
        <v>52601</v>
      </c>
      <c r="P33" s="12">
        <v>2.0878026583300135E-2</v>
      </c>
    </row>
    <row r="34" spans="2:16" x14ac:dyDescent="0.35">
      <c r="B34" t="s">
        <v>23</v>
      </c>
      <c r="C34">
        <f>C32/C33</f>
        <v>0.98670113248572167</v>
      </c>
      <c r="J34" s="11">
        <v>45293</v>
      </c>
      <c r="K34" s="11">
        <v>56255</v>
      </c>
      <c r="L34" s="12">
        <v>3.171537E-2</v>
      </c>
    </row>
    <row r="35" spans="2:16" x14ac:dyDescent="0.35">
      <c r="B35" t="s">
        <v>25</v>
      </c>
      <c r="C35" cm="1">
        <f t="array" ref="C35">EXP(-interp_rate(C30,$O$3:$O$32,$P$3:$P$32)*(C30-$C$1)/365)</f>
        <v>0.9919323421188877</v>
      </c>
    </row>
    <row r="36" spans="2:16" x14ac:dyDescent="0.35">
      <c r="B36" t="s">
        <v>24</v>
      </c>
      <c r="C36" cm="1">
        <f t="array" ref="C36">EXP(-interp_rate($C$2,$O$3:$O$32,$P$3:$P$32)*($C$2-$C$1)/365)</f>
        <v>1.0000332486115944</v>
      </c>
    </row>
    <row r="37" spans="2:16" x14ac:dyDescent="0.35">
      <c r="B37" t="s">
        <v>26</v>
      </c>
      <c r="C37">
        <f>C35/C36</f>
        <v>0.9918993628422319</v>
      </c>
    </row>
    <row r="39" spans="2:16" x14ac:dyDescent="0.35">
      <c r="B39" t="s">
        <v>38</v>
      </c>
      <c r="C39" s="3">
        <f>C27*C34</f>
        <v>9867011.3248572163</v>
      </c>
    </row>
    <row r="40" spans="2:16" x14ac:dyDescent="0.35">
      <c r="B40" t="s">
        <v>39</v>
      </c>
      <c r="C40" s="3">
        <f>C29*C37</f>
        <v>12708710586.416096</v>
      </c>
    </row>
    <row r="41" spans="2:16" x14ac:dyDescent="0.35">
      <c r="B41" s="14" t="s">
        <v>48</v>
      </c>
      <c r="C41" s="15">
        <f>IF(C3,H1,1)*C39-IF(C3,1,H1)*C40</f>
        <v>0</v>
      </c>
    </row>
    <row r="44" spans="2:16" x14ac:dyDescent="0.35">
      <c r="B44" s="28" t="s">
        <v>41</v>
      </c>
      <c r="C44" s="28"/>
    </row>
    <row r="45" spans="2:16" x14ac:dyDescent="0.35">
      <c r="B45" t="s">
        <v>10</v>
      </c>
      <c r="C45" s="3">
        <f>C4</f>
        <v>12880000000</v>
      </c>
    </row>
    <row r="46" spans="2:16" x14ac:dyDescent="0.35">
      <c r="B46" t="s">
        <v>11</v>
      </c>
      <c r="C46" s="1">
        <f>C5</f>
        <v>45293</v>
      </c>
    </row>
    <row r="47" spans="2:16" x14ac:dyDescent="0.35">
      <c r="B47" t="s">
        <v>12</v>
      </c>
      <c r="C47" s="3">
        <f>C6</f>
        <v>10000000</v>
      </c>
    </row>
    <row r="48" spans="2:16" x14ac:dyDescent="0.35">
      <c r="B48" t="s">
        <v>13</v>
      </c>
      <c r="C48" s="1">
        <f>C7</f>
        <v>45293</v>
      </c>
    </row>
    <row r="49" spans="2:9" x14ac:dyDescent="0.35">
      <c r="C49" s="3"/>
    </row>
    <row r="50" spans="2:9" x14ac:dyDescent="0.35">
      <c r="B50" t="s">
        <v>42</v>
      </c>
      <c r="C50" cm="1">
        <f t="array" ref="C50">EXP(-interp_rate(C46,$O$3:$O$32,$P$3:$P$32)*(C46-$C$1)/365)</f>
        <v>1.0000332486115944</v>
      </c>
      <c r="I50" s="16"/>
    </row>
    <row r="51" spans="2:9" x14ac:dyDescent="0.35">
      <c r="B51" t="s">
        <v>43</v>
      </c>
      <c r="C51" cm="1">
        <f t="array" ref="C51">EXP(-interp_rate($C$2,$O$3:$O$32,$P$3:$P$32)*($C$2-$C$1)/365)</f>
        <v>1.0000332486115944</v>
      </c>
    </row>
    <row r="52" spans="2:9" x14ac:dyDescent="0.35">
      <c r="B52" t="s">
        <v>44</v>
      </c>
      <c r="C52">
        <f>C50/C51</f>
        <v>1</v>
      </c>
    </row>
    <row r="53" spans="2:9" x14ac:dyDescent="0.35">
      <c r="B53" t="s">
        <v>45</v>
      </c>
      <c r="C53" cm="1">
        <f t="array" ref="C53">EXP(-interp_rate(C48,$K$3:$K$33,$L$3:$L$33)*(C48-$C$1)/365)</f>
        <v>0.99925742762741165</v>
      </c>
    </row>
    <row r="54" spans="2:9" x14ac:dyDescent="0.35">
      <c r="B54" t="s">
        <v>46</v>
      </c>
      <c r="C54" cm="1">
        <f t="array" ref="C54">EXP(-interp_rate($C$2,$K$3:$K$33,$L$3:$L$33)*($C$2-$C$1)/365)</f>
        <v>0.99925742762741165</v>
      </c>
    </row>
    <row r="55" spans="2:9" x14ac:dyDescent="0.35">
      <c r="B55" t="s">
        <v>47</v>
      </c>
      <c r="C55">
        <f>C53/C54</f>
        <v>1</v>
      </c>
    </row>
    <row r="57" spans="2:9" x14ac:dyDescent="0.35">
      <c r="B57" t="s">
        <v>38</v>
      </c>
      <c r="C57" s="3">
        <f>C45*C52</f>
        <v>12880000000</v>
      </c>
    </row>
    <row r="58" spans="2:9" x14ac:dyDescent="0.35">
      <c r="B58" t="s">
        <v>39</v>
      </c>
      <c r="C58" s="3">
        <f>C47*C55</f>
        <v>10000000</v>
      </c>
    </row>
    <row r="59" spans="2:9" x14ac:dyDescent="0.35">
      <c r="B59" s="14" t="s">
        <v>49</v>
      </c>
      <c r="C59" s="26">
        <f>IF(NOT(C3),$H$1,1)*C57-IF(NOT(C3),1,$H$1)*C58</f>
        <v>0</v>
      </c>
    </row>
  </sheetData>
  <mergeCells count="3">
    <mergeCell ref="B26:C26"/>
    <mergeCell ref="B23:C23"/>
    <mergeCell ref="B44:C44"/>
  </mergeCells>
  <conditionalFormatting sqref="B50:B52">
    <cfRule type="duplicateValues" dxfId="1" priority="1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38E9-D75F-4459-9944-CBF4C03EC6EB}">
  <sheetPr codeName="Sheet2"/>
  <dimension ref="A1:AH50"/>
  <sheetViews>
    <sheetView zoomScale="145" zoomScaleNormal="145" workbookViewId="0">
      <selection activeCell="J32" sqref="J32:K32"/>
    </sheetView>
  </sheetViews>
  <sheetFormatPr defaultRowHeight="14.5" x14ac:dyDescent="0.35"/>
  <cols>
    <col min="1" max="1" width="9.36328125" style="13" bestFit="1" customWidth="1"/>
    <col min="2" max="2" width="20.6328125" style="17" bestFit="1" customWidth="1"/>
    <col min="3" max="3" width="17.453125" style="17" bestFit="1" customWidth="1"/>
    <col min="4" max="4" width="9.36328125" style="17" customWidth="1"/>
    <col min="5" max="5" width="20.6328125" bestFit="1" customWidth="1"/>
    <col min="6" max="6" width="17.453125" bestFit="1" customWidth="1"/>
    <col min="9" max="9" width="9.36328125" style="13" bestFit="1" customWidth="1"/>
    <col min="10" max="10" width="17.08984375" bestFit="1" customWidth="1"/>
    <col min="11" max="11" width="18.54296875" bestFit="1" customWidth="1"/>
    <col min="13" max="14" width="10.08984375" bestFit="1" customWidth="1"/>
    <col min="17" max="18" width="10.08984375" bestFit="1" customWidth="1"/>
    <col min="31" max="31" width="10.08984375" bestFit="1" customWidth="1"/>
  </cols>
  <sheetData>
    <row r="1" spans="1:34" x14ac:dyDescent="0.35">
      <c r="A1" s="13" t="s">
        <v>35</v>
      </c>
      <c r="B1" s="4" t="s">
        <v>7</v>
      </c>
      <c r="C1" s="5">
        <v>45288</v>
      </c>
      <c r="E1" s="4" t="s">
        <v>7</v>
      </c>
      <c r="F1" s="18">
        <f>C1</f>
        <v>45288</v>
      </c>
      <c r="I1" s="13" t="s">
        <v>27</v>
      </c>
      <c r="J1" s="4" t="s">
        <v>31</v>
      </c>
      <c r="K1" s="6">
        <v>1288</v>
      </c>
      <c r="M1" t="s">
        <v>20</v>
      </c>
      <c r="Q1" t="s">
        <v>30</v>
      </c>
      <c r="U1" t="s">
        <v>32</v>
      </c>
    </row>
    <row r="2" spans="1:34" x14ac:dyDescent="0.35">
      <c r="A2" s="13" t="s">
        <v>36</v>
      </c>
      <c r="B2" s="4" t="s">
        <v>8</v>
      </c>
      <c r="C2" s="5">
        <v>45293</v>
      </c>
      <c r="E2" s="4" t="s">
        <v>8</v>
      </c>
      <c r="F2" s="18">
        <f>C2</f>
        <v>45293</v>
      </c>
      <c r="I2" s="13" t="s">
        <v>34</v>
      </c>
      <c r="M2" s="10" t="s">
        <v>18</v>
      </c>
      <c r="N2" s="10" t="s">
        <v>19</v>
      </c>
      <c r="O2" s="10" t="s">
        <v>1</v>
      </c>
      <c r="Q2" s="10" t="s">
        <v>18</v>
      </c>
      <c r="R2" s="10" t="s">
        <v>19</v>
      </c>
      <c r="S2" s="10" t="s">
        <v>1</v>
      </c>
      <c r="AD2" t="s">
        <v>29</v>
      </c>
    </row>
    <row r="3" spans="1:34" x14ac:dyDescent="0.35">
      <c r="B3" s="4" t="s">
        <v>50</v>
      </c>
      <c r="C3" s="6" t="b">
        <v>1</v>
      </c>
      <c r="E3" s="4" t="s">
        <v>50</v>
      </c>
      <c r="F3" s="18" t="b">
        <f>C3</f>
        <v>1</v>
      </c>
      <c r="M3" s="11">
        <v>45288</v>
      </c>
      <c r="N3" s="11">
        <v>45289</v>
      </c>
      <c r="O3" s="12">
        <v>5.4239024999999996</v>
      </c>
      <c r="Q3" s="11">
        <v>45288</v>
      </c>
      <c r="R3" s="11">
        <v>45289</v>
      </c>
      <c r="S3" s="12">
        <v>2.5921402114464116</v>
      </c>
      <c r="U3" t="str">
        <f>"rcvCCYCurveDates.emplace_back("&amp;N3&amp;");"</f>
        <v>rcvCCYCurveDates.emplace_back(45289);</v>
      </c>
      <c r="V3" t="str">
        <f>"rcvCCYYields.push_back("&amp;O3/100&amp;");"</f>
        <v>rcvCCYYields.push_back(0.054239025);</v>
      </c>
      <c r="W3" t="str">
        <f>"payCCYCurveDates.emplace_back("&amp;R3&amp;");"</f>
        <v>payCCYCurveDates.emplace_back(45289);</v>
      </c>
      <c r="X3" t="str">
        <f>"payCCYYields.push_back("&amp;S3/100&amp;");"</f>
        <v>payCCYYields.push_back(0.0259214021144641);</v>
      </c>
      <c r="AE3" t="s">
        <v>0</v>
      </c>
      <c r="AF3" t="s">
        <v>4</v>
      </c>
      <c r="AG3" t="s">
        <v>1</v>
      </c>
      <c r="AH3" t="s">
        <v>5</v>
      </c>
    </row>
    <row r="4" spans="1:34" x14ac:dyDescent="0.35">
      <c r="B4" s="4" t="s">
        <v>33</v>
      </c>
      <c r="C4" s="7">
        <v>10000000</v>
      </c>
      <c r="E4" s="4" t="s">
        <v>33</v>
      </c>
      <c r="F4" s="19">
        <f>C4</f>
        <v>10000000</v>
      </c>
      <c r="G4">
        <v>1288</v>
      </c>
      <c r="M4" s="11">
        <v>45293</v>
      </c>
      <c r="N4" s="11">
        <v>45302</v>
      </c>
      <c r="O4" s="12">
        <v>5.4202933</v>
      </c>
      <c r="Q4" s="11">
        <v>45289</v>
      </c>
      <c r="R4" s="11">
        <v>45293</v>
      </c>
      <c r="S4" s="12">
        <v>-0.24271082976221997</v>
      </c>
      <c r="U4" t="str">
        <f t="shared" ref="U4:U32" si="0">"rcvCCYCurveDates.emplace_back("&amp;N4&amp;");"</f>
        <v>rcvCCYCurveDates.emplace_back(45302);</v>
      </c>
      <c r="V4" t="str">
        <f t="shared" ref="V4:V32" si="1">"rcvCCYYields.push_back("&amp;O4/100&amp;");"</f>
        <v>rcvCCYYields.push_back(0.054202933);</v>
      </c>
      <c r="W4" t="str">
        <f t="shared" ref="W4:W32" si="2">"payCCYCurveDates.emplace_back("&amp;R4&amp;");"</f>
        <v>payCCYCurveDates.emplace_back(45293);</v>
      </c>
      <c r="X4" t="str">
        <f t="shared" ref="X4:X32" si="3">"payCCYYields.push_back("&amp;S4/100&amp;");"</f>
        <v>payCCYYields.push_back(-0.0024271082976222);</v>
      </c>
      <c r="AD4" t="s">
        <v>2</v>
      </c>
      <c r="AE4" s="1">
        <v>45293</v>
      </c>
      <c r="AF4">
        <f>(AE4-$F$12)/365</f>
        <v>1.3698630136986301E-2</v>
      </c>
      <c r="AG4" cm="1">
        <f t="array" ref="AG4">interp_rate(AE4,$N$3:$N$24,$O$3:$O$24)/100</f>
        <v>5.4227919769230769E-2</v>
      </c>
      <c r="AH4">
        <f>EXP(-AG4*AF4)</f>
        <v>0.99925742762741165</v>
      </c>
    </row>
    <row r="5" spans="1:34" x14ac:dyDescent="0.35">
      <c r="B5" s="4" t="s">
        <v>53</v>
      </c>
      <c r="C5" s="7">
        <v>1281.25</v>
      </c>
      <c r="E5" s="4" t="s">
        <v>51</v>
      </c>
      <c r="F5" s="20">
        <f>(C5-K1)*F6</f>
        <v>-6.75</v>
      </c>
      <c r="M5" s="11">
        <v>45293</v>
      </c>
      <c r="N5" s="11">
        <v>45309</v>
      </c>
      <c r="O5" s="12">
        <v>5.4184961999999999</v>
      </c>
      <c r="Q5" s="11">
        <v>45293</v>
      </c>
      <c r="R5" s="11">
        <v>45300</v>
      </c>
      <c r="S5" s="12">
        <v>1.642966794494678</v>
      </c>
      <c r="U5" t="str">
        <f t="shared" si="0"/>
        <v>rcvCCYCurveDates.emplace_back(45309);</v>
      </c>
      <c r="V5" t="str">
        <f t="shared" si="1"/>
        <v>rcvCCYYields.push_back(0.054184962);</v>
      </c>
      <c r="W5" t="str">
        <f t="shared" si="2"/>
        <v>payCCYCurveDates.emplace_back(45300);</v>
      </c>
      <c r="X5" t="str">
        <f t="shared" si="3"/>
        <v>payCCYYields.push_back(0.0164296679449468);</v>
      </c>
      <c r="AD5" t="s">
        <v>3</v>
      </c>
      <c r="AE5" s="1">
        <v>45294</v>
      </c>
      <c r="AF5">
        <f>(AE5-$F$12)/365</f>
        <v>1.643835616438356E-2</v>
      </c>
      <c r="AG5" cm="1">
        <f t="array" ref="AG5">interp_rate(AE5,$N$3:$N$24,$O$3:$O$24)/100</f>
        <v>5.4225143461538457E-2</v>
      </c>
      <c r="AH5">
        <f>EXP(-AG5*AF5)</f>
        <v>0.99910902493292009</v>
      </c>
    </row>
    <row r="6" spans="1:34" x14ac:dyDescent="0.35">
      <c r="B6" s="4" t="s">
        <v>54</v>
      </c>
      <c r="C6" s="5">
        <f>R8</f>
        <v>45384</v>
      </c>
      <c r="E6" s="4" t="s">
        <v>52</v>
      </c>
      <c r="F6" s="7">
        <v>1</v>
      </c>
      <c r="M6" s="11">
        <v>45293</v>
      </c>
      <c r="N6" s="11">
        <v>45328</v>
      </c>
      <c r="O6" s="12">
        <v>5.4153041000000002</v>
      </c>
      <c r="Q6" s="11">
        <v>45293</v>
      </c>
      <c r="R6" s="11">
        <v>45324</v>
      </c>
      <c r="S6" s="12">
        <v>2.7775361820030637</v>
      </c>
      <c r="U6" t="str">
        <f t="shared" si="0"/>
        <v>rcvCCYCurveDates.emplace_back(45328);</v>
      </c>
      <c r="V6" t="str">
        <f t="shared" si="1"/>
        <v>rcvCCYYields.push_back(0.054153041);</v>
      </c>
      <c r="W6" t="str">
        <f t="shared" si="2"/>
        <v>payCCYCurveDates.emplace_back(45324);</v>
      </c>
      <c r="X6" t="str">
        <f t="shared" si="3"/>
        <v>payCCYYields.push_back(0.0277753618200306);</v>
      </c>
      <c r="AE6" t="s">
        <v>6</v>
      </c>
    </row>
    <row r="7" spans="1:34" x14ac:dyDescent="0.35">
      <c r="E7" s="17"/>
      <c r="F7" s="17"/>
      <c r="M7" s="11">
        <v>45293</v>
      </c>
      <c r="N7" s="11">
        <v>45357</v>
      </c>
      <c r="O7" s="12">
        <v>5.4001650000000003</v>
      </c>
      <c r="Q7" s="11">
        <v>45293</v>
      </c>
      <c r="R7" s="11">
        <v>45355</v>
      </c>
      <c r="S7" s="12">
        <v>3.0292987291278091</v>
      </c>
      <c r="U7" t="str">
        <f t="shared" si="0"/>
        <v>rcvCCYCurveDates.emplace_back(45357);</v>
      </c>
      <c r="V7" t="str">
        <f t="shared" si="1"/>
        <v>rcvCCYYields.push_back(0.05400165);</v>
      </c>
      <c r="W7" t="str">
        <f t="shared" si="2"/>
        <v>payCCYCurveDates.emplace_back(45355);</v>
      </c>
      <c r="X7" t="str">
        <f t="shared" si="3"/>
        <v>payCCYYields.push_back(0.0302929872912781);</v>
      </c>
      <c r="AD7" t="s">
        <v>5</v>
      </c>
      <c r="AE7">
        <f>AH5/AH4</f>
        <v>0.99985148702387538</v>
      </c>
      <c r="AG7" s="2"/>
    </row>
    <row r="8" spans="1:34" x14ac:dyDescent="0.35">
      <c r="E8" s="17"/>
      <c r="F8" s="17"/>
      <c r="M8" s="11">
        <v>45293</v>
      </c>
      <c r="N8" s="11">
        <v>45386</v>
      </c>
      <c r="O8" s="12">
        <v>5.3706658000000003</v>
      </c>
      <c r="Q8" s="11">
        <v>45293</v>
      </c>
      <c r="R8" s="11">
        <v>45384</v>
      </c>
      <c r="S8" s="12">
        <v>3.0798310409703391</v>
      </c>
      <c r="U8" t="str">
        <f t="shared" si="0"/>
        <v>rcvCCYCurveDates.emplace_back(45386);</v>
      </c>
      <c r="V8" t="str">
        <f t="shared" si="1"/>
        <v>rcvCCYYields.push_back(0.053706658);</v>
      </c>
      <c r="W8" t="str">
        <f t="shared" si="2"/>
        <v>payCCYCurveDates.emplace_back(45384);</v>
      </c>
      <c r="X8" t="str">
        <f t="shared" si="3"/>
        <v>payCCYYields.push_back(0.0307983104097034);</v>
      </c>
      <c r="AD8" t="s">
        <v>1</v>
      </c>
      <c r="AE8">
        <f>-LN(AE7)/(AF5-AF4)</f>
        <v>5.4211261923056531E-2</v>
      </c>
      <c r="AG8" s="2"/>
    </row>
    <row r="9" spans="1:34" x14ac:dyDescent="0.35">
      <c r="C9" s="25" t="s">
        <v>57</v>
      </c>
      <c r="E9" s="17"/>
      <c r="F9" s="17"/>
      <c r="M9" s="11">
        <v>45293</v>
      </c>
      <c r="N9" s="11">
        <v>45418</v>
      </c>
      <c r="O9" s="12">
        <v>5.3221619999999996</v>
      </c>
      <c r="Q9" s="11">
        <v>45293</v>
      </c>
      <c r="R9" s="11">
        <v>45475</v>
      </c>
      <c r="S9" s="12">
        <v>3.0280022673714315</v>
      </c>
      <c r="U9" t="str">
        <f t="shared" si="0"/>
        <v>rcvCCYCurveDates.emplace_back(45418);</v>
      </c>
      <c r="V9" t="str">
        <f t="shared" si="1"/>
        <v>rcvCCYYields.push_back(0.05322162);</v>
      </c>
      <c r="W9" t="str">
        <f t="shared" si="2"/>
        <v>payCCYCurveDates.emplace_back(45475);</v>
      </c>
      <c r="X9" t="str">
        <f t="shared" si="3"/>
        <v>payCCYYields.push_back(0.0302800226737143);</v>
      </c>
    </row>
    <row r="10" spans="1:34" x14ac:dyDescent="0.35">
      <c r="C10" s="24" t="s">
        <v>55</v>
      </c>
      <c r="E10" s="17"/>
      <c r="F10" s="17"/>
      <c r="G10">
        <v>1281.25</v>
      </c>
      <c r="M10" s="11">
        <v>45293</v>
      </c>
      <c r="N10" s="11">
        <v>45448</v>
      </c>
      <c r="O10" s="12">
        <v>5.2414642999999996</v>
      </c>
      <c r="Q10" s="11">
        <v>45293</v>
      </c>
      <c r="R10" s="11">
        <v>45567</v>
      </c>
      <c r="S10" s="12">
        <v>2.9346022611893416</v>
      </c>
      <c r="U10" t="str">
        <f t="shared" si="0"/>
        <v>rcvCCYCurveDates.emplace_back(45448);</v>
      </c>
      <c r="V10" t="str">
        <f t="shared" si="1"/>
        <v>rcvCCYYields.push_back(0.052414643);</v>
      </c>
      <c r="W10" t="str">
        <f t="shared" si="2"/>
        <v>payCCYCurveDates.emplace_back(45567);</v>
      </c>
      <c r="X10" t="str">
        <f t="shared" si="3"/>
        <v>payCCYYields.push_back(0.0293460226118934);</v>
      </c>
      <c r="AD10" t="s">
        <v>28</v>
      </c>
    </row>
    <row r="11" spans="1:34" x14ac:dyDescent="0.35">
      <c r="C11" s="23" t="s">
        <v>56</v>
      </c>
      <c r="E11" s="17"/>
      <c r="F11" s="17"/>
      <c r="G11">
        <f>G10-G4</f>
        <v>-6.75</v>
      </c>
      <c r="M11" s="11">
        <v>45293</v>
      </c>
      <c r="N11" s="11">
        <v>45478</v>
      </c>
      <c r="O11" s="12">
        <v>5.1674616999999996</v>
      </c>
      <c r="Q11" s="11">
        <v>45293</v>
      </c>
      <c r="R11" s="11">
        <v>45659</v>
      </c>
      <c r="S11" s="12">
        <v>2.7831327150649776</v>
      </c>
      <c r="U11" t="str">
        <f t="shared" si="0"/>
        <v>rcvCCYCurveDates.emplace_back(45478);</v>
      </c>
      <c r="V11" t="str">
        <f t="shared" si="1"/>
        <v>rcvCCYYields.push_back(0.051674617);</v>
      </c>
      <c r="W11" t="str">
        <f t="shared" si="2"/>
        <v>payCCYCurveDates.emplace_back(45659);</v>
      </c>
      <c r="X11" t="str">
        <f t="shared" si="3"/>
        <v>payCCYYields.push_back(0.0278313271506498);</v>
      </c>
      <c r="AE11" t="s">
        <v>0</v>
      </c>
      <c r="AF11" t="s">
        <v>4</v>
      </c>
      <c r="AG11" t="s">
        <v>1</v>
      </c>
      <c r="AH11" t="s">
        <v>5</v>
      </c>
    </row>
    <row r="12" spans="1:34" x14ac:dyDescent="0.35">
      <c r="E12" s="4" t="s">
        <v>7</v>
      </c>
      <c r="F12" s="18">
        <f>F1</f>
        <v>45288</v>
      </c>
      <c r="M12" s="11">
        <v>45293</v>
      </c>
      <c r="N12" s="11">
        <v>45510</v>
      </c>
      <c r="O12" s="12">
        <v>5.0941666999999997</v>
      </c>
      <c r="Q12" s="11">
        <v>45293</v>
      </c>
      <c r="R12" s="11">
        <v>45845</v>
      </c>
      <c r="S12" s="12">
        <v>2.5950288691610499</v>
      </c>
      <c r="U12" t="str">
        <f t="shared" si="0"/>
        <v>rcvCCYCurveDates.emplace_back(45510);</v>
      </c>
      <c r="V12" t="str">
        <f t="shared" si="1"/>
        <v>rcvCCYYields.push_back(0.050941667);</v>
      </c>
      <c r="W12" t="str">
        <f t="shared" si="2"/>
        <v>payCCYCurveDates.emplace_back(45845);</v>
      </c>
      <c r="X12" t="str">
        <f t="shared" si="3"/>
        <v>payCCYYields.push_back(0.0259502886916105);</v>
      </c>
      <c r="AD12" t="s">
        <v>2</v>
      </c>
      <c r="AE12" s="1">
        <v>45293</v>
      </c>
      <c r="AF12">
        <f>(AE12-$F$12)/365</f>
        <v>1.3698630136986301E-2</v>
      </c>
      <c r="AG12" cm="1">
        <f t="array" ref="AG12">interp_rate(AE12,$R$3:$R$24,$S$3:$S$24)/100</f>
        <v>-2.4271082976221998E-3</v>
      </c>
      <c r="AH12">
        <f>EXP(-AG12*AF12)</f>
        <v>1.0000332486115944</v>
      </c>
    </row>
    <row r="13" spans="1:34" x14ac:dyDescent="0.35">
      <c r="E13" s="4" t="s">
        <v>8</v>
      </c>
      <c r="F13" s="18">
        <f>F2</f>
        <v>45293</v>
      </c>
      <c r="M13" s="11">
        <v>45293</v>
      </c>
      <c r="N13" s="11">
        <v>45540</v>
      </c>
      <c r="O13" s="12">
        <v>5.0170589999999997</v>
      </c>
      <c r="Q13" s="11">
        <v>45293</v>
      </c>
      <c r="R13" s="11">
        <v>46028</v>
      </c>
      <c r="S13" s="12">
        <v>2.4141303421780314</v>
      </c>
      <c r="U13" t="str">
        <f t="shared" si="0"/>
        <v>rcvCCYCurveDates.emplace_back(45540);</v>
      </c>
      <c r="V13" t="str">
        <f t="shared" si="1"/>
        <v>rcvCCYYields.push_back(0.05017059);</v>
      </c>
      <c r="W13" t="str">
        <f t="shared" si="2"/>
        <v>payCCYCurveDates.emplace_back(46028);</v>
      </c>
      <c r="X13" t="str">
        <f t="shared" si="3"/>
        <v>payCCYYields.push_back(0.0241413034217803);</v>
      </c>
      <c r="AD13" t="s">
        <v>3</v>
      </c>
      <c r="AE13" s="1">
        <v>45294</v>
      </c>
      <c r="AF13">
        <f>(AE13-$F$12)/365</f>
        <v>1.643835616438356E-2</v>
      </c>
      <c r="AG13" cm="1">
        <f t="array" ref="AG13">interp_rate(AE13,$R$3:$R$24,$S$3:$S$24)/100</f>
        <v>2.667168798876545E-4</v>
      </c>
      <c r="AH13">
        <f>EXP(-AG13*AF13)</f>
        <v>0.9999956156225448</v>
      </c>
    </row>
    <row r="14" spans="1:34" x14ac:dyDescent="0.35">
      <c r="E14" s="4" t="s">
        <v>9</v>
      </c>
      <c r="F14" s="21" t="b">
        <f>F3</f>
        <v>1</v>
      </c>
      <c r="J14" s="27" t="s">
        <v>27</v>
      </c>
      <c r="K14" s="27"/>
      <c r="M14" s="11">
        <v>45293</v>
      </c>
      <c r="N14" s="11">
        <v>45569</v>
      </c>
      <c r="O14" s="12">
        <v>4.9499760000000004</v>
      </c>
      <c r="Q14" s="11">
        <v>45293</v>
      </c>
      <c r="R14" s="11">
        <v>46210</v>
      </c>
      <c r="S14" s="12">
        <v>2.3713004910229785</v>
      </c>
      <c r="U14" t="str">
        <f t="shared" si="0"/>
        <v>rcvCCYCurveDates.emplace_back(45569);</v>
      </c>
      <c r="V14" t="str">
        <f t="shared" si="1"/>
        <v>rcvCCYYields.push_back(0.04949976);</v>
      </c>
      <c r="W14" t="str">
        <f t="shared" si="2"/>
        <v>payCCYCurveDates.emplace_back(46210);</v>
      </c>
      <c r="X14" t="str">
        <f t="shared" si="3"/>
        <v>payCCYYields.push_back(0.0237130049102298);</v>
      </c>
      <c r="AE14" t="s">
        <v>6</v>
      </c>
    </row>
    <row r="15" spans="1:34" x14ac:dyDescent="0.35">
      <c r="E15" s="4" t="s">
        <v>10</v>
      </c>
      <c r="F15" s="7">
        <v>0</v>
      </c>
      <c r="J15" t="s">
        <v>40</v>
      </c>
      <c r="K15" s="16">
        <f>K32+K50</f>
        <v>0</v>
      </c>
      <c r="M15" s="11">
        <v>45293</v>
      </c>
      <c r="N15" s="11">
        <v>45602</v>
      </c>
      <c r="O15" s="12">
        <v>4.8732315000000002</v>
      </c>
      <c r="Q15" s="11">
        <v>45293</v>
      </c>
      <c r="R15" s="11">
        <v>46393</v>
      </c>
      <c r="S15" s="12">
        <v>2.324778391368258</v>
      </c>
      <c r="U15" t="str">
        <f t="shared" si="0"/>
        <v>rcvCCYCurveDates.emplace_back(45602);</v>
      </c>
      <c r="V15" t="str">
        <f t="shared" si="1"/>
        <v>rcvCCYYields.push_back(0.048732315);</v>
      </c>
      <c r="W15" t="str">
        <f t="shared" si="2"/>
        <v>payCCYCurveDates.emplace_back(46393);</v>
      </c>
      <c r="X15" t="str">
        <f t="shared" si="3"/>
        <v>payCCYYields.push_back(0.0232477839136826);</v>
      </c>
      <c r="AD15" t="s">
        <v>5</v>
      </c>
      <c r="AE15">
        <f>AH13/AH12</f>
        <v>0.99996236826215346</v>
      </c>
      <c r="AG15" s="2"/>
    </row>
    <row r="16" spans="1:34" x14ac:dyDescent="0.35">
      <c r="E16" s="4" t="s">
        <v>11</v>
      </c>
      <c r="F16" s="7">
        <v>0</v>
      </c>
      <c r="M16" s="11">
        <v>45293</v>
      </c>
      <c r="N16" s="11">
        <v>45630</v>
      </c>
      <c r="O16" s="12">
        <v>4.8077527</v>
      </c>
      <c r="Q16" s="11">
        <v>45293</v>
      </c>
      <c r="R16" s="11">
        <v>46575</v>
      </c>
      <c r="S16" s="12">
        <v>2.3042800621973578</v>
      </c>
      <c r="U16" t="str">
        <f t="shared" si="0"/>
        <v>rcvCCYCurveDates.emplace_back(45630);</v>
      </c>
      <c r="V16" t="str">
        <f t="shared" si="1"/>
        <v>rcvCCYYields.push_back(0.048077527);</v>
      </c>
      <c r="W16" t="str">
        <f t="shared" si="2"/>
        <v>payCCYCurveDates.emplace_back(46575);</v>
      </c>
      <c r="X16" t="str">
        <f t="shared" si="3"/>
        <v>payCCYYields.push_back(0.0230428006219736);</v>
      </c>
      <c r="AD16" t="s">
        <v>1</v>
      </c>
      <c r="AE16">
        <f>-LN(AE15)/(AF13-AF12)</f>
        <v>1.3735842767426676E-2</v>
      </c>
      <c r="AG16" s="2"/>
    </row>
    <row r="17" spans="5:33" x14ac:dyDescent="0.35">
      <c r="E17" s="4" t="s">
        <v>12</v>
      </c>
      <c r="F17" s="7">
        <v>0</v>
      </c>
      <c r="J17" s="27" t="s">
        <v>37</v>
      </c>
      <c r="K17" s="27"/>
      <c r="M17" s="11">
        <v>45293</v>
      </c>
      <c r="N17" s="11">
        <v>45663</v>
      </c>
      <c r="O17" s="12">
        <v>4.7319516999999998</v>
      </c>
      <c r="Q17" s="11">
        <v>45293</v>
      </c>
      <c r="R17" s="11">
        <v>46758</v>
      </c>
      <c r="S17" s="12">
        <v>2.2835465784953692</v>
      </c>
      <c r="U17" t="str">
        <f t="shared" si="0"/>
        <v>rcvCCYCurveDates.emplace_back(45663);</v>
      </c>
      <c r="V17" t="str">
        <f t="shared" si="1"/>
        <v>rcvCCYYields.push_back(0.047319517);</v>
      </c>
      <c r="W17" t="str">
        <f t="shared" si="2"/>
        <v>payCCYCurveDates.emplace_back(46758);</v>
      </c>
      <c r="X17" t="str">
        <f t="shared" si="3"/>
        <v>payCCYYields.push_back(0.0228354657849537);</v>
      </c>
      <c r="AE17" s="1"/>
    </row>
    <row r="18" spans="5:33" x14ac:dyDescent="0.35">
      <c r="E18" s="4" t="s">
        <v>13</v>
      </c>
      <c r="F18" s="7">
        <v>0</v>
      </c>
      <c r="J18" t="s">
        <v>14</v>
      </c>
      <c r="K18" s="3">
        <f>F19</f>
        <v>10000000</v>
      </c>
      <c r="M18" s="11">
        <v>45293</v>
      </c>
      <c r="N18" s="11">
        <v>45845</v>
      </c>
      <c r="O18" s="12">
        <v>4.3503721000000004</v>
      </c>
      <c r="Q18" s="11">
        <v>45293</v>
      </c>
      <c r="R18" s="11">
        <v>46940</v>
      </c>
      <c r="S18" s="12">
        <v>2.2722982045543811</v>
      </c>
      <c r="U18" t="str">
        <f t="shared" si="0"/>
        <v>rcvCCYCurveDates.emplace_back(45845);</v>
      </c>
      <c r="V18" t="str">
        <f t="shared" si="1"/>
        <v>rcvCCYYields.push_back(0.043503721);</v>
      </c>
      <c r="W18" t="str">
        <f t="shared" si="2"/>
        <v>payCCYCurveDates.emplace_back(46940);</v>
      </c>
      <c r="X18" t="str">
        <f t="shared" si="3"/>
        <v>payCCYYields.push_back(0.0227229820455438);</v>
      </c>
      <c r="AE18" s="1"/>
    </row>
    <row r="19" spans="5:33" x14ac:dyDescent="0.35">
      <c r="E19" s="4" t="s">
        <v>14</v>
      </c>
      <c r="F19" s="19">
        <f>IF(F3,F4,F4*(K1+F5/F6))</f>
        <v>10000000</v>
      </c>
      <c r="J19" t="s">
        <v>15</v>
      </c>
      <c r="K19" s="1">
        <f>F20</f>
        <v>45384</v>
      </c>
      <c r="M19" s="11">
        <v>45293</v>
      </c>
      <c r="N19" s="11">
        <v>46028</v>
      </c>
      <c r="O19" s="12">
        <v>4.0560109000000004</v>
      </c>
      <c r="Q19" s="11">
        <v>45293</v>
      </c>
      <c r="R19" s="11">
        <v>47122</v>
      </c>
      <c r="S19" s="12">
        <v>2.2607366519886196</v>
      </c>
      <c r="U19" t="str">
        <f t="shared" si="0"/>
        <v>rcvCCYCurveDates.emplace_back(46028);</v>
      </c>
      <c r="V19" t="str">
        <f t="shared" si="1"/>
        <v>rcvCCYYields.push_back(0.040560109);</v>
      </c>
      <c r="W19" t="str">
        <f t="shared" si="2"/>
        <v>payCCYCurveDates.emplace_back(47122);</v>
      </c>
      <c r="X19" t="str">
        <f t="shared" si="3"/>
        <v>payCCYYields.push_back(0.0226073665198862);</v>
      </c>
    </row>
    <row r="20" spans="5:33" x14ac:dyDescent="0.35">
      <c r="E20" s="4" t="s">
        <v>15</v>
      </c>
      <c r="F20" s="18">
        <f>R8</f>
        <v>45384</v>
      </c>
      <c r="J20" t="s">
        <v>16</v>
      </c>
      <c r="K20" s="3">
        <f>F21</f>
        <v>12812500000</v>
      </c>
      <c r="M20" s="11">
        <v>45293</v>
      </c>
      <c r="N20" s="11">
        <v>46393</v>
      </c>
      <c r="O20" s="12">
        <v>3.7287485999999999</v>
      </c>
      <c r="Q20" s="11">
        <v>45293</v>
      </c>
      <c r="R20" s="11">
        <v>47304</v>
      </c>
      <c r="S20" s="12">
        <v>2.2408526534297075</v>
      </c>
      <c r="U20" t="str">
        <f t="shared" si="0"/>
        <v>rcvCCYCurveDates.emplace_back(46393);</v>
      </c>
      <c r="V20" t="str">
        <f t="shared" si="1"/>
        <v>rcvCCYYields.push_back(0.037287486);</v>
      </c>
      <c r="W20" t="str">
        <f t="shared" si="2"/>
        <v>payCCYCurveDates.emplace_back(47304);</v>
      </c>
      <c r="X20" t="str">
        <f t="shared" si="3"/>
        <v>payCCYYields.push_back(0.0224085265342971);</v>
      </c>
      <c r="AG20" s="2"/>
    </row>
    <row r="21" spans="5:33" x14ac:dyDescent="0.35">
      <c r="E21" s="4" t="s">
        <v>16</v>
      </c>
      <c r="F21" s="22">
        <f>IF(NOT(F3),F4,F4*(K1+F5/F6))</f>
        <v>12812500000</v>
      </c>
      <c r="J21" t="s">
        <v>17</v>
      </c>
      <c r="K21" s="1">
        <f>F22</f>
        <v>45384</v>
      </c>
      <c r="M21" s="11">
        <v>45293</v>
      </c>
      <c r="N21" s="11">
        <v>46758</v>
      </c>
      <c r="O21" s="12">
        <v>3.5634644</v>
      </c>
      <c r="Q21" s="11">
        <v>45293</v>
      </c>
      <c r="R21" s="11">
        <v>47487</v>
      </c>
      <c r="S21" s="12">
        <v>2.2209301164431472</v>
      </c>
      <c r="U21" t="str">
        <f t="shared" si="0"/>
        <v>rcvCCYCurveDates.emplace_back(46758);</v>
      </c>
      <c r="V21" t="str">
        <f t="shared" si="1"/>
        <v>rcvCCYYields.push_back(0.035634644);</v>
      </c>
      <c r="W21" t="str">
        <f t="shared" si="2"/>
        <v>payCCYCurveDates.emplace_back(47487);</v>
      </c>
      <c r="X21" t="str">
        <f t="shared" si="3"/>
        <v>payCCYYields.push_back(0.0222093011644315);</v>
      </c>
      <c r="AG21" s="2"/>
    </row>
    <row r="22" spans="5:33" x14ac:dyDescent="0.35">
      <c r="E22" s="4" t="s">
        <v>17</v>
      </c>
      <c r="F22" s="18">
        <f>F20</f>
        <v>45384</v>
      </c>
      <c r="M22" s="11">
        <v>45293</v>
      </c>
      <c r="N22" s="11">
        <v>47122</v>
      </c>
      <c r="O22" s="12">
        <v>3.4752299999999998</v>
      </c>
      <c r="Q22" s="11">
        <v>45293</v>
      </c>
      <c r="R22" s="11">
        <v>47669</v>
      </c>
      <c r="S22" s="12">
        <v>2.2141467802845245</v>
      </c>
      <c r="U22" t="str">
        <f t="shared" si="0"/>
        <v>rcvCCYCurveDates.emplace_back(47122);</v>
      </c>
      <c r="V22" t="str">
        <f t="shared" si="1"/>
        <v>rcvCCYYields.push_back(0.0347523);</v>
      </c>
      <c r="W22" t="str">
        <f t="shared" si="2"/>
        <v>payCCYCurveDates.emplace_back(47669);</v>
      </c>
      <c r="X22" t="str">
        <f t="shared" si="3"/>
        <v>payCCYYields.push_back(0.0221414678028452);</v>
      </c>
    </row>
    <row r="23" spans="5:33" x14ac:dyDescent="0.35">
      <c r="J23" t="s">
        <v>22</v>
      </c>
      <c r="K23" cm="1">
        <f t="array" ref="K23">EXP(-interp_rate(K19,$N$3:$N$33,$O$3:$O$33)/100*(K19-$F$12)/365)</f>
        <v>0.98596843548473612</v>
      </c>
      <c r="M23" s="11">
        <v>45293</v>
      </c>
      <c r="N23" s="11">
        <v>47487</v>
      </c>
      <c r="O23" s="12">
        <v>3.4331833</v>
      </c>
      <c r="Q23" s="11">
        <v>45293</v>
      </c>
      <c r="R23" s="11">
        <v>47854</v>
      </c>
      <c r="S23" s="12">
        <v>2.2069629983697507</v>
      </c>
      <c r="U23" t="str">
        <f t="shared" si="0"/>
        <v>rcvCCYCurveDates.emplace_back(47487);</v>
      </c>
      <c r="V23" t="str">
        <f t="shared" si="1"/>
        <v>rcvCCYYields.push_back(0.034331833);</v>
      </c>
      <c r="W23" t="str">
        <f t="shared" si="2"/>
        <v>payCCYCurveDates.emplace_back(47854);</v>
      </c>
      <c r="X23" t="str">
        <f t="shared" si="3"/>
        <v>payCCYYields.push_back(0.0220696299836975);</v>
      </c>
    </row>
    <row r="24" spans="5:33" x14ac:dyDescent="0.35">
      <c r="J24" t="s">
        <v>21</v>
      </c>
      <c r="K24" cm="1">
        <f t="array" ref="K24">EXP(-interp_rate($F$13,$N$3:$N$33,$O$3:$O$33)/100*($F$13-$F$12)/365)</f>
        <v>0.99925742762741165</v>
      </c>
      <c r="M24" s="11">
        <v>45293</v>
      </c>
      <c r="N24" s="11">
        <v>47854</v>
      </c>
      <c r="O24" s="12">
        <v>3.4079231000000001</v>
      </c>
      <c r="Q24" s="11">
        <v>45293</v>
      </c>
      <c r="R24" s="11">
        <v>48036</v>
      </c>
      <c r="S24" s="12">
        <v>2.1915274351237102</v>
      </c>
      <c r="U24" t="str">
        <f t="shared" si="0"/>
        <v>rcvCCYCurveDates.emplace_back(47854);</v>
      </c>
      <c r="V24" t="str">
        <f t="shared" si="1"/>
        <v>rcvCCYYields.push_back(0.034079231);</v>
      </c>
      <c r="W24" t="str">
        <f t="shared" si="2"/>
        <v>payCCYCurveDates.emplace_back(48036);</v>
      </c>
      <c r="X24" t="str">
        <f t="shared" si="3"/>
        <v>payCCYYields.push_back(0.0219152743512371);</v>
      </c>
    </row>
    <row r="25" spans="5:33" x14ac:dyDescent="0.35">
      <c r="J25" t="s">
        <v>23</v>
      </c>
      <c r="K25">
        <f>K23/K24</f>
        <v>0.98670113248572167</v>
      </c>
      <c r="M25" s="11">
        <v>45293</v>
      </c>
      <c r="N25" s="11">
        <v>48219</v>
      </c>
      <c r="O25" s="12">
        <v>3.3973531000000001</v>
      </c>
      <c r="Q25" s="11">
        <v>45293</v>
      </c>
      <c r="R25" s="11">
        <v>48219</v>
      </c>
      <c r="S25" s="12">
        <v>2.1762279543257197</v>
      </c>
      <c r="U25" t="str">
        <f t="shared" si="0"/>
        <v>rcvCCYCurveDates.emplace_back(48219);</v>
      </c>
      <c r="V25" t="str">
        <f t="shared" si="1"/>
        <v>rcvCCYYields.push_back(0.033973531);</v>
      </c>
      <c r="W25" t="str">
        <f t="shared" si="2"/>
        <v>payCCYCurveDates.emplace_back(48219);</v>
      </c>
      <c r="X25" t="str">
        <f t="shared" si="3"/>
        <v>payCCYYields.push_back(0.0217622795432572);</v>
      </c>
    </row>
    <row r="26" spans="5:33" x14ac:dyDescent="0.35">
      <c r="J26" t="s">
        <v>25</v>
      </c>
      <c r="K26" cm="1">
        <f t="array" ref="K26">EXP(-interp_rate(K21,$R$3:$R$32,$S$3:$S$32)/100*(K21-$F$12)/365)</f>
        <v>0.9919323421188877</v>
      </c>
      <c r="M26" s="11">
        <v>45293</v>
      </c>
      <c r="N26" s="11">
        <v>48585</v>
      </c>
      <c r="O26" s="12">
        <v>3.396134</v>
      </c>
      <c r="Q26" s="11">
        <v>45293</v>
      </c>
      <c r="R26" s="11">
        <v>48402</v>
      </c>
      <c r="S26" s="12">
        <v>2.1912197676130485</v>
      </c>
      <c r="U26" t="str">
        <f t="shared" si="0"/>
        <v>rcvCCYCurveDates.emplace_back(48585);</v>
      </c>
      <c r="V26" t="str">
        <f t="shared" si="1"/>
        <v>rcvCCYYields.push_back(0.03396134);</v>
      </c>
      <c r="W26" t="str">
        <f t="shared" si="2"/>
        <v>payCCYCurveDates.emplace_back(48402);</v>
      </c>
      <c r="X26" t="str">
        <f t="shared" si="3"/>
        <v>payCCYYields.push_back(0.0219121976761305);</v>
      </c>
    </row>
    <row r="27" spans="5:33" x14ac:dyDescent="0.35">
      <c r="J27" t="s">
        <v>24</v>
      </c>
      <c r="K27" cm="1">
        <f t="array" ref="K27">EXP(-interp_rate($F$13,$R$3:$R$32,$S$3:$S$32)/100*($F$13-$F$12)/365)</f>
        <v>1.0000332486115944</v>
      </c>
      <c r="M27" s="11">
        <v>45293</v>
      </c>
      <c r="N27" s="11">
        <v>48949</v>
      </c>
      <c r="O27" s="12">
        <v>3.3990035000000001</v>
      </c>
      <c r="Q27" s="11">
        <v>45293</v>
      </c>
      <c r="R27" s="11">
        <v>48585</v>
      </c>
      <c r="S27" s="12">
        <v>2.2051973444771988</v>
      </c>
      <c r="U27" t="str">
        <f t="shared" si="0"/>
        <v>rcvCCYCurveDates.emplace_back(48949);</v>
      </c>
      <c r="V27" t="str">
        <f t="shared" si="1"/>
        <v>rcvCCYYields.push_back(0.033990035);</v>
      </c>
      <c r="W27" t="str">
        <f t="shared" si="2"/>
        <v>payCCYCurveDates.emplace_back(48585);</v>
      </c>
      <c r="X27" t="str">
        <f t="shared" si="3"/>
        <v>payCCYYields.push_back(0.022051973444772);</v>
      </c>
    </row>
    <row r="28" spans="5:33" x14ac:dyDescent="0.35">
      <c r="J28" t="s">
        <v>26</v>
      </c>
      <c r="K28">
        <f>K26/K27</f>
        <v>0.9918993628422319</v>
      </c>
      <c r="M28" s="11">
        <v>45293</v>
      </c>
      <c r="N28" s="11">
        <v>49313</v>
      </c>
      <c r="O28" s="12">
        <v>3.4062185</v>
      </c>
      <c r="Q28" s="11">
        <v>45293</v>
      </c>
      <c r="R28" s="11">
        <v>48767</v>
      </c>
      <c r="S28" s="12">
        <v>2.1972300279127643</v>
      </c>
      <c r="U28" t="str">
        <f t="shared" si="0"/>
        <v>rcvCCYCurveDates.emplace_back(49313);</v>
      </c>
      <c r="V28" t="str">
        <f t="shared" si="1"/>
        <v>rcvCCYYields.push_back(0.034062185);</v>
      </c>
      <c r="W28" t="str">
        <f t="shared" si="2"/>
        <v>payCCYCurveDates.emplace_back(48767);</v>
      </c>
      <c r="X28" t="str">
        <f t="shared" si="3"/>
        <v>payCCYYields.push_back(0.0219723002791276);</v>
      </c>
    </row>
    <row r="29" spans="5:33" x14ac:dyDescent="0.35">
      <c r="M29" s="11">
        <v>45293</v>
      </c>
      <c r="N29" s="11">
        <v>49678</v>
      </c>
      <c r="O29" s="12">
        <v>3.4149918000000001</v>
      </c>
      <c r="Q29" s="11">
        <v>45293</v>
      </c>
      <c r="R29" s="11">
        <v>48949</v>
      </c>
      <c r="S29" s="12">
        <v>2.1894606579366207</v>
      </c>
      <c r="U29" t="str">
        <f t="shared" si="0"/>
        <v>rcvCCYCurveDates.emplace_back(49678);</v>
      </c>
      <c r="V29" t="str">
        <f t="shared" si="1"/>
        <v>rcvCCYYields.push_back(0.034149918);</v>
      </c>
      <c r="W29" t="str">
        <f t="shared" si="2"/>
        <v>payCCYCurveDates.emplace_back(48949);</v>
      </c>
      <c r="X29" t="str">
        <f t="shared" si="3"/>
        <v>payCCYYields.push_back(0.0218946065793662);</v>
      </c>
    </row>
    <row r="30" spans="5:33" x14ac:dyDescent="0.35">
      <c r="J30" t="s">
        <v>38</v>
      </c>
      <c r="K30" s="3">
        <f>K18*K25</f>
        <v>9867011.3248572163</v>
      </c>
      <c r="M30" s="11">
        <v>45293</v>
      </c>
      <c r="N30" s="11">
        <v>50775</v>
      </c>
      <c r="O30" s="12">
        <v>3.4371154000000002</v>
      </c>
      <c r="Q30" s="11">
        <v>45293</v>
      </c>
      <c r="R30" s="11">
        <v>49678</v>
      </c>
      <c r="S30" s="12">
        <v>2.1689920430683425</v>
      </c>
      <c r="U30" t="str">
        <f t="shared" si="0"/>
        <v>rcvCCYCurveDates.emplace_back(50775);</v>
      </c>
      <c r="V30" t="str">
        <f t="shared" si="1"/>
        <v>rcvCCYYields.push_back(0.034371154);</v>
      </c>
      <c r="W30" t="str">
        <f t="shared" si="2"/>
        <v>payCCYCurveDates.emplace_back(49678);</v>
      </c>
      <c r="X30" t="str">
        <f t="shared" si="3"/>
        <v>payCCYYields.push_back(0.0216899204306834);</v>
      </c>
    </row>
    <row r="31" spans="5:33" x14ac:dyDescent="0.35">
      <c r="J31" t="s">
        <v>39</v>
      </c>
      <c r="K31" s="3">
        <f>K20*K28</f>
        <v>12708710586.416096</v>
      </c>
      <c r="M31" s="11">
        <v>45293</v>
      </c>
      <c r="N31" s="11">
        <v>52602</v>
      </c>
      <c r="O31" s="12">
        <v>3.4096695000000001</v>
      </c>
      <c r="Q31" s="11">
        <v>45293</v>
      </c>
      <c r="R31" s="11">
        <v>50775</v>
      </c>
      <c r="S31" s="12">
        <v>2.131506115947067</v>
      </c>
      <c r="U31" t="str">
        <f t="shared" si="0"/>
        <v>rcvCCYCurveDates.emplace_back(52602);</v>
      </c>
      <c r="V31" t="str">
        <f t="shared" si="1"/>
        <v>rcvCCYYields.push_back(0.034096695);</v>
      </c>
      <c r="W31" t="str">
        <f t="shared" si="2"/>
        <v>payCCYCurveDates.emplace_back(50775);</v>
      </c>
      <c r="X31" t="str">
        <f t="shared" si="3"/>
        <v>payCCYYields.push_back(0.0213150611594707);</v>
      </c>
    </row>
    <row r="32" spans="5:33" x14ac:dyDescent="0.35">
      <c r="J32" s="14" t="s">
        <v>48</v>
      </c>
      <c r="K32" s="15">
        <f>IF(F14,K1,1)*K30-IF(F14,1,K1)*K31</f>
        <v>0</v>
      </c>
      <c r="M32" s="11">
        <v>45293</v>
      </c>
      <c r="N32" s="11">
        <v>54429</v>
      </c>
      <c r="O32" s="12">
        <v>3.2936454999999998</v>
      </c>
      <c r="Q32" s="11">
        <v>45293</v>
      </c>
      <c r="R32" s="11">
        <v>52602</v>
      </c>
      <c r="S32" s="12">
        <v>2.0878026583300135</v>
      </c>
      <c r="U32" t="str">
        <f t="shared" si="0"/>
        <v>rcvCCYCurveDates.emplace_back(54429);</v>
      </c>
      <c r="V32" t="str">
        <f t="shared" si="1"/>
        <v>rcvCCYYields.push_back(0.032936455);</v>
      </c>
      <c r="W32" t="str">
        <f t="shared" si="2"/>
        <v>payCCYCurveDates.emplace_back(52602);</v>
      </c>
      <c r="X32" t="str">
        <f t="shared" si="3"/>
        <v>payCCYYields.push_back(0.0208780265833001);</v>
      </c>
    </row>
    <row r="33" spans="10:19" x14ac:dyDescent="0.35">
      <c r="M33" s="11">
        <v>45293</v>
      </c>
      <c r="N33" s="11">
        <v>56255</v>
      </c>
      <c r="O33" s="12">
        <v>3.1715369999999998</v>
      </c>
      <c r="Q33" s="12"/>
      <c r="R33" s="12"/>
      <c r="S33" s="12"/>
    </row>
    <row r="35" spans="10:19" x14ac:dyDescent="0.35">
      <c r="J35" s="28" t="s">
        <v>41</v>
      </c>
      <c r="K35" s="28"/>
    </row>
    <row r="36" spans="10:19" x14ac:dyDescent="0.35">
      <c r="J36" t="s">
        <v>10</v>
      </c>
      <c r="K36" s="3">
        <f>F15</f>
        <v>0</v>
      </c>
    </row>
    <row r="37" spans="10:19" x14ac:dyDescent="0.35">
      <c r="J37" t="s">
        <v>11</v>
      </c>
      <c r="K37" s="1">
        <f>F16</f>
        <v>0</v>
      </c>
    </row>
    <row r="38" spans="10:19" x14ac:dyDescent="0.35">
      <c r="J38" t="s">
        <v>12</v>
      </c>
      <c r="K38" s="3">
        <f>F17</f>
        <v>0</v>
      </c>
    </row>
    <row r="39" spans="10:19" x14ac:dyDescent="0.35">
      <c r="J39" t="s">
        <v>13</v>
      </c>
      <c r="K39" s="1">
        <f>F18</f>
        <v>0</v>
      </c>
    </row>
    <row r="40" spans="10:19" x14ac:dyDescent="0.35">
      <c r="K40" s="3"/>
    </row>
    <row r="41" spans="10:19" x14ac:dyDescent="0.35">
      <c r="J41" t="s">
        <v>42</v>
      </c>
      <c r="K41" cm="1">
        <f t="array" ref="K41">EXP(-interp_rate(K37,$R$3:$R$32,$S$3:$S$32)/100*(K37-$F$12)/365)</f>
        <v>24.934249824768589</v>
      </c>
      <c r="M41" cm="1">
        <f t="array" ref="M41">-interp_rate(K37,$R$3:$R$32,$S$3:$S$32)/100</f>
        <v>-2.5921402114464115E-2</v>
      </c>
    </row>
    <row r="42" spans="10:19" x14ac:dyDescent="0.35">
      <c r="J42" t="s">
        <v>43</v>
      </c>
      <c r="K42" cm="1">
        <f t="array" ref="K42">EXP(-interp_rate($F$13,$R$3:$R$32,$S$3:$S$32)/100*($F$13-$F$12)/365)</f>
        <v>1.0000332486115944</v>
      </c>
    </row>
    <row r="43" spans="10:19" x14ac:dyDescent="0.35">
      <c r="J43" t="s">
        <v>44</v>
      </c>
      <c r="K43">
        <f>K41/K42</f>
        <v>24.933420823143923</v>
      </c>
    </row>
    <row r="44" spans="10:19" x14ac:dyDescent="0.35">
      <c r="J44" t="s">
        <v>45</v>
      </c>
      <c r="K44" cm="1">
        <f t="array" ref="K44">EXP(-interp_rate(K39,$N$3:$N$33,$O$3:$O$33)/100*(K39-$F$12)/365)</f>
        <v>836.9797711499665</v>
      </c>
      <c r="M44" cm="1">
        <f t="array" ref="M44">-interp_rate(K39,$N$3:$N$33,$O$3:$O$33)</f>
        <v>-5.4239024999999996</v>
      </c>
    </row>
    <row r="45" spans="10:19" x14ac:dyDescent="0.35">
      <c r="J45" t="s">
        <v>46</v>
      </c>
      <c r="K45" cm="1">
        <f t="array" ref="K45">EXP(-interp_rate($F$13,$N$3:$N$33,$O$3:$O$33)/100*($F$13-$F$12)/365)</f>
        <v>0.99925742762741165</v>
      </c>
    </row>
    <row r="46" spans="10:19" x14ac:dyDescent="0.35">
      <c r="J46" t="s">
        <v>47</v>
      </c>
      <c r="K46">
        <f>K44/K45</f>
        <v>837.60175106954239</v>
      </c>
    </row>
    <row r="48" spans="10:19" x14ac:dyDescent="0.35">
      <c r="J48" t="s">
        <v>38</v>
      </c>
      <c r="K48" s="3">
        <f>K36*K43</f>
        <v>0</v>
      </c>
    </row>
    <row r="49" spans="10:11" x14ac:dyDescent="0.35">
      <c r="J49" t="s">
        <v>39</v>
      </c>
      <c r="K49" s="3">
        <f>K38*K46</f>
        <v>0</v>
      </c>
    </row>
    <row r="50" spans="10:11" x14ac:dyDescent="0.35">
      <c r="J50" s="14" t="s">
        <v>49</v>
      </c>
      <c r="K50" s="15">
        <f>IF(NOT(F14),$K$1,1)*K48-IF(NOT(F14),1,$K$1)*K49</f>
        <v>0</v>
      </c>
    </row>
  </sheetData>
  <mergeCells count="3">
    <mergeCell ref="J14:K14"/>
    <mergeCell ref="J17:K17"/>
    <mergeCell ref="J35:K35"/>
  </mergeCells>
  <conditionalFormatting sqref="J41:J43">
    <cfRule type="duplicateValues" dxfId="0" priority="1"/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FX_Swap</vt:lpstr>
      <vt:lpstr>FX_Forward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 준우</dc:creator>
  <cp:lastModifiedBy>준우 이</cp:lastModifiedBy>
  <dcterms:created xsi:type="dcterms:W3CDTF">2024-07-23T15:41:21Z</dcterms:created>
  <dcterms:modified xsi:type="dcterms:W3CDTF">2024-08-29T03:44:54Z</dcterms:modified>
</cp:coreProperties>
</file>