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pricing-src\"/>
    </mc:Choice>
  </mc:AlternateContent>
  <xr:revisionPtr revIDLastSave="0" documentId="13_ncr:1_{0165F114-EC5C-47DA-A63E-0E84AE15962E}" xr6:coauthVersionLast="47" xr6:coauthVersionMax="47" xr10:uidLastSave="{00000000-0000-0000-0000-000000000000}"/>
  <bookViews>
    <workbookView xWindow="-120" yWindow="-120" windowWidth="29040" windowHeight="15840" activeTab="1" xr2:uid="{3FA68204-3187-4EA1-BBA6-2744B7AB0598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8" i="1" l="1"/>
  <c r="H101" i="1"/>
  <c r="H113" i="1"/>
  <c r="H114" i="1"/>
  <c r="H115" i="1"/>
  <c r="H116" i="1"/>
  <c r="H112" i="1"/>
  <c r="H103" i="1"/>
  <c r="H104" i="1"/>
  <c r="H105" i="1"/>
  <c r="H106" i="1"/>
  <c r="H107" i="1"/>
  <c r="H108" i="1"/>
  <c r="H109" i="1"/>
  <c r="H110" i="1"/>
  <c r="H111" i="1"/>
  <c r="H102" i="1"/>
  <c r="E51" i="2"/>
  <c r="E52" i="2"/>
  <c r="E53" i="2"/>
  <c r="E54" i="2"/>
  <c r="E55" i="2"/>
  <c r="E56" i="2"/>
  <c r="E57" i="2"/>
  <c r="E58" i="2"/>
  <c r="E59" i="2"/>
  <c r="E60" i="2"/>
  <c r="E61" i="2"/>
  <c r="E50" i="2"/>
  <c r="P11" i="2"/>
  <c r="P12" i="2"/>
  <c r="P13" i="2"/>
  <c r="P14" i="2"/>
  <c r="L24" i="2"/>
  <c r="L25" i="2"/>
  <c r="L26" i="2"/>
  <c r="L27" i="2"/>
  <c r="L28" i="2"/>
  <c r="L29" i="2"/>
  <c r="L30" i="2"/>
  <c r="L31" i="2"/>
  <c r="L21" i="2"/>
  <c r="Q2" i="2"/>
  <c r="I72" i="1"/>
  <c r="J70" i="1"/>
  <c r="K70" i="1" s="1"/>
  <c r="H71" i="1"/>
  <c r="J71" i="1" s="1"/>
  <c r="K71" i="1" s="1"/>
  <c r="I93" i="1"/>
  <c r="J93" i="1" s="1"/>
  <c r="H97" i="1"/>
  <c r="I97" i="1" s="1"/>
  <c r="J97" i="1" s="1"/>
  <c r="H95" i="1"/>
  <c r="I95" i="1" s="1"/>
  <c r="J95" i="1" s="1"/>
  <c r="H94" i="1"/>
  <c r="I94" i="1" s="1"/>
  <c r="J94" i="1" s="1"/>
  <c r="H96" i="1"/>
  <c r="I96" i="1" s="1"/>
  <c r="J96" i="1" s="1"/>
  <c r="H84" i="1"/>
  <c r="I84" i="1" s="1"/>
  <c r="J84" i="1" s="1"/>
  <c r="H85" i="1"/>
  <c r="I85" i="1" s="1"/>
  <c r="J85" i="1" s="1"/>
  <c r="H86" i="1"/>
  <c r="I86" i="1" s="1"/>
  <c r="J86" i="1" s="1"/>
  <c r="H87" i="1"/>
  <c r="H88" i="1"/>
  <c r="H89" i="1"/>
  <c r="I89" i="1" s="1"/>
  <c r="J89" i="1" s="1"/>
  <c r="H83" i="1"/>
  <c r="I83" i="1" s="1"/>
  <c r="J83" i="1" s="1"/>
  <c r="I87" i="1"/>
  <c r="J87" i="1" s="1"/>
  <c r="I88" i="1"/>
  <c r="J88" i="1" s="1"/>
  <c r="M2" i="2"/>
  <c r="L3" i="2"/>
  <c r="L22" i="2" s="1"/>
  <c r="L4" i="2"/>
  <c r="L23" i="2" s="1"/>
  <c r="L5" i="2"/>
  <c r="L6" i="2"/>
  <c r="L7" i="2"/>
  <c r="L8" i="2"/>
  <c r="L9" i="2"/>
  <c r="L10" i="2"/>
  <c r="L11" i="2"/>
  <c r="L12" i="2"/>
  <c r="L2" i="2"/>
  <c r="M3" i="2"/>
  <c r="M4" i="2"/>
  <c r="M5" i="2"/>
  <c r="M6" i="2"/>
  <c r="M7" i="2"/>
  <c r="M8" i="2"/>
  <c r="M9" i="2"/>
  <c r="M10" i="2"/>
  <c r="M11" i="2"/>
  <c r="M12" i="2"/>
  <c r="H75" i="1"/>
  <c r="I75" i="1" s="1"/>
  <c r="J75" i="1" s="1"/>
  <c r="H76" i="1"/>
  <c r="I76" i="1" s="1"/>
  <c r="J76" i="1" s="1"/>
  <c r="H77" i="1"/>
  <c r="I77" i="1" s="1"/>
  <c r="J77" i="1" s="1"/>
  <c r="H78" i="1"/>
  <c r="I78" i="1" s="1"/>
  <c r="J78" i="1" s="1"/>
  <c r="H79" i="1"/>
  <c r="I79" i="1" s="1"/>
  <c r="J79" i="1" s="1"/>
  <c r="H80" i="1"/>
  <c r="I80" i="1" s="1"/>
  <c r="J80" i="1" s="1"/>
  <c r="H74" i="1"/>
  <c r="I74" i="1" s="1"/>
  <c r="J74" i="1" s="1"/>
  <c r="I35" i="2"/>
  <c r="C62" i="2"/>
  <c r="D21" i="2"/>
  <c r="C34" i="2"/>
  <c r="C35" i="2"/>
  <c r="C36" i="2"/>
  <c r="C37" i="2"/>
  <c r="C38" i="2"/>
  <c r="C39" i="2"/>
  <c r="C40" i="2"/>
  <c r="C41" i="2"/>
  <c r="C42" i="2"/>
  <c r="C43" i="2"/>
  <c r="C44" i="2"/>
  <c r="C33" i="2"/>
  <c r="Q4" i="2"/>
  <c r="Q5" i="2"/>
  <c r="Q6" i="2"/>
  <c r="Q7" i="2"/>
  <c r="Q3" i="2"/>
  <c r="E54" i="1"/>
  <c r="E55" i="1"/>
  <c r="E56" i="1"/>
  <c r="E57" i="1"/>
  <c r="E58" i="1"/>
  <c r="E59" i="1"/>
  <c r="E60" i="1"/>
  <c r="E61" i="1"/>
  <c r="E62" i="1"/>
  <c r="E53" i="1"/>
  <c r="D54" i="1"/>
  <c r="D55" i="1"/>
  <c r="D56" i="1"/>
  <c r="D57" i="1"/>
  <c r="D58" i="1"/>
  <c r="D59" i="1"/>
  <c r="D60" i="1"/>
  <c r="D61" i="1"/>
  <c r="D62" i="1"/>
  <c r="D53" i="1"/>
  <c r="E47" i="1"/>
  <c r="E48" i="1"/>
  <c r="E49" i="1"/>
  <c r="E50" i="1"/>
  <c r="E46" i="1"/>
  <c r="D47" i="1"/>
  <c r="D48" i="1"/>
  <c r="D49" i="1"/>
  <c r="D50" i="1"/>
  <c r="D46" i="1"/>
  <c r="E5" i="2"/>
  <c r="E4" i="2"/>
  <c r="E10" i="2"/>
  <c r="E11" i="2"/>
  <c r="E13" i="2"/>
  <c r="E14" i="2"/>
  <c r="E2" i="2"/>
  <c r="E8" i="2"/>
  <c r="E6" i="2"/>
  <c r="E12" i="2"/>
  <c r="E7" i="2"/>
  <c r="E3" i="2"/>
  <c r="E9" i="2"/>
  <c r="P2" i="2" l="1"/>
  <c r="P9" i="2" s="1"/>
  <c r="P3" i="2"/>
  <c r="K69" i="1"/>
  <c r="F8" i="2"/>
  <c r="F13" i="2"/>
  <c r="F12" i="2"/>
  <c r="F7" i="2"/>
  <c r="F5" i="2"/>
  <c r="F6" i="2"/>
  <c r="F3" i="2"/>
  <c r="F9" i="2"/>
  <c r="F4" i="2"/>
  <c r="F10" i="2"/>
  <c r="F2" i="2"/>
  <c r="F11" i="2"/>
  <c r="F14" i="2"/>
  <c r="G2" i="2" l="1"/>
  <c r="H2" i="2" s="1"/>
  <c r="E67" i="2" s="1"/>
  <c r="G4" i="2"/>
  <c r="H4" i="2" s="1"/>
  <c r="I4" i="2" s="1"/>
  <c r="G12" i="2"/>
  <c r="H12" i="2" s="1"/>
  <c r="I12" i="2" s="1"/>
  <c r="G14" i="2"/>
  <c r="H14" i="2" s="1"/>
  <c r="I14" i="2" s="1"/>
  <c r="G5" i="2"/>
  <c r="H5" i="2" s="1"/>
  <c r="I5" i="2" s="1"/>
  <c r="G9" i="2"/>
  <c r="H9" i="2" s="1"/>
  <c r="G13" i="2"/>
  <c r="H13" i="2" s="1"/>
  <c r="I13" i="2" s="1"/>
  <c r="G6" i="2"/>
  <c r="H6" i="2" s="1"/>
  <c r="I6" i="2" s="1"/>
  <c r="G10" i="2"/>
  <c r="H10" i="2" s="1"/>
  <c r="I10" i="2" s="1"/>
  <c r="G3" i="2"/>
  <c r="H3" i="2" s="1"/>
  <c r="E68" i="2" s="1"/>
  <c r="G8" i="2"/>
  <c r="H8" i="2" s="1"/>
  <c r="I8" i="2" s="1"/>
  <c r="G11" i="2"/>
  <c r="H11" i="2" s="1"/>
  <c r="I11" i="2" s="1"/>
  <c r="G7" i="2"/>
  <c r="H7" i="2" s="1"/>
  <c r="I7" i="2" s="1"/>
  <c r="P10" i="2"/>
  <c r="I9" i="2"/>
  <c r="E74" i="2"/>
  <c r="E76" i="2" l="1"/>
  <c r="I3" i="2"/>
  <c r="E75" i="2"/>
  <c r="E71" i="2"/>
  <c r="I2" i="2"/>
  <c r="E69" i="2"/>
  <c r="E77" i="2"/>
  <c r="J35" i="2"/>
  <c r="E73" i="2"/>
  <c r="E78" i="2"/>
  <c r="E72" i="2"/>
  <c r="E70" i="2"/>
  <c r="E79" i="2"/>
  <c r="I15" i="2" l="1"/>
  <c r="J17" i="2" s="1"/>
  <c r="L17" i="2" s="1"/>
  <c r="M17" i="2" s="1"/>
  <c r="J15" i="2" l="1"/>
  <c r="K15" i="2" s="1"/>
  <c r="I20" i="2"/>
</calcChain>
</file>

<file path=xl/sharedStrings.xml><?xml version="1.0" encoding="utf-8"?>
<sst xmlns="http://schemas.openxmlformats.org/spreadsheetml/2006/main" count="245" uniqueCount="138">
  <si>
    <t>Name</t>
  </si>
  <si>
    <t>PWCT_FRB_KR103502GAC2_BN2000274007_01571</t>
  </si>
  <si>
    <t>Type</t>
  </si>
  <si>
    <t>Fixed Rate Bond</t>
  </si>
  <si>
    <t>ID</t>
  </si>
  <si>
    <t>20241231_FRTBSA:PWCT_FRB_KR103502GAC2_BN2000274007_01571</t>
  </si>
  <si>
    <t>*Market Model</t>
  </si>
  <si>
    <t>Bond_Calibration_Value</t>
  </si>
  <si>
    <t>*Theoretical Model</t>
  </si>
  <si>
    <t>Accrual Daycount Basis</t>
  </si>
  <si>
    <t>actual/365</t>
  </si>
  <si>
    <t>Business Day Rule</t>
  </si>
  <si>
    <t>Regular Following 0-day (CalKRW)</t>
  </si>
  <si>
    <t>Cash Flow</t>
  </si>
  <si>
    <t>2025/06/10 44,862,564.5632 KRW, 2025/12/10 45,123,287.6712 KRW, 2026/06/10 44,876,712.3288 KRW, 2026/12/10 45,123,287.6712 KRW, 2027/06/10 44,876,712.3288 KRW, 2027/12/10 45,123,287.6712 KRW, 2028/06/12 45,505,951.0442 KRW, 2028/12/11 44,754,098.3607 KRW, 2029/06/11 44,863,238.2663 KRW, 2029/12/10 44,876,712.3288 KRW, 2030/06/10 44,876,712.3288 KRW, 2030/12/10 6,045,123,287.6712 KRW</t>
    <phoneticPr fontId="2" type="noConversion"/>
  </si>
  <si>
    <t>Coupon Generation Method</t>
  </si>
  <si>
    <t>Backward</t>
  </si>
  <si>
    <t>Coupon Prorated</t>
  </si>
  <si>
    <t>Coupon Rate</t>
  </si>
  <si>
    <r>
      <t xml:space="preserve">1.5 % </t>
    </r>
    <r>
      <rPr>
        <b/>
        <sz val="11"/>
        <color rgb="FFFF0000"/>
        <rFont val="맑은 고딕"/>
        <family val="3"/>
        <charset val="129"/>
        <scheme val="minor"/>
      </rPr>
      <t>SMP</t>
    </r>
    <r>
      <rPr>
        <sz val="11"/>
        <color theme="1"/>
        <rFont val="맑은 고딕"/>
        <family val="2"/>
        <charset val="129"/>
        <scheme val="minor"/>
      </rPr>
      <t xml:space="preserve"> actual/actual</t>
    </r>
    <phoneticPr fontId="2" type="noConversion"/>
  </si>
  <si>
    <t>Credit Spread Curve</t>
  </si>
  <si>
    <t>IRKRW-Treasury-CSR-NSEC-B1</t>
  </si>
  <si>
    <t>Currency</t>
  </si>
  <si>
    <t>KRW</t>
  </si>
  <si>
    <t>Discount Curve</t>
  </si>
  <si>
    <t>IRKRW-IRS</t>
  </si>
  <si>
    <t>FRTB SA Basel Risk Weights</t>
  </si>
  <si>
    <t>Risk Weights</t>
  </si>
  <si>
    <t>FRTB SA DR-N LGD</t>
  </si>
  <si>
    <t>75 % ANNU actual/365</t>
  </si>
  <si>
    <t>Initial Accrued Interest</t>
  </si>
  <si>
    <t>NaN $</t>
  </si>
  <si>
    <t>Interest cashflow</t>
  </si>
  <si>
    <t>2025/06/10 44,862,564.5632 KRW, 2025/12/10 45,123,287.6712 KRW, 2026/06/10 44,876,712.3288 KRW, 2026/12/10 45,123,287.6712 KRW, 2027/06/10 44,876,712.3288 KRW, 2027/12/10 45,123,287.6712 KRW, 2028/06/12 45,505,951.0442 KRW, 2028/12/11 44,754,098.3607 KRW, 2029/06/11 44,863,238.2663 KRW, 2029/12/10 44,876,712.3288 KRW, 2030/06/10 44,876,712.3288 KRW, 2030/12/10 45,123,287.6712 KRW</t>
  </si>
  <si>
    <t>Issue Date</t>
  </si>
  <si>
    <t>Legal Entity</t>
  </si>
  <si>
    <t>Maturity Date</t>
  </si>
  <si>
    <t>Notional</t>
  </si>
  <si>
    <t>6,000,000,000 KRW</t>
  </si>
  <si>
    <t>Previous Coupon Date</t>
  </si>
  <si>
    <t>Principal cashflow</t>
  </si>
  <si>
    <t>2030/12/10 6,000,000,000 KRW</t>
  </si>
  <si>
    <t>Seniority Class</t>
  </si>
  <si>
    <t>Spot Price</t>
  </si>
  <si>
    <t>5,536,062,000 KRW</t>
  </si>
  <si>
    <t>Spread Over Yield</t>
  </si>
  <si>
    <t>0.1389 % CONT actual/365</t>
  </si>
  <si>
    <t>State Procedure</t>
  </si>
  <si>
    <t>@cash flow generator</t>
  </si>
  <si>
    <t>Structured CashFlow</t>
  </si>
  <si>
    <t>Structured Payment Type="Fixed", "Payment Date"="2025/06/10", "Payment Amount"="6,000,000,000 KRW", "Payment Procedure Referencer"="", "Real Start Date"="2024/12/10", "Real End Date"="2025/06/10", "Theo Start Date"="2024/12/10", "Theo End Date"="2025/06/10", "Coupon Rate"="1.5 % SMP actual/actual", "Prorated"="True", "Coupon Factor"="2", "Hidden Odd Coupon"="False", "Structured Payment Type"="Fixed", "Payment Date"="2025/12/10", "Payment Amount"="6,000,000,000 KRW", "Payment Procedure Referencer"="", "Real Start Date"="2025/06/10", "Real End Date"="2025/12/10", "Theo Start Date"="2025/06/10", "Theo End Date"="2025/12/10", "Coupon Rate"="1.5 % SMP actual/actual", "Prorated"="True", "Coupon Factor"="2", "Hidden Odd Coupon"="False", "Structured Payment Type"="Fixed", "Payment Date"="2026/06/10", "Payment Amount"="6,000,000,000 KRW", "Payment Procedure Referencer"="", "Real Start Date"="2025/12/10", "Real End Date"="2026/06/10", "Theo Start Date"="2025/12/10", "Theo End Date"="2026/06/10", "Coupon Rate"="1.5 % SMP actual/actual", "Prorated"="True", "Coupon Factor"="2", "Hidden Odd Coupon"="False", "Structured Payment Type"="Fixed", "Payment Date"="2026/12/10", "Payment Amount"="6,000,000,000 KRW", "Payment Procedure Referencer"="", "Real Start Date"="2026/06/10", "Real End Date"="2026/12/10", "Theo Start Date"="2026/06/10", "Theo End Date"="2026/12/10", "Coupon Rate"="1.5 % SMP actual/actual", "Prorated"="True", "Coupon Factor"="2", "Hidden Odd Coupon"="False", "Structured Payment Type"="Fixed", "Payment Date"="2027/06/10", "Payment Amount"="6,000,000,000 KRW", "Payment Procedure Referencer"="", "Real Start Date"="2026/12/10", "Real End Date"="2027/06/10", "Theo Start Date"="2026/12/10", "Theo End Date"="2027/06/10", "Coupon Rate"="1.5 % SMP actual/actual", "Prorated"="True", "Coupon Factor"="2", "Hidden Odd Coupon"="False", "Structured Payment Type"="Fixed", "Payment Date"="2027/12/10", "Payment Amount"="6,000,000,000 KRW", "Payment Procedure Referencer"="", "Real Start Date"="2027/06/10", "Real End Date"="2027/12/10", "Theo Start Date"="2027/06/10", "Theo End Date"="2027/12/10", "Coupon Rate"="1.5 % SMP actual/actual", "Prorated"="True", "Coupon Factor"="2", "Hidden Odd Coupon"="False", "Structured Payment Type"="Fixed", "Payment Date"="2028/06/12", "Payment Amount"="6,000,000,000 KRW", "Payment Procedure Referencer"="", "Real Start Date"="2027/12/10", "Real End Date"="2028/06/12", "Theo Start Date"="2027/12/10", "Theo End Date"="2028/06/10", "Coupon Rate"="1.5 % SMP actual/actual", "Prorated"="True", "Coupon Factor"="2", "Hidden Odd Coupon"="False", "Structured Payment Type"="Fixed", "Payment Date"="2028/12/11", "Payment Amount"="6,000,000,000 KRW", "Payment Procedure Referencer"="", "Real Start Date"="2028/06/12", "Real End Date"="2028/12/11", "Theo Start Date"="2028/06/10", "Theo End Date"="2028/12/10", "Coupon Rate"="1.5 % SMP actual/actual", "Prorated"="True", "Coupon Factor"="2", "Hidden Odd Coupon"="False", "Structured Payment Type"="Fixed", "Payment Date"="2029/06/11", "Payment Amount"="6,000,000,000 KRW", "Payment Procedure Referencer"="", "Real Start Date"="2028/12/11", "Real End Date"="2029/06/11", "Theo Start Date"="2028/12/10", "Theo End Date"="2029/06/10", "Coupon Rate"="1.5 % SMP actual/actual", "Prorated"="True", "Coupon Factor"="2", "Hidden Odd Coupon"="False", "Structured Payment Type"="Fixed", "Payment Date"="2029/12/10", "Payment Amount"="6,000,000,000 KRW", "Payment Procedure Referencer"="", "Real Start Date"="2029/06/11", "Real End Date"="2029/12/10", "Theo Start Date"="2029/06/10", "Theo End Date"="2029/12/10", "Coupon Rate"="1.5 % SMP actual/actual", "Prorated"="True", "Coupon Factor"="2", "Hidden Odd Coupon"="False", "Structured Payment Type"="Fixed", "Payment Date"="2030/06/10", "Payment Amount"="6,000,000,000 KRW", "Payment Procedure Referencer"="", "Real Start Date"="2029/12/10", "Real End Date"="2030/06/10", "Theo Start Date"="2029/12/10", "Theo End Date"="2030/06/10", "Coupon Rate"="1.5 % SMP actual/actual", "Prorated"="True", "Coupon Factor"="2", "Hidden Odd Coupon"="False", "Structured Payment Type"="Fixed", "Payment Date"="2030/12/10", "Payment Amount"="6,000,000,000 KRW", "Payment Procedure Referencer"="", "Real Start Date"="2030/06/10", "Real End Date"="2030/12/10", "Theo Start Date"="2030/06/10", "Theo End Date"="2030/12/10", "Coupon Rate"="1.5 % SMP actual/actual", "Prorated"="True", "Coupon Factor"="2", "Hidden Odd Coupon"="False", "Structured Payment Type"="Notional", "Payment Date"="2030/12/10", "Payment Amount"="6,000,000,000 KRW", "Payment Procedure Referencer"=""</t>
    <phoneticPr fontId="2" type="noConversion"/>
  </si>
  <si>
    <t>Term</t>
  </si>
  <si>
    <t>6 Months</t>
  </si>
  <si>
    <t>THEO/Value</t>
  </si>
  <si>
    <t>THEO/Delta Sensitivity (GIRR)</t>
  </si>
  <si>
    <t>IRKRW-IRS, 3 Months -4,285,184.0878 KRW, IRKRW-IRS, 6 Months -19,929,336.338 KRW, IRKRW-IRS, 1 Years -76,032,012.7487 KRW, IRKRW-IRS, 2 Years -169,621,495.7237 KRW, IRKRW-IRS, 3 Years -407,878,869.8483 KRW, IRKRW-IRS, 5 Years -25,121,259,411.4399 KRW, IRKRW-IRS, 10 Years -5,708,932,351.6178 KRW</t>
  </si>
  <si>
    <t>THEO/Delta Sensitivity (CSR-N)</t>
  </si>
  <si>
    <t>IRKRW-Treasury-CSR-NSEC-B1, 6 Months -24,214,372.9496 KRW, IRKRW-Treasury-CSR-NSEC-B1, 1 Years -160,844,216.938 KRW, IRKRW-Treasury-CSR-NSEC-B1, 3 Years -492,688,562.6698 KRW, IRKRW-Treasury-CSR-NSEC-B1, 5 Years -25,121,259,411.4399 KRW, IRKRW-Treasury-CSR-NSEC-B1, 10 Years -5,708,932,351.6178 KRW</t>
  </si>
  <si>
    <t>KRW,</t>
  </si>
  <si>
    <t>DISCOUNT CURVE</t>
    <phoneticPr fontId="2" type="noConversion"/>
  </si>
  <si>
    <t>Girr</t>
    <phoneticPr fontId="2" type="noConversion"/>
  </si>
  <si>
    <t>Csr</t>
    <phoneticPr fontId="2" type="noConversion"/>
  </si>
  <si>
    <t>DiscRate</t>
    <phoneticPr fontId="2" type="noConversion"/>
  </si>
  <si>
    <t>Algo</t>
    <phoneticPr fontId="2" type="noConversion"/>
  </si>
  <si>
    <t>diff</t>
    <phoneticPr fontId="2" type="noConversion"/>
  </si>
  <si>
    <t>NPV,</t>
  </si>
  <si>
    <t>cleanPrice,</t>
  </si>
  <si>
    <t>dirtyPrice,</t>
  </si>
  <si>
    <t>accruedInterest:</t>
  </si>
  <si>
    <t>NPV</t>
    <phoneticPr fontId="2" type="noConversion"/>
  </si>
  <si>
    <t>cleanPrice</t>
    <phoneticPr fontId="2" type="noConversion"/>
  </si>
  <si>
    <t>dirtyPrice</t>
    <phoneticPr fontId="2" type="noConversion"/>
  </si>
  <si>
    <t>accruedInterest</t>
    <phoneticPr fontId="2" type="noConversion"/>
  </si>
  <si>
    <t>5580240962.62032,</t>
  </si>
  <si>
    <t>5575048654.92801,</t>
  </si>
  <si>
    <t>[0] = {double}</t>
  </si>
  <si>
    <t>[1] = {double}</t>
  </si>
  <si>
    <t>[2] = {double}</t>
  </si>
  <si>
    <t>[3] = {double}</t>
  </si>
  <si>
    <t>[4] = {double}</t>
  </si>
  <si>
    <t>[5] = {double}</t>
  </si>
  <si>
    <t>[6] = {double}</t>
  </si>
  <si>
    <t>[7] = {double}</t>
  </si>
  <si>
    <t>[8] = {double}</t>
  </si>
  <si>
    <t>[9] = {double}</t>
  </si>
  <si>
    <t>[10] = {double}</t>
  </si>
  <si>
    <t>[11] = {double}</t>
  </si>
  <si>
    <t>[12] = {double}</t>
  </si>
  <si>
    <t>[0]</t>
  </si>
  <si>
    <t>=</t>
  </si>
  <si>
    <t>{double}</t>
  </si>
  <si>
    <t>[1]</t>
  </si>
  <si>
    <t>[2]</t>
  </si>
  <si>
    <t>[3]</t>
  </si>
  <si>
    <t>[4]</t>
  </si>
  <si>
    <t>[5]</t>
  </si>
  <si>
    <t>[6]</t>
  </si>
  <si>
    <t>IRKRW-IRS,</t>
  </si>
  <si>
    <t>Months</t>
  </si>
  <si>
    <t>Years</t>
  </si>
  <si>
    <t>Girr[1]:-</t>
  </si>
  <si>
    <t>Girr[2]:-</t>
  </si>
  <si>
    <t>Girr[3]:-</t>
  </si>
  <si>
    <t>Girr[4]:-</t>
  </si>
  <si>
    <t>Girr[5]:-</t>
  </si>
  <si>
    <t>Girr[6]:-</t>
  </si>
  <si>
    <t>Girr[7]:-</t>
  </si>
  <si>
    <t>IRKRW-Treasury-CSR-NSEC-B1,</t>
  </si>
  <si>
    <t>Csr[1]:</t>
  </si>
  <si>
    <t>Csr[2]:</t>
  </si>
  <si>
    <t>Csr[3]:</t>
  </si>
  <si>
    <t>Csr[4]:</t>
  </si>
  <si>
    <t>Csr[5]:</t>
  </si>
  <si>
    <t>[7]</t>
  </si>
  <si>
    <t>[8]</t>
  </si>
  <si>
    <t>[9]</t>
  </si>
  <si>
    <t>[10]</t>
  </si>
  <si>
    <t>[11]</t>
  </si>
  <si>
    <t>[12]</t>
  </si>
  <si>
    <t>금리커브 테너를 Period 형태로 반영</t>
    <phoneticPr fontId="2" type="noConversion"/>
  </si>
  <si>
    <t>5,536,062,000 KRW</t>
    <phoneticPr fontId="2" type="noConversion"/>
  </si>
  <si>
    <t>NPV</t>
  </si>
  <si>
    <t>Girr[1]</t>
  </si>
  <si>
    <t>Girr[2]</t>
  </si>
  <si>
    <t>Girr[3]</t>
  </si>
  <si>
    <t>Girr[4]</t>
  </si>
  <si>
    <t>Girr[5]</t>
  </si>
  <si>
    <t>Girr[6]</t>
  </si>
  <si>
    <t>Girr[7]</t>
  </si>
  <si>
    <t>Girr[8]</t>
  </si>
  <si>
    <t>Girr[9]</t>
  </si>
  <si>
    <t>Girr[10]</t>
  </si>
  <si>
    <t>Csr[1]</t>
  </si>
  <si>
    <t>Csr[2]</t>
  </si>
  <si>
    <t>Csr[3]</t>
  </si>
  <si>
    <t>Csr[4]</t>
  </si>
  <si>
    <t>Csr[5]</t>
  </si>
  <si>
    <t>algo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</si>
</sst>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left" vertical="center"/>
    </xf>
    <xf numFmtId="14" fontId="0" fillId="2" borderId="1" xfId="0" applyNumberFormat="1" applyFill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left" vertical="center"/>
    </xf>
    <xf numFmtId="4" fontId="0" fillId="0" borderId="0" xfId="0" applyNumberFormat="1">
      <alignment vertical="center"/>
    </xf>
    <xf numFmtId="14" fontId="0" fillId="0" borderId="0" xfId="0" applyNumberFormat="1">
      <alignment vertical="center"/>
    </xf>
    <xf numFmtId="3" fontId="0" fillId="0" borderId="1" xfId="0" applyNumberFormat="1" applyBorder="1">
      <alignment vertical="center"/>
    </xf>
    <xf numFmtId="0" fontId="0" fillId="0" borderId="0" xfId="0" applyAlignment="1">
      <alignment horizontal="left"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43" fontId="0" fillId="0" borderId="0" xfId="0" applyNumberFormat="1">
      <alignment vertical="center"/>
    </xf>
    <xf numFmtId="3" fontId="0" fillId="0" borderId="0" xfId="0" applyNumberForma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41" fontId="0" fillId="2" borderId="0" xfId="1" applyFont="1" applyFill="1">
      <alignment vertical="center"/>
    </xf>
    <xf numFmtId="41" fontId="0" fillId="4" borderId="0" xfId="1" applyFont="1" applyFill="1">
      <alignment vertical="center"/>
    </xf>
    <xf numFmtId="4" fontId="0" fillId="2" borderId="0" xfId="0" applyNumberFormat="1" applyFill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BEC72-5D70-4F08-9CE0-32AD8B71A697}">
  <sheetPr codeName="Sheet1"/>
  <dimension ref="A1:K116"/>
  <sheetViews>
    <sheetView topLeftCell="A7" workbookViewId="0">
      <selection activeCell="A45" sqref="A45:C54"/>
    </sheetView>
  </sheetViews>
  <sheetFormatPr defaultRowHeight="16.5" x14ac:dyDescent="0.3"/>
  <cols>
    <col min="1" max="2" width="34.875" customWidth="1"/>
    <col min="3" max="3" width="11.125" bestFit="1" customWidth="1"/>
    <col min="4" max="4" width="14.5" bestFit="1" customWidth="1"/>
    <col min="7" max="7" width="15.625" bestFit="1" customWidth="1"/>
    <col min="8" max="8" width="14.5" bestFit="1" customWidth="1"/>
    <col min="9" max="9" width="11" bestFit="1" customWidth="1"/>
    <col min="11" max="11" width="11" bestFit="1" customWidth="1"/>
    <col min="14" max="15" width="10.125" bestFit="1" customWidth="1"/>
  </cols>
  <sheetData>
    <row r="1" spans="1:2" x14ac:dyDescent="0.3">
      <c r="A1" s="1"/>
      <c r="B1" s="2">
        <v>1</v>
      </c>
    </row>
    <row r="2" spans="1:2" x14ac:dyDescent="0.3">
      <c r="A2" s="1" t="s">
        <v>0</v>
      </c>
      <c r="B2" s="2" t="s">
        <v>1</v>
      </c>
    </row>
    <row r="3" spans="1:2" x14ac:dyDescent="0.3">
      <c r="A3" s="1" t="s">
        <v>2</v>
      </c>
      <c r="B3" s="2" t="s">
        <v>3</v>
      </c>
    </row>
    <row r="4" spans="1:2" x14ac:dyDescent="0.3">
      <c r="A4" s="1" t="s">
        <v>4</v>
      </c>
      <c r="B4" s="2" t="s">
        <v>5</v>
      </c>
    </row>
    <row r="5" spans="1:2" x14ac:dyDescent="0.3">
      <c r="A5" s="1" t="s">
        <v>6</v>
      </c>
      <c r="B5" s="2" t="s">
        <v>7</v>
      </c>
    </row>
    <row r="6" spans="1:2" x14ac:dyDescent="0.3">
      <c r="A6" s="1" t="s">
        <v>8</v>
      </c>
      <c r="B6" s="2" t="s">
        <v>3</v>
      </c>
    </row>
    <row r="7" spans="1:2" x14ac:dyDescent="0.3">
      <c r="A7" s="1" t="s">
        <v>9</v>
      </c>
      <c r="B7" s="2" t="s">
        <v>10</v>
      </c>
    </row>
    <row r="8" spans="1:2" x14ac:dyDescent="0.3">
      <c r="A8" s="1" t="s">
        <v>11</v>
      </c>
      <c r="B8" s="2" t="s">
        <v>12</v>
      </c>
    </row>
    <row r="9" spans="1:2" x14ac:dyDescent="0.3">
      <c r="A9" s="3" t="s">
        <v>13</v>
      </c>
      <c r="B9" s="4" t="s">
        <v>14</v>
      </c>
    </row>
    <row r="10" spans="1:2" x14ac:dyDescent="0.3">
      <c r="A10" s="1" t="s">
        <v>15</v>
      </c>
      <c r="B10" s="2" t="s">
        <v>16</v>
      </c>
    </row>
    <row r="11" spans="1:2" x14ac:dyDescent="0.3">
      <c r="A11" s="1" t="s">
        <v>17</v>
      </c>
      <c r="B11" s="2" t="b">
        <v>1</v>
      </c>
    </row>
    <row r="12" spans="1:2" x14ac:dyDescent="0.3">
      <c r="A12" s="3" t="s">
        <v>18</v>
      </c>
      <c r="B12" s="4" t="s">
        <v>19</v>
      </c>
    </row>
    <row r="13" spans="1:2" x14ac:dyDescent="0.3">
      <c r="A13" s="1" t="s">
        <v>20</v>
      </c>
      <c r="B13" s="2" t="s">
        <v>21</v>
      </c>
    </row>
    <row r="14" spans="1:2" x14ac:dyDescent="0.3">
      <c r="A14" s="1" t="s">
        <v>22</v>
      </c>
      <c r="B14" s="2" t="s">
        <v>23</v>
      </c>
    </row>
    <row r="15" spans="1:2" x14ac:dyDescent="0.3">
      <c r="A15" s="1" t="s">
        <v>24</v>
      </c>
      <c r="B15" s="2" t="s">
        <v>25</v>
      </c>
    </row>
    <row r="16" spans="1:2" x14ac:dyDescent="0.3">
      <c r="A16" s="1" t="s">
        <v>26</v>
      </c>
      <c r="B16" s="2" t="s">
        <v>27</v>
      </c>
    </row>
    <row r="17" spans="1:2" x14ac:dyDescent="0.3">
      <c r="A17" s="1" t="s">
        <v>28</v>
      </c>
      <c r="B17" s="2" t="s">
        <v>29</v>
      </c>
    </row>
    <row r="18" spans="1:2" x14ac:dyDescent="0.3">
      <c r="A18" s="1" t="s">
        <v>30</v>
      </c>
      <c r="B18" s="2" t="s">
        <v>31</v>
      </c>
    </row>
    <row r="19" spans="1:2" x14ac:dyDescent="0.3">
      <c r="A19" s="1" t="s">
        <v>32</v>
      </c>
      <c r="B19" s="2" t="s">
        <v>33</v>
      </c>
    </row>
    <row r="20" spans="1:2" x14ac:dyDescent="0.3">
      <c r="A20" s="3" t="s">
        <v>34</v>
      </c>
      <c r="B20" s="5">
        <v>44175</v>
      </c>
    </row>
    <row r="21" spans="1:2" x14ac:dyDescent="0.3">
      <c r="A21" s="1" t="s">
        <v>35</v>
      </c>
      <c r="B21" s="2">
        <v>483853267</v>
      </c>
    </row>
    <row r="22" spans="1:2" x14ac:dyDescent="0.3">
      <c r="A22" s="3" t="s">
        <v>36</v>
      </c>
      <c r="B22" s="5">
        <v>47827</v>
      </c>
    </row>
    <row r="23" spans="1:2" x14ac:dyDescent="0.3">
      <c r="A23" s="3" t="s">
        <v>37</v>
      </c>
      <c r="B23" s="4" t="s">
        <v>38</v>
      </c>
    </row>
    <row r="24" spans="1:2" x14ac:dyDescent="0.3">
      <c r="A24" s="1" t="s">
        <v>39</v>
      </c>
      <c r="B24" s="6">
        <v>45636</v>
      </c>
    </row>
    <row r="25" spans="1:2" x14ac:dyDescent="0.3">
      <c r="A25" s="7" t="s">
        <v>40</v>
      </c>
      <c r="B25" s="8" t="s">
        <v>41</v>
      </c>
    </row>
    <row r="26" spans="1:2" x14ac:dyDescent="0.3">
      <c r="A26" s="1" t="s">
        <v>42</v>
      </c>
      <c r="B26" s="2">
        <v>4</v>
      </c>
    </row>
    <row r="27" spans="1:2" x14ac:dyDescent="0.3">
      <c r="A27" s="1" t="s">
        <v>43</v>
      </c>
      <c r="B27" s="2" t="s">
        <v>44</v>
      </c>
    </row>
    <row r="28" spans="1:2" x14ac:dyDescent="0.3">
      <c r="A28" s="3" t="s">
        <v>45</v>
      </c>
      <c r="B28" s="4" t="s">
        <v>46</v>
      </c>
    </row>
    <row r="29" spans="1:2" x14ac:dyDescent="0.3">
      <c r="A29" s="1" t="s">
        <v>47</v>
      </c>
      <c r="B29" s="2" t="s">
        <v>48</v>
      </c>
    </row>
    <row r="30" spans="1:2" x14ac:dyDescent="0.3">
      <c r="A30" s="1" t="s">
        <v>49</v>
      </c>
      <c r="B30" s="2" t="s">
        <v>50</v>
      </c>
    </row>
    <row r="31" spans="1:2" x14ac:dyDescent="0.3">
      <c r="A31" s="1" t="s">
        <v>51</v>
      </c>
      <c r="B31" s="2" t="s">
        <v>52</v>
      </c>
    </row>
    <row r="32" spans="1:2" x14ac:dyDescent="0.3">
      <c r="A32" s="1" t="s">
        <v>53</v>
      </c>
      <c r="B32" s="2" t="s">
        <v>120</v>
      </c>
    </row>
    <row r="33" spans="1:7" x14ac:dyDescent="0.3">
      <c r="A33" s="1" t="s">
        <v>54</v>
      </c>
      <c r="B33" s="2" t="s">
        <v>55</v>
      </c>
    </row>
    <row r="34" spans="1:7" x14ac:dyDescent="0.3">
      <c r="A34" s="1" t="s">
        <v>56</v>
      </c>
      <c r="B34" s="2" t="s">
        <v>57</v>
      </c>
    </row>
    <row r="45" spans="1:7" x14ac:dyDescent="0.3">
      <c r="A45" s="1" t="s">
        <v>20</v>
      </c>
      <c r="B45" s="2" t="s">
        <v>21</v>
      </c>
      <c r="C45" s="6">
        <v>45657</v>
      </c>
    </row>
    <row r="46" spans="1:7" x14ac:dyDescent="0.3">
      <c r="B46" s="1">
        <v>183</v>
      </c>
      <c r="C46" s="2">
        <v>0</v>
      </c>
      <c r="D46" s="10">
        <f>$C$45+B46</f>
        <v>45840</v>
      </c>
      <c r="E46">
        <f>C46</f>
        <v>0</v>
      </c>
    </row>
    <row r="47" spans="1:7" x14ac:dyDescent="0.3">
      <c r="B47" s="1">
        <v>365</v>
      </c>
      <c r="C47" s="2">
        <v>0</v>
      </c>
      <c r="D47" s="10">
        <f t="shared" ref="D47:D50" si="0">$C$45+B47</f>
        <v>46022</v>
      </c>
      <c r="E47">
        <f t="shared" ref="E47:E50" si="1">C47</f>
        <v>0</v>
      </c>
    </row>
    <row r="48" spans="1:7" x14ac:dyDescent="0.3">
      <c r="B48" s="11">
        <v>1095</v>
      </c>
      <c r="C48" s="2">
        <v>0</v>
      </c>
      <c r="D48" s="10">
        <f t="shared" si="0"/>
        <v>46752</v>
      </c>
      <c r="E48">
        <f t="shared" si="1"/>
        <v>0</v>
      </c>
      <c r="G48">
        <f>B48/365</f>
        <v>3</v>
      </c>
    </row>
    <row r="49" spans="1:5" x14ac:dyDescent="0.3">
      <c r="B49" s="11">
        <v>1825</v>
      </c>
      <c r="C49" s="2">
        <v>5.0000000000000001E-4</v>
      </c>
      <c r="D49" s="10">
        <f t="shared" si="0"/>
        <v>47482</v>
      </c>
      <c r="E49">
        <f t="shared" si="1"/>
        <v>5.0000000000000001E-4</v>
      </c>
    </row>
    <row r="50" spans="1:5" x14ac:dyDescent="0.3">
      <c r="B50" s="11">
        <v>3650</v>
      </c>
      <c r="C50" s="2">
        <v>1E-3</v>
      </c>
      <c r="D50" s="10">
        <f t="shared" si="0"/>
        <v>49307</v>
      </c>
      <c r="E50">
        <f t="shared" si="1"/>
        <v>1E-3</v>
      </c>
    </row>
    <row r="51" spans="1:5" x14ac:dyDescent="0.3">
      <c r="C51" s="12"/>
    </row>
    <row r="52" spans="1:5" x14ac:dyDescent="0.3">
      <c r="A52" t="s">
        <v>59</v>
      </c>
      <c r="B52" s="1"/>
      <c r="C52" s="6">
        <v>45657</v>
      </c>
    </row>
    <row r="53" spans="1:5" x14ac:dyDescent="0.3">
      <c r="B53" s="1">
        <v>91</v>
      </c>
      <c r="C53" s="2">
        <v>3.3700000000000001E-2</v>
      </c>
      <c r="D53" s="10">
        <f>$C$52+B53</f>
        <v>45748</v>
      </c>
      <c r="E53">
        <f>C53</f>
        <v>3.3700000000000001E-2</v>
      </c>
    </row>
    <row r="54" spans="1:5" x14ac:dyDescent="0.3">
      <c r="B54" s="1">
        <v>183</v>
      </c>
      <c r="C54" s="2">
        <v>3.1699999999999999E-2</v>
      </c>
      <c r="D54" s="10">
        <f t="shared" ref="D54:D62" si="2">$C$52+B54</f>
        <v>45840</v>
      </c>
      <c r="E54">
        <f t="shared" ref="E54:E62" si="3">C54</f>
        <v>3.1699999999999999E-2</v>
      </c>
    </row>
    <row r="55" spans="1:5" x14ac:dyDescent="0.3">
      <c r="B55" s="1">
        <v>365</v>
      </c>
      <c r="C55" s="2">
        <v>2.8500000000000001E-2</v>
      </c>
      <c r="D55" s="10">
        <f t="shared" si="2"/>
        <v>46022</v>
      </c>
      <c r="E55">
        <f t="shared" si="3"/>
        <v>2.8500000000000001E-2</v>
      </c>
    </row>
    <row r="56" spans="1:5" x14ac:dyDescent="0.3">
      <c r="B56" s="1">
        <v>730</v>
      </c>
      <c r="C56" s="2">
        <v>2.7199999999999998E-2</v>
      </c>
      <c r="D56" s="10">
        <f t="shared" si="2"/>
        <v>46387</v>
      </c>
      <c r="E56">
        <f t="shared" si="3"/>
        <v>2.7199999999999998E-2</v>
      </c>
    </row>
    <row r="57" spans="1:5" x14ac:dyDescent="0.3">
      <c r="B57" s="11">
        <v>1095</v>
      </c>
      <c r="C57" s="2">
        <v>2.69E-2</v>
      </c>
      <c r="D57" s="10">
        <f t="shared" si="2"/>
        <v>46752</v>
      </c>
      <c r="E57">
        <f t="shared" si="3"/>
        <v>2.69E-2</v>
      </c>
    </row>
    <row r="58" spans="1:5" x14ac:dyDescent="0.3">
      <c r="B58" s="11">
        <v>1825</v>
      </c>
      <c r="C58" s="2">
        <v>2.7099999999999999E-2</v>
      </c>
      <c r="D58" s="10">
        <f t="shared" si="2"/>
        <v>47482</v>
      </c>
      <c r="E58">
        <f t="shared" si="3"/>
        <v>2.7099999999999999E-2</v>
      </c>
    </row>
    <row r="59" spans="1:5" x14ac:dyDescent="0.3">
      <c r="B59" s="11">
        <v>3650</v>
      </c>
      <c r="C59" s="2">
        <v>2.7799999999999998E-2</v>
      </c>
      <c r="D59" s="10">
        <f t="shared" si="2"/>
        <v>49307</v>
      </c>
      <c r="E59">
        <f t="shared" si="3"/>
        <v>2.7799999999999998E-2</v>
      </c>
    </row>
    <row r="60" spans="1:5" x14ac:dyDescent="0.3">
      <c r="B60" s="11">
        <v>5475</v>
      </c>
      <c r="C60" s="2">
        <v>2.7199999999999998E-2</v>
      </c>
      <c r="D60" s="10">
        <f t="shared" si="2"/>
        <v>51132</v>
      </c>
      <c r="E60">
        <f t="shared" si="3"/>
        <v>2.7199999999999998E-2</v>
      </c>
    </row>
    <row r="61" spans="1:5" x14ac:dyDescent="0.3">
      <c r="B61" s="11">
        <v>7300</v>
      </c>
      <c r="C61" s="2">
        <v>2.5399999999999999E-2</v>
      </c>
      <c r="D61" s="10">
        <f t="shared" si="2"/>
        <v>52957</v>
      </c>
      <c r="E61">
        <f t="shared" si="3"/>
        <v>2.5399999999999999E-2</v>
      </c>
    </row>
    <row r="62" spans="1:5" x14ac:dyDescent="0.3">
      <c r="B62" s="11">
        <v>10950</v>
      </c>
      <c r="C62" s="2">
        <v>2.2200000000000001E-2</v>
      </c>
      <c r="D62" s="10">
        <f t="shared" si="2"/>
        <v>56607</v>
      </c>
      <c r="E62">
        <f t="shared" si="3"/>
        <v>2.2200000000000001E-2</v>
      </c>
    </row>
    <row r="69" spans="1:11" x14ac:dyDescent="0.3">
      <c r="K69">
        <f>K70+K71</f>
        <v>0.24645557302193277</v>
      </c>
    </row>
    <row r="70" spans="1:11" x14ac:dyDescent="0.3">
      <c r="H70" s="10">
        <v>45641</v>
      </c>
      <c r="I70" s="10">
        <v>45657</v>
      </c>
      <c r="J70">
        <f>I70-H70</f>
        <v>16</v>
      </c>
      <c r="K70">
        <f>J70/366</f>
        <v>4.3715846994535519E-2</v>
      </c>
    </row>
    <row r="71" spans="1:11" x14ac:dyDescent="0.3">
      <c r="H71" s="10">
        <f>I70</f>
        <v>45657</v>
      </c>
      <c r="I71" s="10">
        <v>45731</v>
      </c>
      <c r="J71">
        <f>I71-H71</f>
        <v>74</v>
      </c>
      <c r="K71">
        <f>J71/365</f>
        <v>0.20273972602739726</v>
      </c>
    </row>
    <row r="72" spans="1:11" x14ac:dyDescent="0.3">
      <c r="I72">
        <f>I71-H70</f>
        <v>90</v>
      </c>
    </row>
    <row r="74" spans="1:11" x14ac:dyDescent="0.3">
      <c r="A74" t="s">
        <v>97</v>
      </c>
      <c r="B74">
        <v>3</v>
      </c>
      <c r="C74" t="s">
        <v>98</v>
      </c>
      <c r="D74" s="19">
        <v>-4285184.0877999999</v>
      </c>
      <c r="F74" t="s">
        <v>90</v>
      </c>
      <c r="G74">
        <v>-466.28487682342501</v>
      </c>
      <c r="H74" s="20">
        <f>G74*10000</f>
        <v>-4662848.7682342501</v>
      </c>
      <c r="I74" s="13">
        <f>D74-H74</f>
        <v>377664.68043425027</v>
      </c>
      <c r="J74" s="15">
        <f t="shared" ref="J74:J78" si="4">I74/6000000000*10000</f>
        <v>0.6294411340570838</v>
      </c>
    </row>
    <row r="75" spans="1:11" x14ac:dyDescent="0.3">
      <c r="A75" t="s">
        <v>97</v>
      </c>
      <c r="B75">
        <v>6</v>
      </c>
      <c r="C75" t="s">
        <v>98</v>
      </c>
      <c r="D75" s="19">
        <v>-19929336.338</v>
      </c>
      <c r="F75" t="s">
        <v>90</v>
      </c>
      <c r="G75">
        <v>-1960.5161972045801</v>
      </c>
      <c r="H75" s="20">
        <f t="shared" ref="H75:H80" si="5">G75*10000</f>
        <v>-19605161.972045802</v>
      </c>
      <c r="I75" s="13">
        <f t="shared" ref="I75:I80" si="6">D75-H75</f>
        <v>-324174.36595419794</v>
      </c>
      <c r="J75" s="15">
        <f t="shared" si="4"/>
        <v>-0.54029060992366318</v>
      </c>
      <c r="K75" s="14"/>
    </row>
    <row r="76" spans="1:11" x14ac:dyDescent="0.3">
      <c r="A76" t="s">
        <v>97</v>
      </c>
      <c r="B76">
        <v>1</v>
      </c>
      <c r="C76" t="s">
        <v>99</v>
      </c>
      <c r="D76" s="19">
        <v>-76032012.748699993</v>
      </c>
      <c r="F76" t="s">
        <v>90</v>
      </c>
      <c r="G76">
        <v>-7597.9390306472696</v>
      </c>
      <c r="H76" s="20">
        <f t="shared" si="5"/>
        <v>-75979390.306472704</v>
      </c>
      <c r="I76" s="13">
        <f t="shared" si="6"/>
        <v>-52622.442227289081</v>
      </c>
      <c r="J76" s="15">
        <f t="shared" si="4"/>
        <v>-8.7704070378815127E-2</v>
      </c>
    </row>
    <row r="77" spans="1:11" x14ac:dyDescent="0.3">
      <c r="A77" t="s">
        <v>97</v>
      </c>
      <c r="B77">
        <v>2</v>
      </c>
      <c r="C77" t="s">
        <v>99</v>
      </c>
      <c r="D77" s="19">
        <v>-169621495.72369999</v>
      </c>
      <c r="F77" t="s">
        <v>90</v>
      </c>
      <c r="G77">
        <v>-16961.4943838119</v>
      </c>
      <c r="H77" s="20">
        <f t="shared" si="5"/>
        <v>-169614943.838119</v>
      </c>
      <c r="I77" s="13">
        <f t="shared" si="6"/>
        <v>-6551.8855809867382</v>
      </c>
      <c r="J77" s="15">
        <f t="shared" si="4"/>
        <v>-1.0919809301644563E-2</v>
      </c>
    </row>
    <row r="78" spans="1:11" x14ac:dyDescent="0.3">
      <c r="A78" t="s">
        <v>97</v>
      </c>
      <c r="B78">
        <v>3</v>
      </c>
      <c r="C78" t="s">
        <v>99</v>
      </c>
      <c r="D78" s="19">
        <v>-407878869.84829998</v>
      </c>
      <c r="F78" t="s">
        <v>90</v>
      </c>
      <c r="G78">
        <v>-40734.219817161502</v>
      </c>
      <c r="H78" s="20">
        <f t="shared" si="5"/>
        <v>-407342198.171615</v>
      </c>
      <c r="I78" s="13">
        <f t="shared" si="6"/>
        <v>-536671.67668497562</v>
      </c>
      <c r="J78" s="15">
        <f t="shared" si="4"/>
        <v>-0.8944527944749594</v>
      </c>
    </row>
    <row r="79" spans="1:11" x14ac:dyDescent="0.3">
      <c r="A79" t="s">
        <v>97</v>
      </c>
      <c r="B79">
        <v>5</v>
      </c>
      <c r="C79" t="s">
        <v>99</v>
      </c>
      <c r="D79" s="19">
        <v>-25121259411.439899</v>
      </c>
      <c r="F79" t="s">
        <v>90</v>
      </c>
      <c r="G79">
        <v>-2510305.37609004</v>
      </c>
      <c r="H79" s="20">
        <f t="shared" si="5"/>
        <v>-25103053760.900398</v>
      </c>
      <c r="I79" s="13">
        <f t="shared" si="6"/>
        <v>-18205650.53950119</v>
      </c>
      <c r="J79" s="15">
        <f>I79/6000000000*10000</f>
        <v>-30.342750899168649</v>
      </c>
    </row>
    <row r="80" spans="1:11" x14ac:dyDescent="0.3">
      <c r="A80" t="s">
        <v>97</v>
      </c>
      <c r="B80">
        <v>10</v>
      </c>
      <c r="C80" t="s">
        <v>99</v>
      </c>
      <c r="D80" s="19">
        <v>-5708932351.6177998</v>
      </c>
      <c r="F80" t="s">
        <v>90</v>
      </c>
      <c r="G80">
        <v>-572894.66892623901</v>
      </c>
      <c r="H80" s="20">
        <f t="shared" si="5"/>
        <v>-5728946689.2623901</v>
      </c>
      <c r="I80" s="13">
        <f t="shared" si="6"/>
        <v>20014337.644590378</v>
      </c>
      <c r="J80" s="15">
        <f t="shared" ref="J80" si="7">I80/6000000000*10000</f>
        <v>33.357229407650628</v>
      </c>
    </row>
    <row r="81" spans="1:10" x14ac:dyDescent="0.3">
      <c r="D81" s="13"/>
      <c r="H81" s="13"/>
      <c r="I81" s="13"/>
      <c r="J81" s="15"/>
    </row>
    <row r="82" spans="1:10" x14ac:dyDescent="0.3">
      <c r="F82" t="s">
        <v>119</v>
      </c>
    </row>
    <row r="83" spans="1:10" x14ac:dyDescent="0.3">
      <c r="F83" t="s">
        <v>100</v>
      </c>
      <c r="G83">
        <v>428.56103229522699</v>
      </c>
      <c r="H83" s="20">
        <f>-G83*10000</f>
        <v>-4285610.3229522696</v>
      </c>
      <c r="I83" s="14">
        <f t="shared" ref="I83:I89" si="8">H83-D74</f>
        <v>-426.23515226971358</v>
      </c>
      <c r="J83" s="15">
        <f t="shared" ref="J83:J89" si="9">I83/6000000000*10000</f>
        <v>-7.1039192044952259E-4</v>
      </c>
    </row>
    <row r="84" spans="1:10" x14ac:dyDescent="0.3">
      <c r="F84" t="s">
        <v>101</v>
      </c>
      <c r="G84">
        <v>1993.09054946899</v>
      </c>
      <c r="H84" s="20">
        <f t="shared" ref="H84:H89" si="10">-G84*10000</f>
        <v>-19930905.4946899</v>
      </c>
      <c r="I84" s="14">
        <f t="shared" si="8"/>
        <v>-1569.1566899009049</v>
      </c>
      <c r="J84" s="15">
        <f t="shared" si="9"/>
        <v>-2.6152611498348414E-3</v>
      </c>
    </row>
    <row r="85" spans="1:10" x14ac:dyDescent="0.3">
      <c r="F85" t="s">
        <v>102</v>
      </c>
      <c r="G85">
        <v>7603.1361665725699</v>
      </c>
      <c r="H85" s="20">
        <f t="shared" si="10"/>
        <v>-76031361.665725693</v>
      </c>
      <c r="I85" s="14">
        <f t="shared" si="8"/>
        <v>651.08297429978848</v>
      </c>
      <c r="J85" s="15">
        <f t="shared" si="9"/>
        <v>1.0851382904996474E-3</v>
      </c>
    </row>
    <row r="86" spans="1:10" x14ac:dyDescent="0.3">
      <c r="F86" t="s">
        <v>103</v>
      </c>
      <c r="G86">
        <v>16961.494383812002</v>
      </c>
      <c r="H86" s="20">
        <f t="shared" si="10"/>
        <v>-169614943.83812001</v>
      </c>
      <c r="I86" s="14">
        <f t="shared" si="8"/>
        <v>6551.8855799734592</v>
      </c>
      <c r="J86" s="15">
        <f t="shared" si="9"/>
        <v>1.0919809299955766E-2</v>
      </c>
    </row>
    <row r="87" spans="1:10" x14ac:dyDescent="0.3">
      <c r="F87" t="s">
        <v>104</v>
      </c>
      <c r="G87">
        <v>40791.783232688897</v>
      </c>
      <c r="H87" s="20">
        <f t="shared" si="10"/>
        <v>-407917832.32688898</v>
      </c>
      <c r="I87" s="14">
        <f t="shared" si="8"/>
        <v>-38962.478588998318</v>
      </c>
      <c r="J87" s="15">
        <f t="shared" si="9"/>
        <v>-6.4937464314997195E-2</v>
      </c>
    </row>
    <row r="88" spans="1:10" x14ac:dyDescent="0.3">
      <c r="F88" t="s">
        <v>105</v>
      </c>
      <c r="G88">
        <v>2512233.1756381998</v>
      </c>
      <c r="H88" s="20">
        <f t="shared" si="10"/>
        <v>-25122331756.381996</v>
      </c>
      <c r="I88" s="14">
        <f t="shared" si="8"/>
        <v>-1072344.9420967102</v>
      </c>
      <c r="J88" s="15">
        <f t="shared" si="9"/>
        <v>-1.7872415701611837</v>
      </c>
    </row>
    <row r="89" spans="1:10" x14ac:dyDescent="0.3">
      <c r="F89" t="s">
        <v>106</v>
      </c>
      <c r="G89">
        <v>570916.870883942</v>
      </c>
      <c r="H89" s="20">
        <f t="shared" si="10"/>
        <v>-5709168708.8394203</v>
      </c>
      <c r="I89" s="14">
        <f t="shared" si="8"/>
        <v>-236357.22162055969</v>
      </c>
      <c r="J89" s="15">
        <f t="shared" si="9"/>
        <v>-0.39392870270093278</v>
      </c>
    </row>
    <row r="93" spans="1:10" x14ac:dyDescent="0.3">
      <c r="A93" t="s">
        <v>107</v>
      </c>
      <c r="B93">
        <v>6</v>
      </c>
      <c r="C93" t="s">
        <v>98</v>
      </c>
      <c r="D93" s="21">
        <v>-24214372.9496</v>
      </c>
      <c r="E93" t="s">
        <v>58</v>
      </c>
      <c r="F93" t="s">
        <v>108</v>
      </c>
      <c r="G93">
        <v>-2206.1700496673602</v>
      </c>
      <c r="H93" s="20">
        <v>-24214973.230361938</v>
      </c>
      <c r="I93" s="14">
        <f t="shared" ref="I93:I95" si="11">D93-H93</f>
        <v>600.28076193854213</v>
      </c>
      <c r="J93" s="15">
        <f t="shared" ref="J93:J97" si="12">I93/6000000000*10000</f>
        <v>1.0004679365642369E-3</v>
      </c>
    </row>
    <row r="94" spans="1:10" x14ac:dyDescent="0.3">
      <c r="A94" t="s">
        <v>107</v>
      </c>
      <c r="B94">
        <v>1</v>
      </c>
      <c r="C94" t="s">
        <v>99</v>
      </c>
      <c r="D94" s="21">
        <v>-160844216.93799999</v>
      </c>
      <c r="E94" t="s">
        <v>58</v>
      </c>
      <c r="F94" t="s">
        <v>109</v>
      </c>
      <c r="G94">
        <v>-16084.0289802551</v>
      </c>
      <c r="H94" s="20">
        <f t="shared" ref="H94:H95" si="13">10000*G94</f>
        <v>-160840289.802551</v>
      </c>
      <c r="I94" s="14">
        <f t="shared" si="11"/>
        <v>-3927.1354489922523</v>
      </c>
      <c r="J94" s="15">
        <f t="shared" si="12"/>
        <v>-6.5452257483204204E-3</v>
      </c>
    </row>
    <row r="95" spans="1:10" x14ac:dyDescent="0.3">
      <c r="A95" t="s">
        <v>107</v>
      </c>
      <c r="B95">
        <v>3</v>
      </c>
      <c r="C95" t="s">
        <v>99</v>
      </c>
      <c r="D95" s="21">
        <v>-492688562.66979998</v>
      </c>
      <c r="E95" t="s">
        <v>58</v>
      </c>
      <c r="F95" t="s">
        <v>110</v>
      </c>
      <c r="G95">
        <v>-49272.453923225403</v>
      </c>
      <c r="H95" s="20">
        <f t="shared" si="13"/>
        <v>-492724539.23225403</v>
      </c>
      <c r="I95" s="14">
        <f t="shared" si="11"/>
        <v>35976.562454044819</v>
      </c>
      <c r="J95" s="15">
        <f t="shared" si="12"/>
        <v>5.996093742340803E-2</v>
      </c>
    </row>
    <row r="96" spans="1:10" x14ac:dyDescent="0.3">
      <c r="A96" t="s">
        <v>107</v>
      </c>
      <c r="B96">
        <v>5</v>
      </c>
      <c r="C96" t="s">
        <v>99</v>
      </c>
      <c r="D96" s="19">
        <v>-25121259411.439899</v>
      </c>
      <c r="E96" t="s">
        <v>58</v>
      </c>
      <c r="F96" t="s">
        <v>111</v>
      </c>
      <c r="G96">
        <v>-2512238.0518207601</v>
      </c>
      <c r="H96" s="20">
        <f>10000*G96</f>
        <v>-25122380518.2076</v>
      </c>
      <c r="I96" s="14">
        <f>D96-H96</f>
        <v>1121106.7677001953</v>
      </c>
      <c r="J96" s="15">
        <f t="shared" si="12"/>
        <v>1.8685112795003254</v>
      </c>
    </row>
    <row r="97" spans="1:10" x14ac:dyDescent="0.3">
      <c r="A97" t="s">
        <v>107</v>
      </c>
      <c r="B97">
        <v>10</v>
      </c>
      <c r="C97" t="s">
        <v>99</v>
      </c>
      <c r="D97" s="19">
        <v>-5708932351.6177998</v>
      </c>
      <c r="E97" t="s">
        <v>23</v>
      </c>
      <c r="F97" t="s">
        <v>112</v>
      </c>
      <c r="G97">
        <v>-570917.97542095196</v>
      </c>
      <c r="H97" s="20">
        <f t="shared" ref="H97" si="14">10000*G97</f>
        <v>-5709179754.2095194</v>
      </c>
      <c r="I97" s="14">
        <f t="shared" ref="I97" si="15">D97-H97</f>
        <v>247402.59171962738</v>
      </c>
      <c r="J97" s="15">
        <f t="shared" si="12"/>
        <v>0.41233765286604562</v>
      </c>
    </row>
    <row r="100" spans="1:10" x14ac:dyDescent="0.3">
      <c r="F100" t="s">
        <v>137</v>
      </c>
      <c r="G100" s="16">
        <v>5536062000</v>
      </c>
    </row>
    <row r="101" spans="1:10" x14ac:dyDescent="0.3">
      <c r="F101" t="s">
        <v>121</v>
      </c>
      <c r="G101" s="13">
        <v>5536303088.8770905</v>
      </c>
      <c r="H101" s="14">
        <f>G101-G100</f>
        <v>241088.8770904541</v>
      </c>
    </row>
    <row r="102" spans="1:10" x14ac:dyDescent="0.3">
      <c r="F102" t="s">
        <v>122</v>
      </c>
      <c r="G102" s="13">
        <v>-4285230.3123474102</v>
      </c>
      <c r="H102" s="14">
        <f>G102-D74</f>
        <v>-46.224547410383821</v>
      </c>
    </row>
    <row r="103" spans="1:10" x14ac:dyDescent="0.3">
      <c r="F103" t="s">
        <v>123</v>
      </c>
      <c r="G103" s="13">
        <v>-19929556.503295898</v>
      </c>
      <c r="H103" s="14">
        <f t="shared" ref="H103:H116" si="16">G103-D75</f>
        <v>-220.16529589891434</v>
      </c>
    </row>
    <row r="104" spans="1:10" x14ac:dyDescent="0.3">
      <c r="F104" t="s">
        <v>124</v>
      </c>
      <c r="G104" s="13">
        <v>-76031361.656188995</v>
      </c>
      <c r="H104" s="14">
        <f t="shared" si="16"/>
        <v>651.09251099824905</v>
      </c>
    </row>
    <row r="105" spans="1:10" x14ac:dyDescent="0.3">
      <c r="F105" t="s">
        <v>125</v>
      </c>
      <c r="G105" s="13">
        <v>-169614943.828583</v>
      </c>
      <c r="H105" s="14">
        <f t="shared" si="16"/>
        <v>6551.8951169848442</v>
      </c>
    </row>
    <row r="106" spans="1:10" x14ac:dyDescent="0.3">
      <c r="F106" t="s">
        <v>126</v>
      </c>
      <c r="G106" s="13">
        <v>-407919024.477005</v>
      </c>
      <c r="H106" s="14">
        <f t="shared" si="16"/>
        <v>-40154.628705024719</v>
      </c>
    </row>
    <row r="107" spans="1:10" x14ac:dyDescent="0.3">
      <c r="F107" t="s">
        <v>127</v>
      </c>
      <c r="G107" s="13">
        <v>-25122379087.3909</v>
      </c>
      <c r="H107" s="14">
        <f t="shared" si="16"/>
        <v>-1119675.9510002136</v>
      </c>
    </row>
    <row r="108" spans="1:10" x14ac:dyDescent="0.3">
      <c r="F108" t="s">
        <v>128</v>
      </c>
      <c r="G108" s="13">
        <v>-5709179754.2095203</v>
      </c>
      <c r="H108" s="14">
        <f t="shared" si="16"/>
        <v>-247402.59172058105</v>
      </c>
    </row>
    <row r="109" spans="1:10" x14ac:dyDescent="0.3">
      <c r="F109" t="s">
        <v>129</v>
      </c>
      <c r="G109" s="13">
        <v>0</v>
      </c>
      <c r="H109" s="14">
        <f t="shared" si="16"/>
        <v>0</v>
      </c>
    </row>
    <row r="110" spans="1:10" x14ac:dyDescent="0.3">
      <c r="F110" t="s">
        <v>130</v>
      </c>
      <c r="G110" s="13">
        <v>0</v>
      </c>
      <c r="H110" s="14">
        <f t="shared" si="16"/>
        <v>0</v>
      </c>
    </row>
    <row r="111" spans="1:10" x14ac:dyDescent="0.3">
      <c r="F111" t="s">
        <v>131</v>
      </c>
      <c r="G111" s="13">
        <v>0</v>
      </c>
      <c r="H111" s="14">
        <f t="shared" si="16"/>
        <v>0</v>
      </c>
    </row>
    <row r="112" spans="1:10" x14ac:dyDescent="0.3">
      <c r="F112" t="s">
        <v>132</v>
      </c>
      <c r="G112" s="13">
        <v>-24214639.339446999</v>
      </c>
      <c r="H112" s="14">
        <f>G112-D93</f>
        <v>-266.3898469991982</v>
      </c>
    </row>
    <row r="113" spans="6:8" x14ac:dyDescent="0.3">
      <c r="F113" t="s">
        <v>133</v>
      </c>
      <c r="G113" s="13">
        <v>-160840289.802551</v>
      </c>
      <c r="H113" s="14">
        <f t="shared" ref="H113:H116" si="17">G113-D94</f>
        <v>3927.1354489922523</v>
      </c>
    </row>
    <row r="114" spans="6:8" x14ac:dyDescent="0.3">
      <c r="F114" t="s">
        <v>134</v>
      </c>
      <c r="G114" s="13">
        <v>-492725441.14112902</v>
      </c>
      <c r="H114" s="14">
        <f t="shared" si="17"/>
        <v>-36878.471329033375</v>
      </c>
    </row>
    <row r="115" spans="6:8" x14ac:dyDescent="0.3">
      <c r="F115" t="s">
        <v>135</v>
      </c>
      <c r="G115" s="13">
        <v>-25122379087.400398</v>
      </c>
      <c r="H115" s="14">
        <f t="shared" si="17"/>
        <v>-1119675.9604988098</v>
      </c>
    </row>
    <row r="116" spans="6:8" x14ac:dyDescent="0.3">
      <c r="F116" t="s">
        <v>136</v>
      </c>
      <c r="G116" s="13">
        <v>-5709179754.2095203</v>
      </c>
      <c r="H116" s="14">
        <f t="shared" si="17"/>
        <v>-247402.59172058105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CFCA0-4655-49BE-A703-8C664DE2ACAE}">
  <sheetPr codeName="Sheet2"/>
  <dimension ref="A1:U79"/>
  <sheetViews>
    <sheetView tabSelected="1" zoomScaleNormal="100" workbookViewId="0">
      <selection activeCell="I15" sqref="I15"/>
    </sheetView>
  </sheetViews>
  <sheetFormatPr defaultRowHeight="16.5" x14ac:dyDescent="0.3"/>
  <cols>
    <col min="1" max="1" width="11.125" bestFit="1" customWidth="1"/>
    <col min="2" max="2" width="11.125" customWidth="1"/>
    <col min="3" max="3" width="15.5" bestFit="1" customWidth="1"/>
    <col min="4" max="4" width="10.875" bestFit="1" customWidth="1"/>
    <col min="5" max="5" width="11.875" bestFit="1" customWidth="1"/>
    <col min="9" max="9" width="17.25" bestFit="1" customWidth="1"/>
    <col min="10" max="10" width="17.125" bestFit="1" customWidth="1"/>
    <col min="11" max="11" width="14.625" customWidth="1"/>
    <col min="12" max="12" width="13.625" bestFit="1" customWidth="1"/>
    <col min="13" max="13" width="11.125" customWidth="1"/>
    <col min="16" max="16" width="11.125" bestFit="1" customWidth="1"/>
  </cols>
  <sheetData>
    <row r="1" spans="1:18" x14ac:dyDescent="0.3">
      <c r="E1" t="s">
        <v>60</v>
      </c>
      <c r="F1" t="s">
        <v>61</v>
      </c>
      <c r="G1" t="s">
        <v>62</v>
      </c>
      <c r="L1" s="17">
        <v>45657</v>
      </c>
      <c r="M1" s="17"/>
      <c r="Q1">
        <v>1.389E-3</v>
      </c>
    </row>
    <row r="2" spans="1:18" x14ac:dyDescent="0.3">
      <c r="A2" s="10">
        <v>45636</v>
      </c>
      <c r="B2" s="10">
        <v>45818</v>
      </c>
      <c r="C2" s="9">
        <v>44862564.563199997</v>
      </c>
      <c r="D2" t="s">
        <v>58</v>
      </c>
      <c r="E2">
        <f>interp_rate(B2,$L$2:$L$12,$M$2:$M$12)</f>
        <v>3.213478260869565E-2</v>
      </c>
      <c r="F2">
        <f>interp_rate(B2,$P$2:$P$7,$Q$2:$Q$7)</f>
        <v>1.4890000000000001E-3</v>
      </c>
      <c r="G2">
        <f>E2+F2</f>
        <v>3.3623782608695647E-2</v>
      </c>
      <c r="H2">
        <f>EXP(-G2*(B2-$L$1)/365)</f>
        <v>0.98527812985878749</v>
      </c>
      <c r="I2" s="13">
        <f>C2*H2</f>
        <v>44202103.713498801</v>
      </c>
      <c r="J2">
        <v>0</v>
      </c>
      <c r="K2">
        <v>45657</v>
      </c>
      <c r="L2" s="10">
        <f>J2+K2</f>
        <v>45657</v>
      </c>
      <c r="M2">
        <f>N2+O2</f>
        <v>3.3700000000000001E-2</v>
      </c>
      <c r="N2">
        <v>3.3700000000000001E-2</v>
      </c>
      <c r="O2">
        <v>0</v>
      </c>
      <c r="P2" s="10">
        <f>L3</f>
        <v>45746</v>
      </c>
      <c r="Q2">
        <f>$Q$1+R2</f>
        <v>1.4890000000000001E-3</v>
      </c>
      <c r="R2">
        <v>1E-4</v>
      </c>
    </row>
    <row r="3" spans="1:18" x14ac:dyDescent="0.3">
      <c r="A3" s="10">
        <v>45818</v>
      </c>
      <c r="B3" s="10">
        <v>46001</v>
      </c>
      <c r="C3" s="9">
        <v>45123287.6712</v>
      </c>
      <c r="D3" t="s">
        <v>58</v>
      </c>
      <c r="E3">
        <f t="shared" ref="E3:E14" si="0">interp_rate(B3,$L$2:$L$12,$M$2:$M$12)</f>
        <v>2.8865217391304349E-2</v>
      </c>
      <c r="F3">
        <f t="shared" ref="F3:F14" si="1">interp_rate(B3,$P$3:$P$7,$Q$3:$Q$7)</f>
        <v>1.400413043478261E-3</v>
      </c>
      <c r="G3">
        <f t="shared" ref="G3:G14" si="2">E3+F3</f>
        <v>3.0265630434782611E-2</v>
      </c>
      <c r="H3">
        <f t="shared" ref="H3:H14" si="3">EXP(-G3*(B3-$L$1)/365)</f>
        <v>0.9718786575845324</v>
      </c>
      <c r="I3" s="13">
        <f t="shared" ref="I3:I14" si="4">C3*H3</f>
        <v>43854360.247686535</v>
      </c>
      <c r="J3">
        <v>-2</v>
      </c>
      <c r="K3">
        <v>45748</v>
      </c>
      <c r="L3" s="10">
        <f t="shared" ref="L3:L12" si="5">J3+K3</f>
        <v>45746</v>
      </c>
      <c r="M3">
        <f>N3+O3</f>
        <v>3.3700000000000001E-2</v>
      </c>
      <c r="N3">
        <v>3.3700000000000001E-2</v>
      </c>
      <c r="O3">
        <v>0</v>
      </c>
      <c r="P3" s="10">
        <f>L4</f>
        <v>45838</v>
      </c>
      <c r="Q3">
        <f>$Q$1+R3</f>
        <v>1.4890000000000001E-3</v>
      </c>
      <c r="R3">
        <v>1E-4</v>
      </c>
    </row>
    <row r="4" spans="1:18" x14ac:dyDescent="0.3">
      <c r="A4" s="10">
        <v>46001</v>
      </c>
      <c r="B4" s="10">
        <v>46183</v>
      </c>
      <c r="C4" s="9">
        <v>44876712.3288</v>
      </c>
      <c r="D4" t="s">
        <v>58</v>
      </c>
      <c r="E4">
        <f t="shared" si="0"/>
        <v>2.7926575342465752E-2</v>
      </c>
      <c r="F4">
        <f t="shared" si="1"/>
        <v>1.389E-3</v>
      </c>
      <c r="G4">
        <f t="shared" si="2"/>
        <v>2.9315575342465754E-2</v>
      </c>
      <c r="H4">
        <f t="shared" si="3"/>
        <v>0.95863339543107295</v>
      </c>
      <c r="I4" s="13">
        <f t="shared" si="4"/>
        <v>43020315.115541041</v>
      </c>
      <c r="J4">
        <v>-2</v>
      </c>
      <c r="K4">
        <v>45840</v>
      </c>
      <c r="L4" s="10">
        <f t="shared" si="5"/>
        <v>45838</v>
      </c>
      <c r="M4">
        <f t="shared" ref="M4:M12" si="6">N4+O4</f>
        <v>3.1699999999999999E-2</v>
      </c>
      <c r="N4">
        <v>3.1699999999999999E-2</v>
      </c>
      <c r="O4">
        <v>0</v>
      </c>
      <c r="P4" s="10">
        <v>46022</v>
      </c>
      <c r="Q4">
        <f t="shared" ref="Q4:Q7" si="7">$Q$1+R4</f>
        <v>1.389E-3</v>
      </c>
      <c r="R4">
        <v>0</v>
      </c>
    </row>
    <row r="5" spans="1:18" x14ac:dyDescent="0.3">
      <c r="A5" s="10">
        <v>46183</v>
      </c>
      <c r="B5" s="10">
        <v>46366</v>
      </c>
      <c r="C5" s="9">
        <v>45123287.6712</v>
      </c>
      <c r="D5" t="s">
        <v>58</v>
      </c>
      <c r="E5">
        <f t="shared" si="0"/>
        <v>2.7274794520547943E-2</v>
      </c>
      <c r="F5">
        <f t="shared" si="1"/>
        <v>1.389E-3</v>
      </c>
      <c r="G5">
        <f t="shared" si="2"/>
        <v>2.8663794520547944E-2</v>
      </c>
      <c r="H5">
        <f t="shared" si="3"/>
        <v>0.94584323308329843</v>
      </c>
      <c r="I5" s="13">
        <f t="shared" si="4"/>
        <v>42679556.298275545</v>
      </c>
      <c r="K5">
        <v>46022</v>
      </c>
      <c r="L5" s="10">
        <f t="shared" si="5"/>
        <v>46022</v>
      </c>
      <c r="M5">
        <f t="shared" si="6"/>
        <v>2.8500000000000001E-2</v>
      </c>
      <c r="N5">
        <v>2.8500000000000001E-2</v>
      </c>
      <c r="O5">
        <v>0</v>
      </c>
      <c r="P5" s="10">
        <v>46752</v>
      </c>
      <c r="Q5">
        <f t="shared" si="7"/>
        <v>1.389E-3</v>
      </c>
      <c r="R5">
        <v>0</v>
      </c>
    </row>
    <row r="6" spans="1:18" x14ac:dyDescent="0.3">
      <c r="A6" s="10">
        <v>46366</v>
      </c>
      <c r="B6" s="10">
        <v>46548</v>
      </c>
      <c r="C6" s="9">
        <v>44876712.3288</v>
      </c>
      <c r="D6" t="s">
        <v>58</v>
      </c>
      <c r="E6">
        <f t="shared" si="0"/>
        <v>2.7067671232876712E-2</v>
      </c>
      <c r="F6">
        <f t="shared" si="1"/>
        <v>1.389E-3</v>
      </c>
      <c r="G6">
        <f t="shared" si="2"/>
        <v>2.8456671232876714E-2</v>
      </c>
      <c r="H6">
        <f t="shared" si="3"/>
        <v>0.93289235194351006</v>
      </c>
      <c r="I6" s="13">
        <f t="shared" si="4"/>
        <v>41865141.711906545</v>
      </c>
      <c r="K6">
        <v>46387</v>
      </c>
      <c r="L6" s="10">
        <f t="shared" si="5"/>
        <v>46387</v>
      </c>
      <c r="M6">
        <f t="shared" si="6"/>
        <v>2.7199999999999998E-2</v>
      </c>
      <c r="N6">
        <v>2.7199999999999998E-2</v>
      </c>
      <c r="O6">
        <v>0</v>
      </c>
      <c r="P6" s="10">
        <v>47483</v>
      </c>
      <c r="Q6">
        <f t="shared" si="7"/>
        <v>1.8890000000000001E-3</v>
      </c>
      <c r="R6">
        <v>5.0000000000000001E-4</v>
      </c>
    </row>
    <row r="7" spans="1:18" x14ac:dyDescent="0.3">
      <c r="A7" s="10">
        <v>46548</v>
      </c>
      <c r="B7" s="10">
        <v>46731</v>
      </c>
      <c r="C7" s="9">
        <v>45123287.6712</v>
      </c>
      <c r="D7" t="s">
        <v>58</v>
      </c>
      <c r="E7">
        <f t="shared" si="0"/>
        <v>2.6917260273972603E-2</v>
      </c>
      <c r="F7">
        <f t="shared" si="1"/>
        <v>1.389E-3</v>
      </c>
      <c r="G7">
        <f t="shared" si="2"/>
        <v>2.8306260273972605E-2</v>
      </c>
      <c r="H7">
        <f t="shared" si="3"/>
        <v>0.92008409872090013</v>
      </c>
      <c r="I7" s="13">
        <f t="shared" si="4"/>
        <v>41517219.468279958</v>
      </c>
      <c r="J7">
        <v>0</v>
      </c>
      <c r="K7">
        <v>46752</v>
      </c>
      <c r="L7" s="10">
        <f t="shared" si="5"/>
        <v>46752</v>
      </c>
      <c r="M7">
        <f t="shared" si="6"/>
        <v>2.69E-2</v>
      </c>
      <c r="N7">
        <v>2.69E-2</v>
      </c>
      <c r="O7">
        <v>0</v>
      </c>
      <c r="P7" s="10">
        <v>49309</v>
      </c>
      <c r="Q7">
        <f t="shared" si="7"/>
        <v>2.3890000000000001E-3</v>
      </c>
      <c r="R7">
        <v>1E-3</v>
      </c>
    </row>
    <row r="8" spans="1:18" x14ac:dyDescent="0.3">
      <c r="A8" s="10">
        <v>46731</v>
      </c>
      <c r="B8" s="10">
        <v>46916</v>
      </c>
      <c r="C8" s="9">
        <v>45505951.044200003</v>
      </c>
      <c r="D8" t="s">
        <v>58</v>
      </c>
      <c r="E8">
        <f t="shared" si="0"/>
        <v>2.6944870041039671E-2</v>
      </c>
      <c r="F8">
        <f t="shared" si="1"/>
        <v>1.5011751025991791E-3</v>
      </c>
      <c r="G8">
        <f t="shared" si="2"/>
        <v>2.844604514363885E-2</v>
      </c>
      <c r="H8">
        <f t="shared" si="3"/>
        <v>0.90654068158175927</v>
      </c>
      <c r="I8" s="13">
        <f t="shared" si="4"/>
        <v>41252995.875635244</v>
      </c>
      <c r="J8">
        <v>1</v>
      </c>
      <c r="K8">
        <v>47482</v>
      </c>
      <c r="L8" s="10">
        <f t="shared" si="5"/>
        <v>47483</v>
      </c>
      <c r="M8">
        <f t="shared" si="6"/>
        <v>2.7099999999999999E-2</v>
      </c>
      <c r="N8">
        <v>2.7099999999999999E-2</v>
      </c>
      <c r="O8">
        <v>0</v>
      </c>
    </row>
    <row r="9" spans="1:18" x14ac:dyDescent="0.3">
      <c r="A9" s="10">
        <v>46916</v>
      </c>
      <c r="B9" s="10">
        <v>47098</v>
      </c>
      <c r="C9" s="9">
        <v>44754098.360699996</v>
      </c>
      <c r="D9" t="s">
        <v>58</v>
      </c>
      <c r="E9">
        <f t="shared" si="0"/>
        <v>2.699466484268126E-2</v>
      </c>
      <c r="F9">
        <f t="shared" si="1"/>
        <v>1.6256621067031465E-3</v>
      </c>
      <c r="G9">
        <f t="shared" si="2"/>
        <v>2.8620326949384406E-2</v>
      </c>
      <c r="H9">
        <f t="shared" si="3"/>
        <v>0.89315826750639649</v>
      </c>
      <c r="I9" s="13">
        <f t="shared" si="4"/>
        <v>39972492.955653667</v>
      </c>
      <c r="J9">
        <v>2</v>
      </c>
      <c r="K9">
        <v>49307</v>
      </c>
      <c r="L9" s="10">
        <f t="shared" si="5"/>
        <v>49309</v>
      </c>
      <c r="M9">
        <f t="shared" si="6"/>
        <v>2.7799999999999998E-2</v>
      </c>
      <c r="N9">
        <v>2.7799999999999998E-2</v>
      </c>
      <c r="P9" s="18">
        <f>P2</f>
        <v>45746</v>
      </c>
    </row>
    <row r="10" spans="1:18" x14ac:dyDescent="0.3">
      <c r="A10" s="10">
        <v>47098</v>
      </c>
      <c r="B10" s="10">
        <v>47280</v>
      </c>
      <c r="C10" s="9">
        <v>44863238.2663</v>
      </c>
      <c r="D10" t="s">
        <v>58</v>
      </c>
      <c r="E10">
        <f t="shared" si="0"/>
        <v>2.7044459644322845E-2</v>
      </c>
      <c r="F10">
        <f t="shared" si="1"/>
        <v>1.7501491108071136E-3</v>
      </c>
      <c r="G10">
        <f t="shared" si="2"/>
        <v>2.8794608755129958E-2</v>
      </c>
      <c r="H10">
        <f t="shared" si="3"/>
        <v>0.87982047563099264</v>
      </c>
      <c r="I10" s="13">
        <f t="shared" si="4"/>
        <v>39471595.629802614</v>
      </c>
      <c r="J10">
        <v>3</v>
      </c>
      <c r="K10">
        <v>51132</v>
      </c>
      <c r="L10" s="10">
        <f t="shared" si="5"/>
        <v>51135</v>
      </c>
      <c r="M10">
        <f t="shared" si="6"/>
        <v>2.7199999999999998E-2</v>
      </c>
      <c r="N10">
        <v>2.7199999999999998E-2</v>
      </c>
      <c r="P10" s="18">
        <f t="shared" ref="P10:P14" si="8">P3</f>
        <v>45838</v>
      </c>
    </row>
    <row r="11" spans="1:18" x14ac:dyDescent="0.3">
      <c r="A11" s="10">
        <v>47280</v>
      </c>
      <c r="B11" s="10">
        <v>47462</v>
      </c>
      <c r="C11" s="9">
        <v>44876712.3288</v>
      </c>
      <c r="D11" t="s">
        <v>58</v>
      </c>
      <c r="E11">
        <f t="shared" si="0"/>
        <v>2.709425444596443E-2</v>
      </c>
      <c r="F11">
        <f t="shared" si="1"/>
        <v>1.8746361149110807E-3</v>
      </c>
      <c r="G11">
        <f t="shared" si="2"/>
        <v>2.896889056087551E-2</v>
      </c>
      <c r="H11">
        <f t="shared" si="3"/>
        <v>0.86653124091328282</v>
      </c>
      <c r="I11" s="13">
        <f t="shared" si="4"/>
        <v>38887073.222383484</v>
      </c>
      <c r="J11">
        <v>5</v>
      </c>
      <c r="K11">
        <v>52957</v>
      </c>
      <c r="L11" s="10">
        <f t="shared" si="5"/>
        <v>52962</v>
      </c>
      <c r="M11">
        <f t="shared" si="6"/>
        <v>2.5399999999999999E-2</v>
      </c>
      <c r="N11">
        <v>2.5399999999999999E-2</v>
      </c>
      <c r="P11" s="18">
        <f t="shared" si="8"/>
        <v>46022</v>
      </c>
    </row>
    <row r="12" spans="1:18" x14ac:dyDescent="0.3">
      <c r="A12" s="10">
        <v>47462</v>
      </c>
      <c r="B12" s="10">
        <v>47644</v>
      </c>
      <c r="C12" s="9">
        <v>44876712.3288</v>
      </c>
      <c r="D12" t="s">
        <v>58</v>
      </c>
      <c r="E12">
        <f t="shared" si="0"/>
        <v>2.7161719605695508E-2</v>
      </c>
      <c r="F12">
        <f t="shared" si="1"/>
        <v>1.9330854326396496E-3</v>
      </c>
      <c r="G12">
        <f t="shared" si="2"/>
        <v>2.9094805038335159E-2</v>
      </c>
      <c r="H12">
        <f t="shared" si="3"/>
        <v>0.85351911931966595</v>
      </c>
      <c r="I12" s="13">
        <f t="shared" si="4"/>
        <v>38303131.984839372</v>
      </c>
      <c r="J12">
        <v>7</v>
      </c>
      <c r="K12">
        <v>56607</v>
      </c>
      <c r="L12" s="10">
        <f t="shared" si="5"/>
        <v>56614</v>
      </c>
      <c r="M12">
        <f t="shared" si="6"/>
        <v>2.2200000000000001E-2</v>
      </c>
      <c r="N12">
        <v>2.2200000000000001E-2</v>
      </c>
      <c r="P12" s="18">
        <f t="shared" si="8"/>
        <v>46752</v>
      </c>
    </row>
    <row r="13" spans="1:18" x14ac:dyDescent="0.3">
      <c r="A13" s="10">
        <v>47644</v>
      </c>
      <c r="B13" s="10">
        <v>47827</v>
      </c>
      <c r="C13" s="9">
        <v>45123287.6712</v>
      </c>
      <c r="D13" t="s">
        <v>23</v>
      </c>
      <c r="E13">
        <f t="shared" si="0"/>
        <v>2.7231872946330775E-2</v>
      </c>
      <c r="F13">
        <f t="shared" si="1"/>
        <v>1.9831949616648413E-3</v>
      </c>
      <c r="G13">
        <f t="shared" si="2"/>
        <v>2.9215067907995617E-2</v>
      </c>
      <c r="H13">
        <f t="shared" si="3"/>
        <v>0.84055778159061889</v>
      </c>
      <c r="I13" s="13">
        <f t="shared" si="4"/>
        <v>37928730.582979195</v>
      </c>
      <c r="P13" s="18">
        <f t="shared" si="8"/>
        <v>47483</v>
      </c>
    </row>
    <row r="14" spans="1:18" x14ac:dyDescent="0.3">
      <c r="B14" s="10">
        <v>47827</v>
      </c>
      <c r="C14" s="9">
        <v>6000000000</v>
      </c>
      <c r="E14">
        <f t="shared" si="0"/>
        <v>2.7231872946330775E-2</v>
      </c>
      <c r="F14">
        <f t="shared" si="1"/>
        <v>1.9831949616648413E-3</v>
      </c>
      <c r="G14">
        <f t="shared" si="2"/>
        <v>2.9215067907995617E-2</v>
      </c>
      <c r="H14">
        <f t="shared" si="3"/>
        <v>0.84055778159061889</v>
      </c>
      <c r="I14" s="13">
        <f t="shared" si="4"/>
        <v>5043346689.5437136</v>
      </c>
      <c r="P14" s="18">
        <f t="shared" si="8"/>
        <v>49309</v>
      </c>
    </row>
    <row r="15" spans="1:18" x14ac:dyDescent="0.3">
      <c r="I15" s="14">
        <f>SUM(I2:I14)</f>
        <v>5536301406.3501959</v>
      </c>
      <c r="J15" s="14">
        <f>I15-I19</f>
        <v>239406.3501958847</v>
      </c>
      <c r="K15" s="15">
        <f>J15/C14*10000</f>
        <v>0.39901058365980785</v>
      </c>
      <c r="M15" s="15"/>
      <c r="P15" s="10"/>
    </row>
    <row r="16" spans="1:18" x14ac:dyDescent="0.3">
      <c r="I16" s="15"/>
    </row>
    <row r="17" spans="1:21" x14ac:dyDescent="0.3">
      <c r="I17" s="15">
        <v>5536303827.8475189</v>
      </c>
      <c r="J17" s="15">
        <f>(I15-I17)*10000</f>
        <v>-24214973.230361938</v>
      </c>
      <c r="K17" s="13">
        <v>-24214372.9496</v>
      </c>
      <c r="L17" s="15">
        <f>J17-K17</f>
        <v>-600.28076193854213</v>
      </c>
      <c r="M17" s="15">
        <f>L17/600000</f>
        <v>-1.0004679365642369E-3</v>
      </c>
    </row>
    <row r="18" spans="1:21" x14ac:dyDescent="0.3">
      <c r="L18">
        <v>-4285184.0877999999</v>
      </c>
    </row>
    <row r="19" spans="1:21" x14ac:dyDescent="0.3">
      <c r="F19">
        <v>1.2220163934426229E-3</v>
      </c>
      <c r="H19" t="s">
        <v>63</v>
      </c>
      <c r="I19" s="16">
        <v>5536062000</v>
      </c>
      <c r="N19" t="s">
        <v>65</v>
      </c>
      <c r="O19" t="s">
        <v>66</v>
      </c>
      <c r="P19" t="s">
        <v>67</v>
      </c>
      <c r="Q19" t="s">
        <v>68</v>
      </c>
      <c r="R19" t="s">
        <v>73</v>
      </c>
      <c r="S19" t="s">
        <v>74</v>
      </c>
      <c r="T19" t="s">
        <v>73</v>
      </c>
      <c r="U19">
        <v>5192307.6923072701</v>
      </c>
    </row>
    <row r="20" spans="1:21" x14ac:dyDescent="0.3">
      <c r="C20">
        <v>1.4999999999999999E-2</v>
      </c>
      <c r="H20" t="s">
        <v>64</v>
      </c>
      <c r="I20" s="14">
        <f>I15-I19</f>
        <v>239406.3501958847</v>
      </c>
    </row>
    <row r="21" spans="1:21" x14ac:dyDescent="0.3">
      <c r="A21" s="10">
        <v>45658</v>
      </c>
      <c r="C21">
        <v>6000000000</v>
      </c>
      <c r="D21">
        <f>C21*$C$20*((A21-A2)/366+(B2-A21)/365)</f>
        <v>44861890.860094316</v>
      </c>
      <c r="L21" s="18">
        <f>L2</f>
        <v>45657</v>
      </c>
    </row>
    <row r="22" spans="1:21" x14ac:dyDescent="0.3">
      <c r="H22" t="s">
        <v>69</v>
      </c>
      <c r="I22" s="13">
        <v>5580240962.6203203</v>
      </c>
      <c r="L22" s="18">
        <f t="shared" ref="L22:L31" si="9">L3</f>
        <v>45746</v>
      </c>
    </row>
    <row r="23" spans="1:21" x14ac:dyDescent="0.3">
      <c r="H23" t="s">
        <v>70</v>
      </c>
      <c r="I23" s="13">
        <v>5575048654.92801</v>
      </c>
      <c r="L23" s="18">
        <f t="shared" si="9"/>
        <v>45838</v>
      </c>
    </row>
    <row r="24" spans="1:21" x14ac:dyDescent="0.3">
      <c r="H24" t="s">
        <v>71</v>
      </c>
      <c r="I24" s="13">
        <v>5580240962.6203203</v>
      </c>
      <c r="L24" s="18">
        <f t="shared" si="9"/>
        <v>46022</v>
      </c>
    </row>
    <row r="25" spans="1:21" x14ac:dyDescent="0.3">
      <c r="H25" t="s">
        <v>72</v>
      </c>
      <c r="I25" s="13">
        <v>5192307.6923072701</v>
      </c>
      <c r="J25" s="14"/>
      <c r="K25" s="14"/>
      <c r="L25" s="18">
        <f t="shared" si="9"/>
        <v>46387</v>
      </c>
    </row>
    <row r="26" spans="1:21" x14ac:dyDescent="0.3">
      <c r="L26" s="18">
        <f t="shared" si="9"/>
        <v>46752</v>
      </c>
    </row>
    <row r="27" spans="1:21" x14ac:dyDescent="0.3">
      <c r="L27" s="18">
        <f t="shared" si="9"/>
        <v>47483</v>
      </c>
    </row>
    <row r="28" spans="1:21" x14ac:dyDescent="0.3">
      <c r="L28" s="18">
        <f t="shared" si="9"/>
        <v>49309</v>
      </c>
    </row>
    <row r="29" spans="1:21" x14ac:dyDescent="0.3">
      <c r="L29" s="18">
        <f t="shared" si="9"/>
        <v>51135</v>
      </c>
    </row>
    <row r="30" spans="1:21" x14ac:dyDescent="0.3">
      <c r="L30" s="18">
        <f t="shared" si="9"/>
        <v>52962</v>
      </c>
    </row>
    <row r="31" spans="1:21" x14ac:dyDescent="0.3">
      <c r="L31" s="18">
        <f t="shared" si="9"/>
        <v>56614</v>
      </c>
    </row>
    <row r="32" spans="1:21" x14ac:dyDescent="0.3">
      <c r="L32" s="10"/>
    </row>
    <row r="33" spans="1:10" x14ac:dyDescent="0.3">
      <c r="A33" t="s">
        <v>75</v>
      </c>
      <c r="B33">
        <v>44861890.860094599</v>
      </c>
      <c r="C33" s="9">
        <f>B33-C2</f>
        <v>-673.70310539752245</v>
      </c>
    </row>
    <row r="34" spans="1:10" x14ac:dyDescent="0.3">
      <c r="A34" t="s">
        <v>76</v>
      </c>
      <c r="B34">
        <v>45123287.671232402</v>
      </c>
      <c r="C34" s="9">
        <f t="shared" ref="C34:C44" si="10">B34-C3</f>
        <v>3.2402575016021729E-5</v>
      </c>
    </row>
    <row r="35" spans="1:10" x14ac:dyDescent="0.3">
      <c r="A35" t="s">
        <v>77</v>
      </c>
      <c r="B35">
        <v>44876712.328767002</v>
      </c>
      <c r="C35" s="9">
        <f t="shared" si="10"/>
        <v>-3.2998621463775635E-5</v>
      </c>
      <c r="H35">
        <v>1.0142949074461001</v>
      </c>
      <c r="I35">
        <f>1/H35</f>
        <v>0.98590655701693963</v>
      </c>
      <c r="J35">
        <f>I35-H2</f>
        <v>6.28427158152145E-4</v>
      </c>
    </row>
    <row r="36" spans="1:10" x14ac:dyDescent="0.3">
      <c r="A36" t="s">
        <v>78</v>
      </c>
      <c r="B36">
        <v>45123287.671232402</v>
      </c>
      <c r="C36" s="9">
        <f t="shared" si="10"/>
        <v>3.2402575016021729E-5</v>
      </c>
    </row>
    <row r="37" spans="1:10" x14ac:dyDescent="0.3">
      <c r="A37" t="s">
        <v>79</v>
      </c>
      <c r="B37">
        <v>44876712.328767002</v>
      </c>
      <c r="C37" s="9">
        <f t="shared" si="10"/>
        <v>-3.2998621463775635E-5</v>
      </c>
    </row>
    <row r="38" spans="1:10" x14ac:dyDescent="0.3">
      <c r="A38" t="s">
        <v>80</v>
      </c>
      <c r="B38">
        <v>45123287.671232402</v>
      </c>
      <c r="C38" s="9">
        <f t="shared" si="10"/>
        <v>3.2402575016021729E-5</v>
      </c>
    </row>
    <row r="39" spans="1:10" x14ac:dyDescent="0.3">
      <c r="A39" t="s">
        <v>81</v>
      </c>
      <c r="B39">
        <v>45506624.747360997</v>
      </c>
      <c r="C39" s="9">
        <f t="shared" si="10"/>
        <v>673.70316099375486</v>
      </c>
    </row>
    <row r="40" spans="1:10" x14ac:dyDescent="0.3">
      <c r="A40" t="s">
        <v>82</v>
      </c>
      <c r="B40">
        <v>44754098.360656202</v>
      </c>
      <c r="C40" s="9">
        <f t="shared" si="10"/>
        <v>-4.3794512748718262E-5</v>
      </c>
    </row>
    <row r="41" spans="1:10" x14ac:dyDescent="0.3">
      <c r="A41" t="s">
        <v>83</v>
      </c>
      <c r="B41">
        <v>44862564.563215896</v>
      </c>
      <c r="C41" s="9">
        <f t="shared" si="10"/>
        <v>-673.7030841037631</v>
      </c>
    </row>
    <row r="42" spans="1:10" x14ac:dyDescent="0.3">
      <c r="A42" t="s">
        <v>84</v>
      </c>
      <c r="B42">
        <v>44876712.328767002</v>
      </c>
      <c r="C42" s="9">
        <f t="shared" si="10"/>
        <v>-3.2998621463775635E-5</v>
      </c>
    </row>
    <row r="43" spans="1:10" x14ac:dyDescent="0.3">
      <c r="A43" t="s">
        <v>85</v>
      </c>
      <c r="B43">
        <v>44876712.328767002</v>
      </c>
      <c r="C43" s="9">
        <f t="shared" si="10"/>
        <v>-3.2998621463775635E-5</v>
      </c>
    </row>
    <row r="44" spans="1:10" x14ac:dyDescent="0.3">
      <c r="A44" t="s">
        <v>86</v>
      </c>
      <c r="B44">
        <v>45123287.671232402</v>
      </c>
      <c r="C44" s="9">
        <f t="shared" si="10"/>
        <v>3.2402575016021729E-5</v>
      </c>
    </row>
    <row r="50" spans="1:5" x14ac:dyDescent="0.3">
      <c r="A50" t="s">
        <v>88</v>
      </c>
      <c r="B50" t="s">
        <v>89</v>
      </c>
      <c r="C50" s="9" t="s">
        <v>90</v>
      </c>
      <c r="D50">
        <v>44862564.563215896</v>
      </c>
      <c r="E50" s="9">
        <f>D50-C2</f>
        <v>1.5899538993835449E-5</v>
      </c>
    </row>
    <row r="51" spans="1:5" x14ac:dyDescent="0.3">
      <c r="A51" t="s">
        <v>91</v>
      </c>
      <c r="B51" t="s">
        <v>89</v>
      </c>
      <c r="C51" s="9" t="s">
        <v>90</v>
      </c>
      <c r="D51">
        <v>45123287.671232402</v>
      </c>
      <c r="E51" s="9">
        <f t="shared" ref="E51:E61" si="11">D51-C3</f>
        <v>3.2402575016021729E-5</v>
      </c>
    </row>
    <row r="52" spans="1:5" x14ac:dyDescent="0.3">
      <c r="A52" t="s">
        <v>92</v>
      </c>
      <c r="B52" t="s">
        <v>89</v>
      </c>
      <c r="C52" s="9" t="s">
        <v>90</v>
      </c>
      <c r="D52">
        <v>44876712.328767002</v>
      </c>
      <c r="E52" s="9">
        <f t="shared" si="11"/>
        <v>-3.2998621463775635E-5</v>
      </c>
    </row>
    <row r="53" spans="1:5" x14ac:dyDescent="0.3">
      <c r="A53" t="s">
        <v>93</v>
      </c>
      <c r="B53" t="s">
        <v>89</v>
      </c>
      <c r="C53" s="9" t="s">
        <v>90</v>
      </c>
      <c r="D53">
        <v>45123287.671232402</v>
      </c>
      <c r="E53" s="9">
        <f t="shared" si="11"/>
        <v>3.2402575016021729E-5</v>
      </c>
    </row>
    <row r="54" spans="1:5" x14ac:dyDescent="0.3">
      <c r="A54" t="s">
        <v>94</v>
      </c>
      <c r="B54" t="s">
        <v>89</v>
      </c>
      <c r="C54" s="9" t="s">
        <v>90</v>
      </c>
      <c r="D54">
        <v>44876712.328767002</v>
      </c>
      <c r="E54" s="9">
        <f t="shared" si="11"/>
        <v>-3.2998621463775635E-5</v>
      </c>
    </row>
    <row r="55" spans="1:5" x14ac:dyDescent="0.3">
      <c r="A55" t="s">
        <v>95</v>
      </c>
      <c r="B55" t="s">
        <v>89</v>
      </c>
      <c r="C55" s="9" t="s">
        <v>90</v>
      </c>
      <c r="D55">
        <v>45123287.671232402</v>
      </c>
      <c r="E55" s="9">
        <f t="shared" si="11"/>
        <v>3.2402575016021729E-5</v>
      </c>
    </row>
    <row r="56" spans="1:5" x14ac:dyDescent="0.3">
      <c r="A56" t="s">
        <v>96</v>
      </c>
      <c r="B56" t="s">
        <v>89</v>
      </c>
      <c r="C56" s="9" t="s">
        <v>90</v>
      </c>
      <c r="D56">
        <v>45505951.0442397</v>
      </c>
      <c r="E56" s="9">
        <f t="shared" si="11"/>
        <v>3.9696693420410156E-5</v>
      </c>
    </row>
    <row r="57" spans="1:5" x14ac:dyDescent="0.3">
      <c r="A57" t="s">
        <v>113</v>
      </c>
      <c r="B57" t="s">
        <v>89</v>
      </c>
      <c r="C57" s="9" t="s">
        <v>90</v>
      </c>
      <c r="D57">
        <v>44754098.360656202</v>
      </c>
      <c r="E57" s="9">
        <f t="shared" si="11"/>
        <v>-4.3794512748718262E-5</v>
      </c>
    </row>
    <row r="58" spans="1:5" x14ac:dyDescent="0.3">
      <c r="A58" t="s">
        <v>114</v>
      </c>
      <c r="B58" t="s">
        <v>89</v>
      </c>
      <c r="C58" s="9" t="s">
        <v>90</v>
      </c>
      <c r="D58">
        <v>44863238.266337201</v>
      </c>
      <c r="E58" s="9">
        <f t="shared" si="11"/>
        <v>3.7200748920440674E-5</v>
      </c>
    </row>
    <row r="59" spans="1:5" x14ac:dyDescent="0.3">
      <c r="A59" t="s">
        <v>115</v>
      </c>
      <c r="B59" t="s">
        <v>89</v>
      </c>
      <c r="C59" s="9" t="s">
        <v>90</v>
      </c>
      <c r="D59">
        <v>44876712.328767002</v>
      </c>
      <c r="E59" s="9">
        <f t="shared" si="11"/>
        <v>-3.2998621463775635E-5</v>
      </c>
    </row>
    <row r="60" spans="1:5" x14ac:dyDescent="0.3">
      <c r="A60" t="s">
        <v>116</v>
      </c>
      <c r="B60" t="s">
        <v>89</v>
      </c>
      <c r="C60" s="9" t="s">
        <v>90</v>
      </c>
      <c r="D60">
        <v>44876712.328767002</v>
      </c>
      <c r="E60" s="9">
        <f t="shared" si="11"/>
        <v>-3.2998621463775635E-5</v>
      </c>
    </row>
    <row r="61" spans="1:5" x14ac:dyDescent="0.3">
      <c r="A61" t="s">
        <v>117</v>
      </c>
      <c r="B61" t="s">
        <v>89</v>
      </c>
      <c r="C61" s="9" t="s">
        <v>90</v>
      </c>
      <c r="D61">
        <v>45123287.671232402</v>
      </c>
      <c r="E61" s="9">
        <f t="shared" si="11"/>
        <v>3.2402575016021729E-5</v>
      </c>
    </row>
    <row r="62" spans="1:5" x14ac:dyDescent="0.3">
      <c r="A62" t="s">
        <v>87</v>
      </c>
      <c r="B62">
        <v>6000000000</v>
      </c>
      <c r="C62" s="9">
        <f t="shared" ref="C62" si="12">B62-C14</f>
        <v>0</v>
      </c>
    </row>
    <row r="67" spans="1:5" x14ac:dyDescent="0.3">
      <c r="A67" t="s">
        <v>88</v>
      </c>
      <c r="B67" t="s">
        <v>89</v>
      </c>
      <c r="C67" t="s">
        <v>90</v>
      </c>
      <c r="D67">
        <v>0.98538622256923003</v>
      </c>
      <c r="E67">
        <f>D67-H2</f>
        <v>1.0809271044254221E-4</v>
      </c>
    </row>
    <row r="68" spans="1:5" x14ac:dyDescent="0.3">
      <c r="A68" t="s">
        <v>91</v>
      </c>
      <c r="B68" t="s">
        <v>89</v>
      </c>
      <c r="C68" t="s">
        <v>90</v>
      </c>
      <c r="D68">
        <v>0.97188911155889501</v>
      </c>
      <c r="E68">
        <f t="shared" ref="E68:E79" si="13">D68-H3</f>
        <v>1.0453974362611973E-5</v>
      </c>
    </row>
    <row r="69" spans="1:5" x14ac:dyDescent="0.3">
      <c r="A69" t="s">
        <v>92</v>
      </c>
      <c r="B69" t="s">
        <v>89</v>
      </c>
      <c r="C69" t="s">
        <v>90</v>
      </c>
      <c r="D69">
        <v>0.95863339543107196</v>
      </c>
      <c r="E69">
        <f t="shared" si="13"/>
        <v>-9.9920072216264089E-16</v>
      </c>
    </row>
    <row r="70" spans="1:5" x14ac:dyDescent="0.3">
      <c r="A70" t="s">
        <v>93</v>
      </c>
      <c r="B70" t="s">
        <v>89</v>
      </c>
      <c r="C70" t="s">
        <v>90</v>
      </c>
      <c r="D70">
        <v>0.94584323308329799</v>
      </c>
      <c r="E70">
        <f t="shared" si="13"/>
        <v>0</v>
      </c>
    </row>
    <row r="71" spans="1:5" x14ac:dyDescent="0.3">
      <c r="A71" t="s">
        <v>94</v>
      </c>
      <c r="B71" t="s">
        <v>89</v>
      </c>
      <c r="C71" t="s">
        <v>90</v>
      </c>
      <c r="D71">
        <v>0.93289235194350895</v>
      </c>
      <c r="E71">
        <f t="shared" si="13"/>
        <v>-1.1102230246251565E-15</v>
      </c>
    </row>
    <row r="72" spans="1:5" x14ac:dyDescent="0.3">
      <c r="A72" t="s">
        <v>95</v>
      </c>
      <c r="B72" t="s">
        <v>89</v>
      </c>
      <c r="C72" t="s">
        <v>90</v>
      </c>
      <c r="D72">
        <v>0.92008409872090002</v>
      </c>
      <c r="E72">
        <f t="shared" si="13"/>
        <v>0</v>
      </c>
    </row>
    <row r="73" spans="1:5" x14ac:dyDescent="0.3">
      <c r="A73" t="s">
        <v>96</v>
      </c>
      <c r="B73" t="s">
        <v>89</v>
      </c>
      <c r="C73" t="s">
        <v>90</v>
      </c>
      <c r="D73">
        <v>0.90654068158175904</v>
      </c>
      <c r="E73">
        <f t="shared" si="13"/>
        <v>0</v>
      </c>
    </row>
    <row r="74" spans="1:5" x14ac:dyDescent="0.3">
      <c r="A74" t="s">
        <v>113</v>
      </c>
      <c r="B74" t="s">
        <v>89</v>
      </c>
      <c r="C74" t="s">
        <v>90</v>
      </c>
      <c r="D74">
        <v>0.89315826750639604</v>
      </c>
      <c r="E74">
        <f t="shared" si="13"/>
        <v>0</v>
      </c>
    </row>
    <row r="75" spans="1:5" x14ac:dyDescent="0.3">
      <c r="A75" t="s">
        <v>114</v>
      </c>
      <c r="B75" t="s">
        <v>89</v>
      </c>
      <c r="C75" t="s">
        <v>90</v>
      </c>
      <c r="D75">
        <v>0.87982047563099197</v>
      </c>
      <c r="E75">
        <f t="shared" si="13"/>
        <v>0</v>
      </c>
    </row>
    <row r="76" spans="1:5" x14ac:dyDescent="0.3">
      <c r="A76" t="s">
        <v>115</v>
      </c>
      <c r="B76" t="s">
        <v>89</v>
      </c>
      <c r="C76" t="s">
        <v>90</v>
      </c>
      <c r="D76">
        <v>0.86653124091328204</v>
      </c>
      <c r="E76">
        <f t="shared" si="13"/>
        <v>0</v>
      </c>
    </row>
    <row r="77" spans="1:5" x14ac:dyDescent="0.3">
      <c r="A77" t="s">
        <v>116</v>
      </c>
      <c r="B77" t="s">
        <v>89</v>
      </c>
      <c r="C77" t="s">
        <v>90</v>
      </c>
      <c r="D77">
        <v>0.85351911931966495</v>
      </c>
      <c r="E77">
        <f t="shared" si="13"/>
        <v>-9.9920072216264089E-16</v>
      </c>
    </row>
    <row r="78" spans="1:5" x14ac:dyDescent="0.3">
      <c r="A78" t="s">
        <v>117</v>
      </c>
      <c r="B78" t="s">
        <v>89</v>
      </c>
      <c r="C78" t="s">
        <v>90</v>
      </c>
      <c r="D78">
        <v>0.840557781590618</v>
      </c>
      <c r="E78">
        <f t="shared" si="13"/>
        <v>-8.8817841970012523E-16</v>
      </c>
    </row>
    <row r="79" spans="1:5" x14ac:dyDescent="0.3">
      <c r="A79" t="s">
        <v>118</v>
      </c>
      <c r="B79" t="s">
        <v>89</v>
      </c>
      <c r="C79" t="s">
        <v>90</v>
      </c>
      <c r="D79">
        <v>0.840557781590618</v>
      </c>
      <c r="E79">
        <f t="shared" si="13"/>
        <v>-8.8817841970012523E-16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범정 엄</dc:creator>
  <cp:lastModifiedBy>범정 엄</cp:lastModifiedBy>
  <cp:lastPrinted>2025-04-22T08:26:57Z</cp:lastPrinted>
  <dcterms:created xsi:type="dcterms:W3CDTF">2025-04-22T08:11:12Z</dcterms:created>
  <dcterms:modified xsi:type="dcterms:W3CDTF">2025-04-30T07:09:55Z</dcterms:modified>
</cp:coreProperties>
</file>